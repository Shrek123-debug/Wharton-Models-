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ssumptions" sheetId="2" state="visible" r:id="rId4"/>
    <sheet name="Growth_MC" sheetId="3" state="visible" r:id="rId5"/>
    <sheet name="Reserve_MC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<sst xmlns="http://schemas.openxmlformats.org/spreadsheetml/2006/main" count="177" uniqueCount="161">
  <si>
    <t xml:space="preserve">Laura Gao Portfolio — Strategy Dashboard (Monte Carlo / Markov + Glide Path Model)</t>
  </si>
  <si>
    <t xml:space="preserve">500-trial simulation — growth bucket now de-risks into bonds in Years 5–6 (2031–32). Recalculates on refresh (F9).</t>
  </si>
  <si>
    <t xml:space="preserve">1. Growth Bucket — Simulated Portfolio Value at Start of 2033 (Year 7)</t>
  </si>
  <si>
    <t xml:space="preserve">Percentile</t>
  </si>
  <si>
    <t xml:space="preserve">Portfolio Value ($)</t>
  </si>
  <si>
    <t xml:space="preserve">5th (downside)</t>
  </si>
  <si>
    <t xml:space="preserve">25th</t>
  </si>
  <si>
    <t xml:space="preserve">50th (Median)</t>
  </si>
  <si>
    <t xml:space="preserve">75th</t>
  </si>
  <si>
    <t xml:space="preserve">95th (upside)</t>
  </si>
  <si>
    <t xml:space="preserve">Mean</t>
  </si>
  <si>
    <t xml:space="preserve">2. Risk-Adjusted Return Metrics — Growth Bucket (Blended Glide-Path Returns, 2027–2032 pooled)</t>
  </si>
  <si>
    <t xml:space="preserve">Mean Annual Return</t>
  </si>
  <si>
    <t xml:space="preserve">Std Dev of Annual Return</t>
  </si>
  <si>
    <t xml:space="preserve">Sharpe Ratio</t>
  </si>
  <si>
    <t xml:space="preserve">(Mean return − risk-free rate) / std dev of return</t>
  </si>
  <si>
    <t xml:space="preserve">Downside Deviation (target return = 0%)</t>
  </si>
  <si>
    <t xml:space="preserve">Sortino Ratio</t>
  </si>
  <si>
    <t xml:space="preserve">Mean return / downside deviation — penalizes only bad-side volatility</t>
  </si>
  <si>
    <t xml:space="preserve">Value at Risk, 95% (1-yr, annual return)</t>
  </si>
  <si>
    <t xml:space="preserve">Max loss not expected to be exceeded in 95% of years</t>
  </si>
  <si>
    <t xml:space="preserve">Conditional VaR / Expected Shortfall, 95%</t>
  </si>
  <si>
    <t xml:space="preserve">Average loss IN the worst 5% of years — how bad the tail actually is, not just its edge</t>
  </si>
  <si>
    <t xml:space="preserve">Average Max Drawdown (per simulated path)</t>
  </si>
  <si>
    <t xml:space="preserve">Worst-Case Max Drawdown (5th pct. of paths)</t>
  </si>
  <si>
    <t xml:space="preserve">3. Operating Reserve — Funding-Certainty Test (2033–2042, 10 payments of $50,000)</t>
  </si>
  <si>
    <t xml:space="preserve">Reserve Size Tested</t>
  </si>
  <si>
    <t xml:space="preserve">Success Probability (all 10 payments funded, no shortfall)</t>
  </si>
  <si>
    <t xml:space="preserve">This is the quantified meaning of “high degree of certainty.” Adjust the Reserve Cushion % on Assumptions to retest.</t>
  </si>
  <si>
    <t xml:space="preserve">4. Facility Contribution — Recommended Range for Co-Sponsors (2033)</t>
  </si>
  <si>
    <t xml:space="preserve">Facility Contribution ($)</t>
  </si>
  <si>
    <t xml:space="preserve">Suggested communicated range</t>
  </si>
  <si>
    <t xml:space="preserve">Note: if the 25th-percentile figure above is negative, a below-average market could leave the 2033 portfolio unable to fully cover both the reserve and a facility contribution. The range above floors the low end at $0 for co-sponsor communication — state plainly that in an unfavorable scenario, the facility contribution could be $0.</t>
  </si>
  <si>
    <t xml:space="preserve">5. Growth Path Over Time (for chart)</t>
  </si>
  <si>
    <t xml:space="preserve">Year</t>
  </si>
  <si>
    <t xml:space="preserve">P5</t>
  </si>
  <si>
    <t xml:space="preserve">P25</t>
  </si>
  <si>
    <t xml:space="preserve">P50</t>
  </si>
  <si>
    <t xml:space="preserve">P75</t>
  </si>
  <si>
    <t xml:space="preserve">P95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</si>
  <si>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</si>
  <si>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</si>
  <si>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</si>
  <si>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</si>
  <si>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</si>
  <si>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</si>
  <si>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6. Facility Contribution Range (for chart)</t>
  </si>
  <si>
    <t xml:space="preserve">Laura Gao Portfolio — Monte Carlo / Regime-Switching Model</t>
  </si>
  <si>
    <t xml:space="preserve">Assumptions &amp; Key Inputs (edit blue cells to test alternative strategies)</t>
  </si>
  <si>
    <t xml:space="preserve">Market Regime Assumptions — Growth Bucket (Equities, 2027–2032)</t>
  </si>
  <si>
    <t xml:space="preserve">Bull Market: Annual Mean Return</t>
  </si>
  <si>
    <t xml:space="preserve">Illustrative strong-regime equity return</t>
  </si>
  <si>
    <t xml:space="preserve">Bull Market: Annual Volatility (Std Dev)</t>
  </si>
  <si>
    <t xml:space="preserve">Bull Market: Persistence, P(Bull→Bull)</t>
  </si>
  <si>
    <t xml:space="preserve">Bull regimes historically persist longer than bear regimes</t>
  </si>
  <si>
    <t xml:space="preserve">Bear Market: Annual Mean Return</t>
  </si>
  <si>
    <t xml:space="preserve">Bear Market: Annual Volatility (Std Dev)</t>
  </si>
  <si>
    <t xml:space="preserve">Bear Market: Persistence, P(Bear→Bear)</t>
  </si>
  <si>
    <t xml:space="preserve">Probability 2027 Starts in a Bull Regime</t>
  </si>
  <si>
    <t xml:space="preserve">Reserve / Fixed-Income Assumptions (Bond Sleeve, used in Reserve AND Glide Path)</t>
  </si>
  <si>
    <t xml:space="preserve">Bond Annual Mean Return</t>
  </si>
  <si>
    <t xml:space="preserve">Source: 5-yr U.S. Treasury yield ≈4.8% (Sept 2026)</t>
  </si>
  <si>
    <t xml:space="preserve">Bond Annual Volatility (Std Dev)</t>
  </si>
  <si>
    <t xml:space="preserve">Low-volatility, high-quality fixed income</t>
  </si>
  <si>
    <t xml:space="preserve">Risk-Free Rate (for Sharpe/Sortino)</t>
  </si>
  <si>
    <t xml:space="preserve">Source: 3-month U.S. Treasury bill yield ≈4.1% (Sept 2026)</t>
  </si>
  <si>
    <t xml:space="preserve">Glide Path — Equity Weight by Year (De-risks the growth bucket before the 2033 reserve carve-out)</t>
  </si>
  <si>
    <t xml:space="preserve">Equity Weight, Year 1 (2027)</t>
  </si>
  <si>
    <t xml:space="preserve">Weight in equities; remainder allocated to the bond sleeve above</t>
  </si>
  <si>
    <t xml:space="preserve">Equity Weight, Year 2 (2028)</t>
  </si>
  <si>
    <t xml:space="preserve">Equity Weight, Year 3 (2029)</t>
  </si>
  <si>
    <t xml:space="preserve">Equity Weight, Year 4 (2030)</t>
  </si>
  <si>
    <t xml:space="preserve">Equity Weight, Year 5 (2031)</t>
  </si>
  <si>
    <t xml:space="preserve">Equity Weight, Year 6 (2032)</t>
  </si>
  <si>
    <t xml:space="preserve">Cash Flow Schedule (from Client Case Study)</t>
  </si>
  <si>
    <t xml:space="preserve">Initial Contribution — Year 1 (2027)</t>
  </si>
  <si>
    <t xml:space="preserve">Per case study</t>
  </si>
  <si>
    <t xml:space="preserve">Additional Contribution — Year 2 (2028)</t>
  </si>
  <si>
    <t xml:space="preserve">Annual Operating Payment (2033–2042)</t>
  </si>
  <si>
    <t xml:space="preserve">Fixed, not inflation-adjusted, per case study</t>
  </si>
  <si>
    <t xml:space="preserve">Number of Operating Payments</t>
  </si>
  <si>
    <t xml:space="preserve">Operating Reserve Sizing</t>
  </si>
  <si>
    <t xml:space="preserve">PV of 10 Payments (Annuity-Due, discounted at Bond Return)</t>
  </si>
  <si>
    <t xml:space="preserve">Payments occur at the START of each year → annuity-due PV</t>
  </si>
  <si>
    <t xml:space="preserve">Reserve Cushion %</t>
  </si>
  <si>
    <t xml:space="preserve">Tuned so the Reserve_MC tab shows ~94% funding-success probability</t>
  </si>
  <si>
    <t xml:space="preserve">Reserve Size to Test</t>
  </si>
  <si>
    <t xml:space="preserve">Feeds the Reserve_MC tab — flex the cushion % and re-check the success probability there</t>
  </si>
  <si>
    <t xml:space="preserve">Simulation Settings</t>
  </si>
  <si>
    <t xml:space="preserve">Number of Monte Carlo Trials</t>
  </si>
  <si>
    <t xml:space="preserve">Trial</t>
  </si>
  <si>
    <t xml:space="preserve">Equity State Y1 (2027)</t>
  </si>
  <si>
    <t xml:space="preserve">Equity State Y2 (2028)</t>
  </si>
  <si>
    <t xml:space="preserve">Equity State Y3 (2029)</t>
  </si>
  <si>
    <t xml:space="preserve">Equity State Y4 (2030)</t>
  </si>
  <si>
    <t xml:space="preserve">Equity State Y5 (2031)</t>
  </si>
  <si>
    <t xml:space="preserve">Equity State Y6 (2032)</t>
  </si>
  <si>
    <t xml:space="preserve">Equity Return Y1</t>
  </si>
  <si>
    <t xml:space="preserve">Equity Return Y2</t>
  </si>
  <si>
    <t xml:space="preserve">Equity Return Y3</t>
  </si>
  <si>
    <t xml:space="preserve">Equity Return Y4</t>
  </si>
  <si>
    <t xml:space="preserve">Equity Return Y5</t>
  </si>
  <si>
    <t xml:space="preserve">Equity Return Y6</t>
  </si>
  <si>
    <t xml:space="preserve">Bond Sleeve Return Y1</t>
  </si>
  <si>
    <t xml:space="preserve">Bond Sleeve Return Y2</t>
  </si>
  <si>
    <t xml:space="preserve">Bond Sleeve Return Y3</t>
  </si>
  <si>
    <t xml:space="preserve">Bond Sleeve Return Y4</t>
  </si>
  <si>
    <t xml:space="preserve">Bond Sleeve Return Y5</t>
  </si>
  <si>
    <t xml:space="preserve">Bond Sleeve Return Y6</t>
  </si>
  <si>
    <t xml:space="preserve">Blended Return Y1 (glide-weighted)</t>
  </si>
  <si>
    <t xml:space="preserve">Blended Return Y2 (glide-weighted)</t>
  </si>
  <si>
    <t xml:space="preserve">Blended Return Y3 (glide-weighted)</t>
  </si>
  <si>
    <t xml:space="preserve">Blended Return Y4 (glide-weighted)</t>
  </si>
  <si>
    <t xml:space="preserve">Blended Return Y5 (glide-weighted)</t>
  </si>
  <si>
    <t xml:space="preserve">Blended Return Y6 (glide-weighted)</t>
  </si>
  <si>
    <t xml:space="preserve">Value Y1 ($)</t>
  </si>
  <si>
    <t xml:space="preserve">Value Y2 ($)</t>
  </si>
  <si>
    <t xml:space="preserve">Value Y3 ($)</t>
  </si>
  <si>
    <t xml:space="preserve">Value Y4 ($)</t>
  </si>
  <si>
    <t xml:space="preserve">Value Y5 ($)</t>
  </si>
  <si>
    <t xml:space="preserve">Value Y6 ($)</t>
  </si>
  <si>
    <t xml:space="preserve">Peak Y1 ($)</t>
  </si>
  <si>
    <t xml:space="preserve">Peak Y2 ($)</t>
  </si>
  <si>
    <t xml:space="preserve">Peak Y3 ($)</t>
  </si>
  <si>
    <t xml:space="preserve">Peak Y4 ($)</t>
  </si>
  <si>
    <t xml:space="preserve">Peak Y5 ($)</t>
  </si>
  <si>
    <t xml:space="preserve">Peak Y6 ($)</t>
  </si>
  <si>
    <t xml:space="preserve">Max Drawdown</t>
  </si>
  <si>
    <t xml:space="preserve">Reserve Size ($)</t>
  </si>
  <si>
    <t xml:space="preserve">Return 2033</t>
  </si>
  <si>
    <t xml:space="preserve">Return 2034</t>
  </si>
  <si>
    <t xml:space="preserve">Return 2035</t>
  </si>
  <si>
    <t xml:space="preserve">Return 2036</t>
  </si>
  <si>
    <t xml:space="preserve">Return 2037</t>
  </si>
  <si>
    <t xml:space="preserve">Return 2038</t>
  </si>
  <si>
    <t xml:space="preserve">Return 2039</t>
  </si>
  <si>
    <t xml:space="preserve">Return 2040</t>
  </si>
  <si>
    <t xml:space="preserve">Return 2041</t>
  </si>
  <si>
    <t xml:space="preserve">Return 2042</t>
  </si>
  <si>
    <t xml:space="preserve">Bal. After Pmt 2033 ($)</t>
  </si>
  <si>
    <t xml:space="preserve">Bal. After Pmt 2034 ($)</t>
  </si>
  <si>
    <t xml:space="preserve">Bal. After Pmt 2035 ($)</t>
  </si>
  <si>
    <t xml:space="preserve">Bal. After Pmt 2036 ($)</t>
  </si>
  <si>
    <t xml:space="preserve">Bal. After Pmt 2037 ($)</t>
  </si>
  <si>
    <t xml:space="preserve">Bal. After Pmt 2038 ($)</t>
  </si>
  <si>
    <t xml:space="preserve">Bal. After Pmt 2039 ($)</t>
  </si>
  <si>
    <t xml:space="preserve">Bal. After Pmt 2040 ($)</t>
  </si>
  <si>
    <t xml:space="preserve">Bal. After Pmt 2041 ($)</t>
  </si>
  <si>
    <t xml:space="preserve">Bal. After Pmt 2042 ($)</t>
  </si>
  <si>
    <t xml:space="preserve">Bal. End 2033 ($)</t>
  </si>
  <si>
    <t xml:space="preserve">Bal. End 2034 ($)</t>
  </si>
  <si>
    <t xml:space="preserve">Bal. End 2035 ($)</t>
  </si>
  <si>
    <t xml:space="preserve">Bal. End 2036 ($)</t>
  </si>
  <si>
    <t xml:space="preserve">Bal. End 2037 ($)</t>
  </si>
  <si>
    <t xml:space="preserve">Bal. End 2038 ($)</t>
  </si>
  <si>
    <t xml:space="preserve">Bal. End 2039 ($)</t>
  </si>
  <si>
    <t xml:space="preserve">Bal. End 2040 ($)</t>
  </si>
  <si>
    <t xml:space="preserve">Bal. End 2041 ($)</t>
  </si>
  <si>
    <t xml:space="preserve">Bal. End 2042 ($)</t>
  </si>
  <si>
    <t xml:space="preserve">Min Balance After Any Payment ($)</t>
  </si>
  <si>
    <t xml:space="preserve">All 10 Payments Fully Funded? (1=Yes)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</si>
</sst>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%"/>
    <numFmt numFmtId="167" formatCode="0.00"/>
    <numFmt numFmtId="168" formatCode="0"/>
    <numFmt numFmtId="169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9"/>
      <color rgb="FF595959"/>
      <name val="Cambria"/>
      <family val="0"/>
      <charset val="1"/>
    </font>
    <font>
      <b val="true"/>
      <sz val="11"/>
      <color rgb="FF1F4E78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9"/>
      <color rgb="FFC00000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1"/>
      <color rgb="FF595959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9F9F9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6AAC4"/>
      <rgbColor rgb="FF98B855"/>
      <rgbColor rgb="FFFFCC00"/>
      <rgbColor rgb="FFFF9900"/>
      <rgbColor rgb="FFFF6600"/>
      <rgbColor rgb="FF7D5FA0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Growth Bucket: Simulated Portfolio Value, 2027–2032 (Percentile Bands, with Glide Path)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Dashboard!B44</c:f>
              <c:strCache>
                <c:ptCount val="1"/>
                <c:pt idx="0">
                  <c:v>P5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Dashboard!$A$45:$A$50</c:f>
              <c:strCache>
                <c:ptCount val="6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</c:strCache>
            </c:strRef>
          </c:cat>
          <c:val>
            <c:numRef>
              <c:f>Dashboard!$B$45:$B$50</c:f>
              <c:numCache>
                <c:formatCode>\$#,##0;"($"#,##0\);\-</c:formatCode>
                <c:ptCount val="6"/>
                <c:pt idx="0">
                  <c:v>217036.945555275</c:v>
                </c:pt>
                <c:pt idx="1">
                  <c:v>304579.251956562</c:v>
                </c:pt>
                <c:pt idx="2">
                  <c:v>264312.09451794</c:v>
                </c:pt>
                <c:pt idx="3">
                  <c:v>238733.162198374</c:v>
                </c:pt>
                <c:pt idx="4">
                  <c:v>241155.035623641</c:v>
                </c:pt>
                <c:pt idx="5">
                  <c:v>261669.008423988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Dashboard!C44</c:f>
              <c:strCache>
                <c:ptCount val="1"/>
                <c:pt idx="0">
                  <c:v>P25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Dashboard!$A$45:$A$50</c:f>
              <c:strCache>
                <c:ptCount val="6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</c:strCache>
            </c:strRef>
          </c:cat>
          <c:val>
            <c:numRef>
              <c:f>Dashboard!$C$45:$C$50</c:f>
              <c:numCache>
                <c:formatCode>\$#,##0;"($"#,##0\);\-</c:formatCode>
                <c:ptCount val="6"/>
                <c:pt idx="0">
                  <c:v>306369.839643424</c:v>
                </c:pt>
                <c:pt idx="1">
                  <c:v>467330.728146267</c:v>
                </c:pt>
                <c:pt idx="2">
                  <c:v>466502.731001639</c:v>
                </c:pt>
                <c:pt idx="3">
                  <c:v>446766.063575488</c:v>
                </c:pt>
                <c:pt idx="4">
                  <c:v>453220.150976827</c:v>
                </c:pt>
                <c:pt idx="5">
                  <c:v>477321.858899188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Dashboard!D44</c:f>
              <c:strCache>
                <c:ptCount val="1"/>
                <c:pt idx="0">
                  <c:v>P50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Dashboard!$A$45:$A$50</c:f>
              <c:strCache>
                <c:ptCount val="6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</c:strCache>
            </c:strRef>
          </c:cat>
          <c:val>
            <c:numRef>
              <c:f>Dashboard!$D$45:$D$50</c:f>
              <c:numCache>
                <c:formatCode>\$#,##0;"($"#,##0\);\-</c:formatCode>
                <c:ptCount val="6"/>
                <c:pt idx="0">
                  <c:v>340164.130658072</c:v>
                </c:pt>
                <c:pt idx="1">
                  <c:v>548680.078795748</c:v>
                </c:pt>
                <c:pt idx="2">
                  <c:v>596182.479611782</c:v>
                </c:pt>
                <c:pt idx="3">
                  <c:v>636958.96684752</c:v>
                </c:pt>
                <c:pt idx="4">
                  <c:v>667634.294631027</c:v>
                </c:pt>
                <c:pt idx="5">
                  <c:v>705852.61384951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Dashboard!E44</c:f>
              <c:strCache>
                <c:ptCount val="1"/>
                <c:pt idx="0">
                  <c:v>P75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Dashboard!$A$45:$A$50</c:f>
              <c:strCache>
                <c:ptCount val="6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</c:strCache>
            </c:strRef>
          </c:cat>
          <c:val>
            <c:numRef>
              <c:f>Dashboard!$E$45:$E$50</c:f>
              <c:numCache>
                <c:formatCode>\$#,##0;"($"#,##0\);\-</c:formatCode>
                <c:ptCount val="6"/>
                <c:pt idx="0">
                  <c:v>363134.875175299</c:v>
                </c:pt>
                <c:pt idx="1">
                  <c:v>594120.568815722</c:v>
                </c:pt>
                <c:pt idx="2">
                  <c:v>683197.51633992</c:v>
                </c:pt>
                <c:pt idx="3">
                  <c:v>765368.491979635</c:v>
                </c:pt>
                <c:pt idx="4">
                  <c:v>827514.100381347</c:v>
                </c:pt>
                <c:pt idx="5">
                  <c:v>898081.148435194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Dashboard!F44</c:f>
              <c:strCache>
                <c:ptCount val="1"/>
                <c:pt idx="0">
                  <c:v>P95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Dashboard!$A$45:$A$50</c:f>
              <c:strCache>
                <c:ptCount val="6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</c:strCache>
            </c:strRef>
          </c:cat>
          <c:val>
            <c:numRef>
              <c:f>Dashboard!$F$45:$F$50</c:f>
              <c:numCache>
                <c:formatCode>\$#,##0;"($"#,##0\);\-</c:formatCode>
                <c:ptCount val="6"/>
                <c:pt idx="0">
                  <c:v>396477.331861159</c:v>
                </c:pt>
                <c:pt idx="1">
                  <c:v>672492.54367143</c:v>
                </c:pt>
                <c:pt idx="2">
                  <c:v>804050.775736741</c:v>
                </c:pt>
                <c:pt idx="3">
                  <c:v>925657.12422679</c:v>
                </c:pt>
                <c:pt idx="4">
                  <c:v>1095764.28153179</c:v>
                </c:pt>
                <c:pt idx="5">
                  <c:v>1193857.77938332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8567667"/>
        <c:axId val="14601171"/>
      </c:lineChart>
      <c:catAx>
        <c:axId val="885676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601171"/>
        <c:crosses val="autoZero"/>
        <c:auto val="1"/>
        <c:lblAlgn val="ctr"/>
        <c:lblOffset val="100"/>
        <c:noMultiLvlLbl val="0"/>
      </c:catAx>
      <c:valAx>
        <c:axId val="146011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Portfolio Value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5676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Facility Contribution: Simulated Range for Co-Sponsor Communication (2033)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Dashboard!B54</c:f>
              <c:strCache>
                <c:ptCount val="1"/>
                <c:pt idx="0">
                  <c:v>Facility Contribution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Dashboard!$A$55:$A$59</c:f>
              <c:strCache>
                <c:ptCount val="5"/>
                <c:pt idx="0">
                  <c:v>5th (downside)</c:v>
                </c:pt>
                <c:pt idx="1">
                  <c:v>25th</c:v>
                </c:pt>
                <c:pt idx="2">
                  <c:v>50th (Median)</c:v>
                </c:pt>
                <c:pt idx="3">
                  <c:v>75th</c:v>
                </c:pt>
                <c:pt idx="4">
                  <c:v>95th (upside)</c:v>
                </c:pt>
              </c:strCache>
            </c:strRef>
          </c:cat>
          <c:val>
            <c:numRef>
              <c:f>Dashboard!$B$55:$B$59</c:f>
              <c:numCache>
                <c:formatCode>\$#,##0;"($"#,##0\);\-</c:formatCode>
                <c:ptCount val="5"/>
                <c:pt idx="0">
                  <c:v>-179594.988238515</c:v>
                </c:pt>
                <c:pt idx="1">
                  <c:v>36057.8622366849</c:v>
                </c:pt>
                <c:pt idx="2">
                  <c:v>264588.617187006</c:v>
                </c:pt>
                <c:pt idx="3">
                  <c:v>456817.15177269</c:v>
                </c:pt>
                <c:pt idx="4">
                  <c:v>752593.782720816</c:v>
                </c:pt>
              </c:numCache>
            </c:numRef>
          </c:val>
        </c:ser>
        <c:gapWidth val="150"/>
        <c:overlap val="0"/>
        <c:axId val="1721579"/>
        <c:axId val="40288878"/>
      </c:barChart>
      <c:catAx>
        <c:axId val="17215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Percentile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288878"/>
        <c:crosses val="autoZero"/>
        <c:auto val="1"/>
        <c:lblAlgn val="ctr"/>
        <c:lblOffset val="100"/>
        <c:noMultiLvlLbl val="0"/>
      </c:catAx>
      <c:valAx>
        <c:axId val="402888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Facility Contribution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215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160920</xdr:rowOff>
    </xdr:from>
    <xdr:to>
      <xdr:col>18</xdr:col>
      <xdr:colOff>364680</xdr:colOff>
      <xdr:row>19</xdr:row>
      <xdr:rowOff>162000</xdr:rowOff>
    </xdr:to>
    <xdr:graphicFrame>
      <xdr:nvGraphicFramePr>
        <xdr:cNvPr id="0" name="Chart 1"/>
        <xdr:cNvGraphicFramePr/>
      </xdr:nvGraphicFramePr>
      <xdr:xfrm>
        <a:off x="13369320" y="571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22</xdr:row>
      <xdr:rowOff>160560</xdr:rowOff>
    </xdr:from>
    <xdr:to>
      <xdr:col>18</xdr:col>
      <xdr:colOff>364680</xdr:colOff>
      <xdr:row>39</xdr:row>
      <xdr:rowOff>162000</xdr:rowOff>
    </xdr:to>
    <xdr:graphicFrame>
      <xdr:nvGraphicFramePr>
        <xdr:cNvPr id="1" name="Chart 2"/>
        <xdr:cNvGraphicFramePr/>
      </xdr:nvGraphicFramePr>
      <xdr:xfrm>
        <a:off x="13369320" y="43815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5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  <c r="D4" s="4"/>
      <c r="E4" s="4"/>
      <c r="F4" s="4"/>
    </row>
    <row r="6" customFormat="false" ht="15" hidden="false" customHeight="false" outlineLevel="0" collapsed="false">
      <c r="A6" s="5" t="s">
        <v>3</v>
      </c>
      <c r="B6" s="5" t="s">
        <v>4</v>
      </c>
    </row>
    <row r="7" customFormat="false" ht="15" hidden="false" customHeight="false" outlineLevel="0" collapsed="false">
      <c r="A7" s="0" t="s">
        <v>5</v>
      </c>
      <c r="B7" s="6" t="n">
        <f aca="false">PERCENTILE(Growth_MC!AE2:AE501,0.05)</f>
        <v>261669.008423988</v>
      </c>
    </row>
    <row r="8" customFormat="false" ht="15" hidden="false" customHeight="false" outlineLevel="0" collapsed="false">
      <c r="A8" s="0" t="s">
        <v>6</v>
      </c>
      <c r="B8" s="6" t="n">
        <f aca="false">PERCENTILE(Growth_MC!AE2:AE501,0.25)</f>
        <v>477321.858899188</v>
      </c>
    </row>
    <row r="9" customFormat="false" ht="15" hidden="false" customHeight="false" outlineLevel="0" collapsed="false">
      <c r="A9" s="0" t="s">
        <v>7</v>
      </c>
      <c r="B9" s="6" t="n">
        <f aca="false">PERCENTILE(Growth_MC!AE2:AE501,0.5)</f>
        <v>705852.61384951</v>
      </c>
    </row>
    <row r="10" customFormat="false" ht="15" hidden="false" customHeight="false" outlineLevel="0" collapsed="false">
      <c r="A10" s="0" t="s">
        <v>8</v>
      </c>
      <c r="B10" s="6" t="n">
        <f aca="false">PERCENTILE(Growth_MC!AE2:AE501,0.75)</f>
        <v>898081.148435194</v>
      </c>
    </row>
    <row r="11" customFormat="false" ht="15" hidden="false" customHeight="false" outlineLevel="0" collapsed="false">
      <c r="A11" s="0" t="s">
        <v>9</v>
      </c>
      <c r="B11" s="6" t="n">
        <f aca="false">PERCENTILE(Growth_MC!AE2:AE501,0.95)</f>
        <v>1193857.77938332</v>
      </c>
    </row>
    <row r="12" customFormat="false" ht="15" hidden="false" customHeight="false" outlineLevel="0" collapsed="false">
      <c r="A12" s="5" t="s">
        <v>10</v>
      </c>
      <c r="B12" s="7" t="n">
        <f aca="false">AVERAGE(Growth_MC!AE2:AE501)</f>
        <v>699915.057799215</v>
      </c>
    </row>
    <row r="14" customFormat="false" ht="15" hidden="false" customHeight="false" outlineLevel="0" collapsed="false">
      <c r="A14" s="3" t="s">
        <v>11</v>
      </c>
      <c r="B14" s="4"/>
      <c r="C14" s="4"/>
      <c r="D14" s="4"/>
      <c r="E14" s="4"/>
      <c r="F14" s="4"/>
    </row>
    <row r="16" customFormat="false" ht="15" hidden="false" customHeight="false" outlineLevel="0" collapsed="false">
      <c r="A16" s="0" t="s">
        <v>12</v>
      </c>
      <c r="B16" s="8" t="n">
        <f aca="false">AVERAGE(Growth_MC!T2:Y501)</f>
        <v>0.0784468885488509</v>
      </c>
    </row>
    <row r="17" customFormat="false" ht="15" hidden="false" customHeight="false" outlineLevel="0" collapsed="false">
      <c r="A17" s="0" t="s">
        <v>13</v>
      </c>
      <c r="B17" s="8" t="n">
        <f aca="false">STDEV(Growth_MC!T2:Y501)</f>
        <v>0.170427007619364</v>
      </c>
    </row>
    <row r="18" customFormat="false" ht="15" hidden="false" customHeight="false" outlineLevel="0" collapsed="false">
      <c r="A18" s="5" t="s">
        <v>14</v>
      </c>
      <c r="B18" s="9" t="n">
        <f aca="false">(B16-Assumptions!$B$16)/B17</f>
        <v>0.219723910382125</v>
      </c>
      <c r="C18" s="2" t="s">
        <v>15</v>
      </c>
    </row>
    <row r="19" customFormat="false" ht="15" hidden="false" customHeight="false" outlineLevel="0" collapsed="false">
      <c r="A19" s="0" t="s">
        <v>16</v>
      </c>
      <c r="B19" s="8" t="n">
        <f aca="false">SQRT(SUMPRODUCT((Growth_MC!T2:Y501&lt;0)*((Growth_MC!T2:Y501)-0)^2)/COUNT(Growth_MC!T2:Y501))</f>
        <v>0.104146107679344</v>
      </c>
    </row>
    <row r="20" customFormat="false" ht="15" hidden="false" customHeight="false" outlineLevel="0" collapsed="false">
      <c r="A20" s="5" t="s">
        <v>17</v>
      </c>
      <c r="B20" s="9" t="n">
        <f aca="false">B16/B19</f>
        <v>0.753238794006411</v>
      </c>
      <c r="C20" s="2" t="s">
        <v>18</v>
      </c>
    </row>
    <row r="21" customFormat="false" ht="15" hidden="false" customHeight="false" outlineLevel="0" collapsed="false">
      <c r="A21" s="5" t="s">
        <v>19</v>
      </c>
      <c r="B21" s="10" t="n">
        <f aca="false">-PERCENTILE(Growth_MC!T2:Y501,0.05)</f>
        <v>0.272974773907518</v>
      </c>
      <c r="C21" s="2" t="s">
        <v>20</v>
      </c>
    </row>
    <row r="22" customFormat="false" ht="15" hidden="false" customHeight="false" outlineLevel="0" collapsed="false">
      <c r="A22" s="5" t="s">
        <v>21</v>
      </c>
      <c r="B22" s="10" t="n">
        <f aca="false">-SUMPRODUCT((Growth_MC!T2:Y501&lt;=PERCENTILE(Growth_MC!T2:Y501,0.05))*Growth_MC!T2:Y501)/SUMPRODUCT((Growth_MC!T2:Y501&lt;=PERCENTILE(Growth_MC!T2:Y501,0.05))*1)</f>
        <v>0.375503803368647</v>
      </c>
      <c r="C22" s="2" t="s">
        <v>22</v>
      </c>
    </row>
    <row r="23" customFormat="false" ht="15" hidden="false" customHeight="false" outlineLevel="0" collapsed="false">
      <c r="A23" s="0" t="s">
        <v>23</v>
      </c>
      <c r="B23" s="8" t="n">
        <f aca="false">AVERAGE(Growth_MC!AL2:AL501)</f>
        <v>-0.148240243844757</v>
      </c>
    </row>
    <row r="24" customFormat="false" ht="15" hidden="false" customHeight="false" outlineLevel="0" collapsed="false">
      <c r="A24" s="0" t="s">
        <v>24</v>
      </c>
      <c r="B24" s="8" t="n">
        <f aca="false">PERCENTILE(Growth_MC!AL2:AL501,0.05)</f>
        <v>-0.496151205102224</v>
      </c>
    </row>
    <row r="26" customFormat="false" ht="15" hidden="false" customHeight="false" outlineLevel="0" collapsed="false">
      <c r="A26" s="3" t="s">
        <v>25</v>
      </c>
      <c r="B26" s="4"/>
      <c r="C26" s="4"/>
      <c r="D26" s="4"/>
      <c r="E26" s="4"/>
      <c r="F26" s="4"/>
    </row>
    <row r="28" customFormat="false" ht="15" hidden="false" customHeight="false" outlineLevel="0" collapsed="false">
      <c r="A28" s="0" t="s">
        <v>26</v>
      </c>
      <c r="B28" s="6" t="n">
        <f aca="false">Assumptions!$B$35</f>
        <v>441263.996662504</v>
      </c>
    </row>
    <row r="29" customFormat="false" ht="15" hidden="false" customHeight="false" outlineLevel="0" collapsed="false">
      <c r="A29" s="5" t="s">
        <v>27</v>
      </c>
      <c r="B29" s="10" t="n">
        <f aca="false">AVERAGE(Reserve_MC!AH2:AH501)</f>
        <v>0.96</v>
      </c>
      <c r="C29" s="2" t="s">
        <v>28</v>
      </c>
    </row>
    <row r="31" customFormat="false" ht="15" hidden="false" customHeight="false" outlineLevel="0" collapsed="false">
      <c r="A31" s="3" t="s">
        <v>29</v>
      </c>
      <c r="B31" s="4"/>
      <c r="C31" s="4"/>
      <c r="D31" s="4"/>
      <c r="E31" s="4"/>
      <c r="F31" s="4"/>
    </row>
    <row r="33" customFormat="false" ht="15" hidden="false" customHeight="false" outlineLevel="0" collapsed="false">
      <c r="A33" s="5" t="s">
        <v>3</v>
      </c>
      <c r="B33" s="5" t="s">
        <v>30</v>
      </c>
    </row>
    <row r="34" customFormat="false" ht="15" hidden="false" customHeight="false" outlineLevel="0" collapsed="false">
      <c r="A34" s="0" t="s">
        <v>5</v>
      </c>
      <c r="B34" s="6" t="n">
        <f aca="false">PERCENTILE(Growth_MC!AM2:AM501,0.05)</f>
        <v>-179594.988238515</v>
      </c>
    </row>
    <row r="35" customFormat="false" ht="15" hidden="false" customHeight="false" outlineLevel="0" collapsed="false">
      <c r="A35" s="0" t="s">
        <v>6</v>
      </c>
      <c r="B35" s="6" t="n">
        <f aca="false">PERCENTILE(Growth_MC!AM2:AM501,0.25)</f>
        <v>36057.8622366849</v>
      </c>
    </row>
    <row r="36" customFormat="false" ht="15" hidden="false" customHeight="false" outlineLevel="0" collapsed="false">
      <c r="A36" s="0" t="s">
        <v>7</v>
      </c>
      <c r="B36" s="6" t="n">
        <f aca="false">PERCENTILE(Growth_MC!AM2:AM501,0.5)</f>
        <v>264588.617187006</v>
      </c>
    </row>
    <row r="37" customFormat="false" ht="15" hidden="false" customHeight="false" outlineLevel="0" collapsed="false">
      <c r="A37" s="0" t="s">
        <v>8</v>
      </c>
      <c r="B37" s="6" t="n">
        <f aca="false">PERCENTILE(Growth_MC!AM2:AM501,0.75)</f>
        <v>456817.15177269</v>
      </c>
    </row>
    <row r="38" customFormat="false" ht="15" hidden="false" customHeight="false" outlineLevel="0" collapsed="false">
      <c r="A38" s="0" t="s">
        <v>9</v>
      </c>
      <c r="B38" s="6" t="n">
        <f aca="false">PERCENTILE(Growth_MC!AM2:AM501,0.95)</f>
        <v>752593.782720816</v>
      </c>
    </row>
    <row r="39" customFormat="false" ht="15" hidden="false" customHeight="false" outlineLevel="0" collapsed="false">
      <c r="A39" s="5" t="s">
        <v>31</v>
      </c>
      <c r="B39" s="5" t="str">
        <f aca="false">TEXT(MAX(B35,0),"$#,##0")&amp;" – "&amp;TEXT(B37,"$#,##0")</f>
        <v>$36,058 – $456,817</v>
      </c>
    </row>
    <row r="40" customFormat="false" ht="15" hidden="false" customHeight="false" outlineLevel="0" collapsed="false">
      <c r="A40" s="11" t="s">
        <v>32</v>
      </c>
    </row>
    <row r="42" customFormat="false" ht="15" hidden="false" customHeight="false" outlineLevel="0" collapsed="false">
      <c r="A42" s="3" t="s">
        <v>33</v>
      </c>
      <c r="B42" s="4"/>
      <c r="C42" s="4"/>
      <c r="D42" s="4"/>
      <c r="E42" s="4"/>
      <c r="F42" s="4"/>
    </row>
    <row r="44" customFormat="false" ht="15" hidden="false" customHeight="false" outlineLevel="0" collapsed="false">
      <c r="A44" s="5" t="s">
        <v>34</v>
      </c>
      <c r="B44" s="5" t="s">
        <v>35</v>
      </c>
      <c r="C44" s="5" t="s">
        <v>36</v>
      </c>
      <c r="D44" s="5" t="s">
        <v>37</v>
      </c>
      <c r="E44" s="5" t="s">
        <v>38</v>
      </c>
      <c r="F44" s="5" t="s">
        <v>39</v>
      </c>
    </row>
    <row r="45" customFormat="false" ht="15" hidden="false" customHeight="false" outlineLevel="0" collapsed="false">
      <c r="A45" s="0" t="s">
        <v>40</v>
      </c>
      <c r="B45" s="6" t="n">
        <f aca="false">PERCENTILE(Growth_MC!Z2:Z501,0.05)</f>
        <v>217036.945555275</v>
      </c>
      <c r="C45" s="6" t="n">
        <f aca="false">PERCENTILE(Growth_MC!Z2:Z501,0.25)</f>
        <v>306369.839643424</v>
      </c>
      <c r="D45" s="6" t="n">
        <f aca="false">PERCENTILE(Growth_MC!Z2:Z501,0.5)</f>
        <v>340164.130658072</v>
      </c>
      <c r="E45" s="6" t="n">
        <f aca="false">PERCENTILE(Growth_MC!Z2:Z501,0.75)</f>
        <v>363134.875175299</v>
      </c>
      <c r="F45" s="6" t="n">
        <f aca="false">PERCENTILE(Growth_MC!Z2:Z501,0.95)</f>
        <v>396477.331861159</v>
      </c>
    </row>
    <row r="46" customFormat="false" ht="15" hidden="false" customHeight="false" outlineLevel="0" collapsed="false">
      <c r="A46" s="0" t="s">
        <v>41</v>
      </c>
      <c r="B46" s="6" t="n">
        <f aca="false">PERCENTILE(Growth_MC!AA2:AA501,0.05)</f>
        <v>304579.251956562</v>
      </c>
      <c r="C46" s="6" t="n">
        <f aca="false">PERCENTILE(Growth_MC!AA2:AA501,0.25)</f>
        <v>467330.728146267</v>
      </c>
      <c r="D46" s="6" t="n">
        <f aca="false">PERCENTILE(Growth_MC!AA2:AA501,0.5)</f>
        <v>548680.078795748</v>
      </c>
      <c r="E46" s="6" t="n">
        <f aca="false">PERCENTILE(Growth_MC!AA2:AA501,0.75)</f>
        <v>594120.568815722</v>
      </c>
      <c r="F46" s="6" t="n">
        <f aca="false">PERCENTILE(Growth_MC!AA2:AA501,0.95)</f>
        <v>672492.54367143</v>
      </c>
    </row>
    <row r="47" customFormat="false" ht="15" hidden="false" customHeight="false" outlineLevel="0" collapsed="false">
      <c r="A47" s="0" t="s">
        <v>42</v>
      </c>
      <c r="B47" s="6" t="n">
        <f aca="false">PERCENTILE(Growth_MC!AB2:AB501,0.05)</f>
        <v>264312.09451794</v>
      </c>
      <c r="C47" s="6" t="n">
        <f aca="false">PERCENTILE(Growth_MC!AB2:AB501,0.25)</f>
        <v>466502.731001639</v>
      </c>
      <c r="D47" s="6" t="n">
        <f aca="false">PERCENTILE(Growth_MC!AB2:AB501,0.5)</f>
        <v>596182.479611782</v>
      </c>
      <c r="E47" s="6" t="n">
        <f aca="false">PERCENTILE(Growth_MC!AB2:AB501,0.75)</f>
        <v>683197.51633992</v>
      </c>
      <c r="F47" s="6" t="n">
        <f aca="false">PERCENTILE(Growth_MC!AB2:AB501,0.95)</f>
        <v>804050.775736741</v>
      </c>
    </row>
    <row r="48" customFormat="false" ht="15" hidden="false" customHeight="false" outlineLevel="0" collapsed="false">
      <c r="A48" s="0" t="s">
        <v>43</v>
      </c>
      <c r="B48" s="6" t="n">
        <f aca="false">PERCENTILE(Growth_MC!AC2:AC501,0.05)</f>
        <v>238733.162198374</v>
      </c>
      <c r="C48" s="6" t="n">
        <f aca="false">PERCENTILE(Growth_MC!AC2:AC501,0.25)</f>
        <v>446766.063575488</v>
      </c>
      <c r="D48" s="6" t="n">
        <f aca="false">PERCENTILE(Growth_MC!AC2:AC501,0.5)</f>
        <v>636958.96684752</v>
      </c>
      <c r="E48" s="6" t="n">
        <f aca="false">PERCENTILE(Growth_MC!AC2:AC501,0.75)</f>
        <v>765368.491979635</v>
      </c>
      <c r="F48" s="6" t="n">
        <f aca="false">PERCENTILE(Growth_MC!AC2:AC501,0.95)</f>
        <v>925657.12422679</v>
      </c>
    </row>
    <row r="49" customFormat="false" ht="15" hidden="false" customHeight="false" outlineLevel="0" collapsed="false">
      <c r="A49" s="0" t="s">
        <v>44</v>
      </c>
      <c r="B49" s="6" t="n">
        <f aca="false">PERCENTILE(Growth_MC!AD2:AD501,0.05)</f>
        <v>241155.035623641</v>
      </c>
      <c r="C49" s="6" t="n">
        <f aca="false">PERCENTILE(Growth_MC!AD2:AD501,0.25)</f>
        <v>453220.150976827</v>
      </c>
      <c r="D49" s="6" t="n">
        <f aca="false">PERCENTILE(Growth_MC!AD2:AD501,0.5)</f>
        <v>667634.294631027</v>
      </c>
      <c r="E49" s="6" t="n">
        <f aca="false">PERCENTILE(Growth_MC!AD2:AD501,0.75)</f>
        <v>827514.100381347</v>
      </c>
      <c r="F49" s="6" t="n">
        <f aca="false">PERCENTILE(Growth_MC!AD2:AD501,0.95)</f>
        <v>1095764.28153179</v>
      </c>
    </row>
    <row r="50" customFormat="false" ht="15" hidden="false" customHeight="false" outlineLevel="0" collapsed="false">
      <c r="A50" s="0" t="s">
        <v>45</v>
      </c>
      <c r="B50" s="6" t="n">
        <f aca="false">PERCENTILE(Growth_MC!AE2:AE501,0.05)</f>
        <v>261669.008423988</v>
      </c>
      <c r="C50" s="6" t="n">
        <f aca="false">PERCENTILE(Growth_MC!AE2:AE501,0.25)</f>
        <v>477321.858899188</v>
      </c>
      <c r="D50" s="6" t="n">
        <f aca="false">PERCENTILE(Growth_MC!AE2:AE501,0.5)</f>
        <v>705852.61384951</v>
      </c>
      <c r="E50" s="6" t="n">
        <f aca="false">PERCENTILE(Growth_MC!AE2:AE501,0.75)</f>
        <v>898081.148435194</v>
      </c>
      <c r="F50" s="6" t="n">
        <f aca="false">PERCENTILE(Growth_MC!AE2:AE501,0.95)</f>
        <v>1193857.77938332</v>
      </c>
    </row>
    <row r="52" customFormat="false" ht="15" hidden="false" customHeight="false" outlineLevel="0" collapsed="false">
      <c r="A52" s="3" t="s">
        <v>46</v>
      </c>
      <c r="B52" s="4"/>
      <c r="C52" s="4"/>
      <c r="D52" s="4"/>
      <c r="E52" s="4"/>
      <c r="F52" s="4"/>
    </row>
    <row r="54" customFormat="false" ht="15" hidden="false" customHeight="false" outlineLevel="0" collapsed="false">
      <c r="A54" s="5" t="s">
        <v>3</v>
      </c>
      <c r="B54" s="5" t="s">
        <v>30</v>
      </c>
    </row>
    <row r="55" customFormat="false" ht="15" hidden="false" customHeight="false" outlineLevel="0" collapsed="false">
      <c r="A55" s="0" t="s">
        <v>5</v>
      </c>
      <c r="B55" s="6" t="n">
        <f aca="false">PERCENTILE(Growth_MC!AM2:AM501,0.05)</f>
        <v>-179594.988238515</v>
      </c>
    </row>
    <row r="56" customFormat="false" ht="15" hidden="false" customHeight="false" outlineLevel="0" collapsed="false">
      <c r="A56" s="0" t="s">
        <v>6</v>
      </c>
      <c r="B56" s="6" t="n">
        <f aca="false">PERCENTILE(Growth_MC!AM2:AM501,0.25)</f>
        <v>36057.8622366849</v>
      </c>
    </row>
    <row r="57" customFormat="false" ht="15" hidden="false" customHeight="false" outlineLevel="0" collapsed="false">
      <c r="A57" s="0" t="s">
        <v>7</v>
      </c>
      <c r="B57" s="6" t="n">
        <f aca="false">PERCENTILE(Growth_MC!AM2:AM501,0.5)</f>
        <v>264588.617187006</v>
      </c>
    </row>
    <row r="58" customFormat="false" ht="15" hidden="false" customHeight="false" outlineLevel="0" collapsed="false">
      <c r="A58" s="0" t="s">
        <v>8</v>
      </c>
      <c r="B58" s="6" t="n">
        <f aca="false">PERCENTILE(Growth_MC!AM2:AM501,0.75)</f>
        <v>456817.15177269</v>
      </c>
    </row>
    <row r="59" customFormat="false" ht="15" hidden="false" customHeight="false" outlineLevel="0" collapsed="false">
      <c r="A59" s="0" t="s">
        <v>9</v>
      </c>
      <c r="B59" s="6" t="n">
        <f aca="false">PERCENTILE(Growth_MC!AM2:AM501,0.95)</f>
        <v>752593.782720816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66"/>
  </cols>
  <sheetData>
    <row r="1" customFormat="false" ht="17.35" hidden="false" customHeight="false" outlineLevel="0" collapsed="false">
      <c r="A1" s="1" t="s">
        <v>47</v>
      </c>
    </row>
    <row r="2" customFormat="false" ht="15" hidden="false" customHeight="false" outlineLevel="0" collapsed="false">
      <c r="A2" s="12" t="s">
        <v>48</v>
      </c>
    </row>
    <row r="4" customFormat="false" ht="15" hidden="false" customHeight="false" outlineLevel="0" collapsed="false">
      <c r="A4" s="3" t="s">
        <v>49</v>
      </c>
      <c r="B4" s="4"/>
      <c r="C4" s="4"/>
    </row>
    <row r="5" customFormat="false" ht="15" hidden="false" customHeight="false" outlineLevel="0" collapsed="false">
      <c r="A5" s="0" t="s">
        <v>50</v>
      </c>
      <c r="B5" s="13" t="n">
        <v>0.16</v>
      </c>
      <c r="C5" s="2" t="s">
        <v>51</v>
      </c>
    </row>
    <row r="6" customFormat="false" ht="15" hidden="false" customHeight="false" outlineLevel="0" collapsed="false">
      <c r="A6" s="0" t="s">
        <v>52</v>
      </c>
      <c r="B6" s="13" t="n">
        <v>0.1</v>
      </c>
    </row>
    <row r="7" customFormat="false" ht="15" hidden="false" customHeight="false" outlineLevel="0" collapsed="false">
      <c r="A7" s="0" t="s">
        <v>53</v>
      </c>
      <c r="B7" s="13" t="n">
        <v>0.78</v>
      </c>
      <c r="C7" s="2" t="s">
        <v>54</v>
      </c>
    </row>
    <row r="8" customFormat="false" ht="15" hidden="false" customHeight="false" outlineLevel="0" collapsed="false">
      <c r="A8" s="0" t="s">
        <v>55</v>
      </c>
      <c r="B8" s="13" t="n">
        <v>-0.12</v>
      </c>
    </row>
    <row r="9" customFormat="false" ht="15" hidden="false" customHeight="false" outlineLevel="0" collapsed="false">
      <c r="A9" s="0" t="s">
        <v>56</v>
      </c>
      <c r="B9" s="13" t="n">
        <v>0.2</v>
      </c>
    </row>
    <row r="10" customFormat="false" ht="15" hidden="false" customHeight="false" outlineLevel="0" collapsed="false">
      <c r="A10" s="0" t="s">
        <v>57</v>
      </c>
      <c r="B10" s="13" t="n">
        <v>0.5</v>
      </c>
    </row>
    <row r="11" customFormat="false" ht="15" hidden="false" customHeight="false" outlineLevel="0" collapsed="false">
      <c r="A11" s="0" t="s">
        <v>58</v>
      </c>
      <c r="B11" s="13" t="n">
        <v>0.7</v>
      </c>
    </row>
    <row r="13" customFormat="false" ht="15" hidden="false" customHeight="false" outlineLevel="0" collapsed="false">
      <c r="A13" s="3" t="s">
        <v>59</v>
      </c>
      <c r="B13" s="4"/>
      <c r="C13" s="4"/>
    </row>
    <row r="14" customFormat="false" ht="15" hidden="false" customHeight="false" outlineLevel="0" collapsed="false">
      <c r="A14" s="0" t="s">
        <v>60</v>
      </c>
      <c r="B14" s="13" t="n">
        <v>0.048</v>
      </c>
      <c r="C14" s="2" t="s">
        <v>61</v>
      </c>
    </row>
    <row r="15" customFormat="false" ht="15" hidden="false" customHeight="false" outlineLevel="0" collapsed="false">
      <c r="A15" s="0" t="s">
        <v>62</v>
      </c>
      <c r="B15" s="13" t="n">
        <v>0.03</v>
      </c>
      <c r="C15" s="2" t="s">
        <v>63</v>
      </c>
    </row>
    <row r="16" customFormat="false" ht="15" hidden="false" customHeight="false" outlineLevel="0" collapsed="false">
      <c r="A16" s="0" t="s">
        <v>64</v>
      </c>
      <c r="B16" s="13" t="n">
        <v>0.041</v>
      </c>
      <c r="C16" s="2" t="s">
        <v>65</v>
      </c>
    </row>
    <row r="18" customFormat="false" ht="15" hidden="false" customHeight="false" outlineLevel="0" collapsed="false">
      <c r="A18" s="3" t="s">
        <v>66</v>
      </c>
      <c r="B18" s="4"/>
      <c r="C18" s="4"/>
    </row>
    <row r="19" customFormat="false" ht="15" hidden="false" customHeight="false" outlineLevel="0" collapsed="false">
      <c r="A19" s="0" t="s">
        <v>67</v>
      </c>
      <c r="B19" s="13" t="n">
        <v>1</v>
      </c>
      <c r="C19" s="2" t="s">
        <v>68</v>
      </c>
    </row>
    <row r="20" customFormat="false" ht="15" hidden="false" customHeight="false" outlineLevel="0" collapsed="false">
      <c r="A20" s="0" t="s">
        <v>69</v>
      </c>
      <c r="B20" s="13" t="n">
        <v>1</v>
      </c>
    </row>
    <row r="21" customFormat="false" ht="15" hidden="false" customHeight="false" outlineLevel="0" collapsed="false">
      <c r="A21" s="0" t="s">
        <v>70</v>
      </c>
      <c r="B21" s="13" t="n">
        <v>1</v>
      </c>
    </row>
    <row r="22" customFormat="false" ht="15" hidden="false" customHeight="false" outlineLevel="0" collapsed="false">
      <c r="A22" s="0" t="s">
        <v>71</v>
      </c>
      <c r="B22" s="13" t="n">
        <v>1</v>
      </c>
    </row>
    <row r="23" customFormat="false" ht="15" hidden="false" customHeight="false" outlineLevel="0" collapsed="false">
      <c r="A23" s="0" t="s">
        <v>72</v>
      </c>
      <c r="B23" s="13" t="n">
        <v>0.8</v>
      </c>
    </row>
    <row r="24" customFormat="false" ht="15" hidden="false" customHeight="false" outlineLevel="0" collapsed="false">
      <c r="A24" s="0" t="s">
        <v>73</v>
      </c>
      <c r="B24" s="13" t="n">
        <v>0.6</v>
      </c>
    </row>
    <row r="26" customFormat="false" ht="15" hidden="false" customHeight="false" outlineLevel="0" collapsed="false">
      <c r="A26" s="3" t="s">
        <v>74</v>
      </c>
      <c r="B26" s="4"/>
      <c r="C26" s="4"/>
    </row>
    <row r="27" customFormat="false" ht="15" hidden="false" customHeight="false" outlineLevel="0" collapsed="false">
      <c r="A27" s="0" t="s">
        <v>75</v>
      </c>
      <c r="B27" s="14" t="n">
        <v>300000</v>
      </c>
      <c r="C27" s="2" t="s">
        <v>76</v>
      </c>
    </row>
    <row r="28" customFormat="false" ht="15" hidden="false" customHeight="false" outlineLevel="0" collapsed="false">
      <c r="A28" s="0" t="s">
        <v>77</v>
      </c>
      <c r="B28" s="14" t="n">
        <v>150000</v>
      </c>
      <c r="C28" s="2" t="s">
        <v>76</v>
      </c>
    </row>
    <row r="29" customFormat="false" ht="15" hidden="false" customHeight="false" outlineLevel="0" collapsed="false">
      <c r="A29" s="0" t="s">
        <v>78</v>
      </c>
      <c r="B29" s="14" t="n">
        <v>50000</v>
      </c>
      <c r="C29" s="2" t="s">
        <v>79</v>
      </c>
    </row>
    <row r="30" customFormat="false" ht="15" hidden="false" customHeight="false" outlineLevel="0" collapsed="false">
      <c r="A30" s="0" t="s">
        <v>80</v>
      </c>
      <c r="B30" s="15" t="n">
        <v>10</v>
      </c>
    </row>
    <row r="32" customFormat="false" ht="15" hidden="false" customHeight="false" outlineLevel="0" collapsed="false">
      <c r="A32" s="3" t="s">
        <v>81</v>
      </c>
      <c r="B32" s="4"/>
      <c r="C32" s="4"/>
    </row>
    <row r="33" customFormat="false" ht="15" hidden="false" customHeight="false" outlineLevel="0" collapsed="false">
      <c r="A33" s="0" t="s">
        <v>82</v>
      </c>
      <c r="B33" s="16" t="n">
        <f aca="false">B29*(1-(1+B14)^-B30)/B14*(1+B14)</f>
        <v>408577.774687503</v>
      </c>
      <c r="C33" s="2" t="s">
        <v>83</v>
      </c>
    </row>
    <row r="34" customFormat="false" ht="15" hidden="false" customHeight="false" outlineLevel="0" collapsed="false">
      <c r="A34" s="0" t="s">
        <v>84</v>
      </c>
      <c r="B34" s="13" t="n">
        <v>0.08</v>
      </c>
      <c r="C34" s="2" t="s">
        <v>85</v>
      </c>
    </row>
    <row r="35" customFormat="false" ht="15" hidden="false" customHeight="false" outlineLevel="0" collapsed="false">
      <c r="A35" s="0" t="s">
        <v>86</v>
      </c>
      <c r="B35" s="16" t="n">
        <f aca="false">B33*(1+B34)</f>
        <v>441263.996662504</v>
      </c>
      <c r="C35" s="2" t="s">
        <v>87</v>
      </c>
    </row>
    <row r="37" customFormat="false" ht="15" hidden="false" customHeight="false" outlineLevel="0" collapsed="false">
      <c r="A37" s="3" t="s">
        <v>88</v>
      </c>
      <c r="B37" s="4"/>
      <c r="C37" s="4"/>
    </row>
    <row r="38" customFormat="false" ht="15" hidden="false" customHeight="false" outlineLevel="0" collapsed="false">
      <c r="A38" s="0" t="s">
        <v>89</v>
      </c>
      <c r="B38" s="17" t="n">
        <v>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9" min="2" style="0" width="13"/>
  </cols>
  <sheetData>
    <row r="1" customFormat="false" ht="33.75" hidden="false" customHeight="true" outlineLevel="0" collapsed="false">
      <c r="A1" s="18" t="s">
        <v>90</v>
      </c>
      <c r="B1" s="18" t="s">
        <v>91</v>
      </c>
      <c r="C1" s="18" t="s">
        <v>92</v>
      </c>
      <c r="D1" s="18" t="s">
        <v>93</v>
      </c>
      <c r="E1" s="18" t="s">
        <v>94</v>
      </c>
      <c r="F1" s="18" t="s">
        <v>95</v>
      </c>
      <c r="G1" s="18" t="s">
        <v>96</v>
      </c>
      <c r="H1" s="18" t="s">
        <v>97</v>
      </c>
      <c r="I1" s="18" t="s">
        <v>98</v>
      </c>
      <c r="J1" s="18" t="s">
        <v>99</v>
      </c>
      <c r="K1" s="18" t="s">
        <v>100</v>
      </c>
      <c r="L1" s="18" t="s">
        <v>101</v>
      </c>
      <c r="M1" s="18" t="s">
        <v>102</v>
      </c>
      <c r="N1" s="18" t="s">
        <v>103</v>
      </c>
      <c r="O1" s="18" t="s">
        <v>104</v>
      </c>
      <c r="P1" s="18" t="s">
        <v>105</v>
      </c>
      <c r="Q1" s="18" t="s">
        <v>106</v>
      </c>
      <c r="R1" s="18" t="s">
        <v>107</v>
      </c>
      <c r="S1" s="18" t="s">
        <v>108</v>
      </c>
      <c r="T1" s="18" t="s">
        <v>109</v>
      </c>
      <c r="U1" s="18" t="s">
        <v>110</v>
      </c>
      <c r="V1" s="18" t="s">
        <v>111</v>
      </c>
      <c r="W1" s="18" t="s">
        <v>112</v>
      </c>
      <c r="X1" s="18" t="s">
        <v>113</v>
      </c>
      <c r="Y1" s="18" t="s">
        <v>114</v>
      </c>
      <c r="Z1" s="18" t="s">
        <v>115</v>
      </c>
      <c r="AA1" s="18" t="s">
        <v>116</v>
      </c>
      <c r="AB1" s="18" t="s">
        <v>117</v>
      </c>
      <c r="AC1" s="18" t="s">
        <v>118</v>
      </c>
      <c r="AD1" s="18" t="s">
        <v>119</v>
      </c>
      <c r="AE1" s="18" t="s">
        <v>120</v>
      </c>
      <c r="AF1" s="18" t="s">
        <v>121</v>
      </c>
      <c r="AG1" s="18" t="s">
        <v>122</v>
      </c>
      <c r="AH1" s="18" t="s">
        <v>123</v>
      </c>
      <c r="AI1" s="18" t="s">
        <v>124</v>
      </c>
      <c r="AJ1" s="18" t="s">
        <v>125</v>
      </c>
      <c r="AK1" s="18" t="s">
        <v>126</v>
      </c>
      <c r="AL1" s="18" t="s">
        <v>127</v>
      </c>
      <c r="AM1" s="18" t="s">
        <v>30</v>
      </c>
    </row>
    <row r="2" customFormat="false" ht="15" hidden="false" customHeight="false" outlineLevel="0" collapsed="false">
      <c r="A2" s="0" t="n">
        <f aca="false">ROW()-1</f>
        <v>1</v>
      </c>
      <c r="B2" s="0" t="str">
        <f aca="true">IF(RAND()&lt;Assumptions!$B$11,"Bull","Bear")</f>
        <v>Bull</v>
      </c>
      <c r="C2" s="0" t="str">
        <f aca="true">IF(B2="Bull",IF(RAND()&lt;Assumptions!$B$7,"Bull","Bear"),IF(RAND()&lt;Assumptions!$B$10,"Bear","Bull"))</f>
        <v>Bull</v>
      </c>
      <c r="D2" s="0" t="str">
        <f aca="true">IF(C2="Bull",IF(RAND()&lt;Assumptions!$B$7,"Bull","Bear"),IF(RAND()&lt;Assumptions!$B$10,"Bear","Bull"))</f>
        <v>Bull</v>
      </c>
      <c r="E2" s="0" t="str">
        <f aca="true">IF(D2="Bull",IF(RAND()&lt;Assumptions!$B$7,"Bull","Bear"),IF(RAND()&lt;Assumptions!$B$10,"Bear","Bull"))</f>
        <v>Bear</v>
      </c>
      <c r="F2" s="0" t="str">
        <f aca="true">IF(E2="Bull",IF(RAND()&lt;Assumptions!$B$7,"Bull","Bear"),IF(RAND()&lt;Assumptions!$B$10,"Bear","Bull"))</f>
        <v>Bull</v>
      </c>
      <c r="G2" s="0" t="str">
        <f aca="true">IF(F2="Bull",IF(RAND()&lt;Assumptions!$B$7,"Bull","Bear"),IF(RAND()&lt;Assumptions!$B$10,"Bear","Bull"))</f>
        <v>Bull</v>
      </c>
      <c r="H2" s="8" t="n">
        <f aca="true">IF(B2="Bull",NORMINV(RAND(),Assumptions!$B$5,Assumptions!$B$6),NORMINV(RAND(),Assumptions!$B$8,Assumptions!$B$9))</f>
        <v>0.248765868174715</v>
      </c>
      <c r="I2" s="8" t="n">
        <f aca="true">IF(C2="Bull",NORMINV(RAND(),Assumptions!$B$5,Assumptions!$B$6),NORMINV(RAND(),Assumptions!$B$8,Assumptions!$B$9))</f>
        <v>0.110135939750014</v>
      </c>
      <c r="J2" s="8" t="n">
        <f aca="true">IF(D2="Bull",NORMINV(RAND(),Assumptions!$B$5,Assumptions!$B$6),NORMINV(RAND(),Assumptions!$B$8,Assumptions!$B$9))</f>
        <v>0.298748015658715</v>
      </c>
      <c r="K2" s="8" t="n">
        <f aca="true">IF(E2="Bull",NORMINV(RAND(),Assumptions!$B$5,Assumptions!$B$6),NORMINV(RAND(),Assumptions!$B$8,Assumptions!$B$9))</f>
        <v>-0.172447057480215</v>
      </c>
      <c r="L2" s="8" t="n">
        <f aca="true">IF(F2="Bull",NORMINV(RAND(),Assumptions!$B$5,Assumptions!$B$6),NORMINV(RAND(),Assumptions!$B$8,Assumptions!$B$9))</f>
        <v>0.299066561017836</v>
      </c>
      <c r="M2" s="8" t="n">
        <f aca="true">IF(G2="Bull",NORMINV(RAND(),Assumptions!$B$5,Assumptions!$B$6),NORMINV(RAND(),Assumptions!$B$8,Assumptions!$B$9))</f>
        <v>0.242784086490786</v>
      </c>
      <c r="N2" s="8" t="n">
        <f aca="true">NORMINV(RAND(),Assumptions!$B$14,Assumptions!$B$15)</f>
        <v>0.0222540179932089</v>
      </c>
      <c r="O2" s="8" t="n">
        <f aca="true">NORMINV(RAND(),Assumptions!$B$14,Assumptions!$B$15)</f>
        <v>0.0232153806174292</v>
      </c>
      <c r="P2" s="8" t="n">
        <f aca="true">NORMINV(RAND(),Assumptions!$B$14,Assumptions!$B$15)</f>
        <v>-0.00318063261968563</v>
      </c>
      <c r="Q2" s="8" t="n">
        <f aca="true">NORMINV(RAND(),Assumptions!$B$14,Assumptions!$B$15)</f>
        <v>0.0516800133712695</v>
      </c>
      <c r="R2" s="8" t="n">
        <f aca="true">NORMINV(RAND(),Assumptions!$B$14,Assumptions!$B$15)</f>
        <v>0.0274459214328653</v>
      </c>
      <c r="S2" s="8" t="n">
        <f aca="true">NORMINV(RAND(),Assumptions!$B$14,Assumptions!$B$15)</f>
        <v>0.0597777983572217</v>
      </c>
      <c r="T2" s="8" t="n">
        <f aca="false">Assumptions!$B$19*H2+(1-Assumptions!$B$19)*N2</f>
        <v>0.248765868174715</v>
      </c>
      <c r="U2" s="8" t="n">
        <f aca="false">Assumptions!$B$20*I2+(1-Assumptions!$B$20)*O2</f>
        <v>0.110135939750014</v>
      </c>
      <c r="V2" s="8" t="n">
        <f aca="false">Assumptions!$B$21*J2+(1-Assumptions!$B$21)*P2</f>
        <v>0.298748015658715</v>
      </c>
      <c r="W2" s="8" t="n">
        <f aca="false">Assumptions!$B$22*K2+(1-Assumptions!$B$22)*Q2</f>
        <v>-0.172447057480215</v>
      </c>
      <c r="X2" s="8" t="n">
        <f aca="false">Assumptions!$B$23*L2+(1-Assumptions!$B$23)*R2</f>
        <v>0.244742433100842</v>
      </c>
      <c r="Y2" s="8" t="n">
        <f aca="false">Assumptions!$B$24*M2+(1-Assumptions!$B$24)*S2</f>
        <v>0.16958157123736</v>
      </c>
      <c r="Z2" s="6" t="n">
        <f aca="false">Assumptions!$B$27*(1+T2)</f>
        <v>374629.760452415</v>
      </c>
      <c r="AA2" s="6" t="n">
        <f aca="false">(Z2+Assumptions!$B$28)*(1+U2)</f>
        <v>582410.352140666</v>
      </c>
      <c r="AB2" s="6" t="n">
        <f aca="false">AA2*(1+V2)</f>
        <v>756404.289141783</v>
      </c>
      <c r="AC2" s="6" t="n">
        <f aca="false">AB2*(1+W2)</f>
        <v>625964.595213869</v>
      </c>
      <c r="AD2" s="6" t="n">
        <f aca="false">AC2*(1+X2)</f>
        <v>779164.693281494</v>
      </c>
      <c r="AE2" s="6" t="n">
        <f aca="false">AD2*(1+Y2)</f>
        <v>911296.666220846</v>
      </c>
      <c r="AF2" s="6" t="n">
        <f aca="false">Z2</f>
        <v>374629.760452415</v>
      </c>
      <c r="AG2" s="6" t="n">
        <f aca="false">MAX(AF2,AA2)</f>
        <v>582410.352140666</v>
      </c>
      <c r="AH2" s="6" t="n">
        <f aca="false">MAX(AG2,AB2)</f>
        <v>756404.289141783</v>
      </c>
      <c r="AI2" s="6" t="n">
        <f aca="false">MAX(AH2,AC2)</f>
        <v>756404.289141783</v>
      </c>
      <c r="AJ2" s="6" t="n">
        <f aca="false">MAX(AI2,AD2)</f>
        <v>779164.693281494</v>
      </c>
      <c r="AK2" s="6" t="n">
        <f aca="false">MAX(AJ2,AE2)</f>
        <v>911296.666220846</v>
      </c>
      <c r="AL2" s="8" t="n">
        <f aca="false">MIN(Z2/AF2-1,AA2/AG2-1,AB2/AH2-1,AC2/AI2-1,AD2/AJ2-1,AE2/AK2-1)</f>
        <v>-0.172447057480215</v>
      </c>
      <c r="AM2" s="6" t="n">
        <f aca="false">AE2-Assumptions!$B$35</f>
        <v>470032.669558343</v>
      </c>
    </row>
    <row r="3" customFormat="false" ht="15" hidden="false" customHeight="false" outlineLevel="0" collapsed="false">
      <c r="A3" s="0" t="n">
        <f aca="false">ROW()-1</f>
        <v>2</v>
      </c>
      <c r="B3" s="0" t="str">
        <f aca="true">IF(RAND()&lt;Assumptions!$B$11,"Bull","Bear")</f>
        <v>Bull</v>
      </c>
      <c r="C3" s="0" t="str">
        <f aca="true">IF(B3="Bull",IF(RAND()&lt;Assumptions!$B$7,"Bull","Bear"),IF(RAND()&lt;Assumptions!$B$10,"Bear","Bull"))</f>
        <v>Bull</v>
      </c>
      <c r="D3" s="0" t="str">
        <f aca="true">IF(C3="Bull",IF(RAND()&lt;Assumptions!$B$7,"Bull","Bear"),IF(RAND()&lt;Assumptions!$B$10,"Bear","Bull"))</f>
        <v>Bear</v>
      </c>
      <c r="E3" s="0" t="str">
        <f aca="true">IF(D3="Bull",IF(RAND()&lt;Assumptions!$B$7,"Bull","Bear"),IF(RAND()&lt;Assumptions!$B$10,"Bear","Bull"))</f>
        <v>Bear</v>
      </c>
      <c r="F3" s="0" t="str">
        <f aca="true">IF(E3="Bull",IF(RAND()&lt;Assumptions!$B$7,"Bull","Bear"),IF(RAND()&lt;Assumptions!$B$10,"Bear","Bull"))</f>
        <v>Bear</v>
      </c>
      <c r="G3" s="0" t="str">
        <f aca="true">IF(F3="Bull",IF(RAND()&lt;Assumptions!$B$7,"Bull","Bear"),IF(RAND()&lt;Assumptions!$B$10,"Bear","Bull"))</f>
        <v>Bear</v>
      </c>
      <c r="H3" s="8" t="n">
        <f aca="true">IF(B3="Bull",NORMINV(RAND(),Assumptions!$B$5,Assumptions!$B$6),NORMINV(RAND(),Assumptions!$B$8,Assumptions!$B$9))</f>
        <v>0.0626546685752492</v>
      </c>
      <c r="I3" s="8" t="n">
        <f aca="true">IF(C3="Bull",NORMINV(RAND(),Assumptions!$B$5,Assumptions!$B$6),NORMINV(RAND(),Assumptions!$B$8,Assumptions!$B$9))</f>
        <v>0.15018374253579</v>
      </c>
      <c r="J3" s="8" t="n">
        <f aca="true">IF(D3="Bull",NORMINV(RAND(),Assumptions!$B$5,Assumptions!$B$6),NORMINV(RAND(),Assumptions!$B$8,Assumptions!$B$9))</f>
        <v>-0.203532417134933</v>
      </c>
      <c r="K3" s="8" t="n">
        <f aca="true">IF(E3="Bull",NORMINV(RAND(),Assumptions!$B$5,Assumptions!$B$6),NORMINV(RAND(),Assumptions!$B$8,Assumptions!$B$9))</f>
        <v>0.0499666438866692</v>
      </c>
      <c r="L3" s="8" t="n">
        <f aca="true">IF(F3="Bull",NORMINV(RAND(),Assumptions!$B$5,Assumptions!$B$6),NORMINV(RAND(),Assumptions!$B$8,Assumptions!$B$9))</f>
        <v>-0.21009469351214</v>
      </c>
      <c r="M3" s="8" t="n">
        <f aca="true">IF(G3="Bull",NORMINV(RAND(),Assumptions!$B$5,Assumptions!$B$6),NORMINV(RAND(),Assumptions!$B$8,Assumptions!$B$9))</f>
        <v>-0.25608094095764</v>
      </c>
      <c r="N3" s="8" t="n">
        <f aca="true">NORMINV(RAND(),Assumptions!$B$14,Assumptions!$B$15)</f>
        <v>0.0389026220436119</v>
      </c>
      <c r="O3" s="8" t="n">
        <f aca="true">NORMINV(RAND(),Assumptions!$B$14,Assumptions!$B$15)</f>
        <v>0.0979689639216265</v>
      </c>
      <c r="P3" s="8" t="n">
        <f aca="true">NORMINV(RAND(),Assumptions!$B$14,Assumptions!$B$15)</f>
        <v>0.0564478760209738</v>
      </c>
      <c r="Q3" s="8" t="n">
        <f aca="true">NORMINV(RAND(),Assumptions!$B$14,Assumptions!$B$15)</f>
        <v>0.0469517701564549</v>
      </c>
      <c r="R3" s="8" t="n">
        <f aca="true">NORMINV(RAND(),Assumptions!$B$14,Assumptions!$B$15)</f>
        <v>0.063529887964112</v>
      </c>
      <c r="S3" s="8" t="n">
        <f aca="true">NORMINV(RAND(),Assumptions!$B$14,Assumptions!$B$15)</f>
        <v>0.083244225198802</v>
      </c>
      <c r="T3" s="8" t="n">
        <f aca="false">Assumptions!$B$19*H3+(1-Assumptions!$B$19)*N3</f>
        <v>0.0626546685752492</v>
      </c>
      <c r="U3" s="8" t="n">
        <f aca="false">Assumptions!$B$20*I3+(1-Assumptions!$B$20)*O3</f>
        <v>0.15018374253579</v>
      </c>
      <c r="V3" s="8" t="n">
        <f aca="false">Assumptions!$B$21*J3+(1-Assumptions!$B$21)*P3</f>
        <v>-0.203532417134933</v>
      </c>
      <c r="W3" s="8" t="n">
        <f aca="false">Assumptions!$B$22*K3+(1-Assumptions!$B$22)*Q3</f>
        <v>0.0499666438866692</v>
      </c>
      <c r="X3" s="8" t="n">
        <f aca="false">Assumptions!$B$23*L3+(1-Assumptions!$B$23)*R3</f>
        <v>-0.15536977721689</v>
      </c>
      <c r="Y3" s="8" t="n">
        <f aca="false">Assumptions!$B$24*M3+(1-Assumptions!$B$24)*S3</f>
        <v>-0.120350874495063</v>
      </c>
      <c r="Z3" s="6" t="n">
        <f aca="false">Assumptions!$B$27*(1+T3)</f>
        <v>318796.400572575</v>
      </c>
      <c r="AA3" s="6" t="n">
        <f aca="false">(Z3+Assumptions!$B$28)*(1+U3)</f>
        <v>539201.998497871</v>
      </c>
      <c r="AB3" s="6" t="n">
        <f aca="false">AA3*(1+V3)</f>
        <v>429456.912419613</v>
      </c>
      <c r="AC3" s="6" t="n">
        <f aca="false">AB3*(1+W3)</f>
        <v>450915.433027153</v>
      </c>
      <c r="AD3" s="6" t="n">
        <f aca="false">AC3*(1+X3)</f>
        <v>380856.802654067</v>
      </c>
      <c r="AE3" s="6" t="n">
        <f aca="false">AD3*(1+Y3)</f>
        <v>335020.353397256</v>
      </c>
      <c r="AF3" s="6" t="n">
        <f aca="false">Z3</f>
        <v>318796.400572575</v>
      </c>
      <c r="AG3" s="6" t="n">
        <f aca="false">MAX(AF3,AA3)</f>
        <v>539201.998497871</v>
      </c>
      <c r="AH3" s="6" t="n">
        <f aca="false">MAX(AG3,AB3)</f>
        <v>539201.998497871</v>
      </c>
      <c r="AI3" s="6" t="n">
        <f aca="false">MAX(AH3,AC3)</f>
        <v>539201.998497871</v>
      </c>
      <c r="AJ3" s="6" t="n">
        <f aca="false">MAX(AI3,AD3)</f>
        <v>539201.998497871</v>
      </c>
      <c r="AK3" s="6" t="n">
        <f aca="false">MAX(AJ3,AE3)</f>
        <v>539201.998497871</v>
      </c>
      <c r="AL3" s="8" t="n">
        <f aca="false">MIN(Z3/AF3-1,AA3/AG3-1,AB3/AH3-1,AC3/AI3-1,AD3/AJ3-1,AE3/AK3-1)</f>
        <v>-0.378673754306238</v>
      </c>
      <c r="AM3" s="6" t="n">
        <f aca="false">AE3-Assumptions!$B$35</f>
        <v>-106243.643265248</v>
      </c>
    </row>
    <row r="4" customFormat="false" ht="15" hidden="false" customHeight="false" outlineLevel="0" collapsed="false">
      <c r="A4" s="0" t="n">
        <f aca="false">ROW()-1</f>
        <v>3</v>
      </c>
      <c r="B4" s="0" t="str">
        <f aca="true">IF(RAND()&lt;Assumptions!$B$11,"Bull","Bear")</f>
        <v>Bull</v>
      </c>
      <c r="C4" s="0" t="str">
        <f aca="true">IF(B4="Bull",IF(RAND()&lt;Assumptions!$B$7,"Bull","Bear"),IF(RAND()&lt;Assumptions!$B$10,"Bear","Bull"))</f>
        <v>Bull</v>
      </c>
      <c r="D4" s="0" t="str">
        <f aca="true">IF(C4="Bull",IF(RAND()&lt;Assumptions!$B$7,"Bull","Bear"),IF(RAND()&lt;Assumptions!$B$10,"Bear","Bull"))</f>
        <v>Bull</v>
      </c>
      <c r="E4" s="0" t="str">
        <f aca="true">IF(D4="Bull",IF(RAND()&lt;Assumptions!$B$7,"Bull","Bear"),IF(RAND()&lt;Assumptions!$B$10,"Bear","Bull"))</f>
        <v>Bear</v>
      </c>
      <c r="F4" s="0" t="str">
        <f aca="true">IF(E4="Bull",IF(RAND()&lt;Assumptions!$B$7,"Bull","Bear"),IF(RAND()&lt;Assumptions!$B$10,"Bear","Bull"))</f>
        <v>Bear</v>
      </c>
      <c r="G4" s="0" t="str">
        <f aca="true">IF(F4="Bull",IF(RAND()&lt;Assumptions!$B$7,"Bull","Bear"),IF(RAND()&lt;Assumptions!$B$10,"Bear","Bull"))</f>
        <v>Bear</v>
      </c>
      <c r="H4" s="8" t="n">
        <f aca="true">IF(B4="Bull",NORMINV(RAND(),Assumptions!$B$5,Assumptions!$B$6),NORMINV(RAND(),Assumptions!$B$8,Assumptions!$B$9))</f>
        <v>0.139577698394761</v>
      </c>
      <c r="I4" s="8" t="n">
        <f aca="true">IF(C4="Bull",NORMINV(RAND(),Assumptions!$B$5,Assumptions!$B$6),NORMINV(RAND(),Assumptions!$B$8,Assumptions!$B$9))</f>
        <v>0.144677106400247</v>
      </c>
      <c r="J4" s="8" t="n">
        <f aca="true">IF(D4="Bull",NORMINV(RAND(),Assumptions!$B$5,Assumptions!$B$6),NORMINV(RAND(),Assumptions!$B$8,Assumptions!$B$9))</f>
        <v>0.132955309454761</v>
      </c>
      <c r="K4" s="8" t="n">
        <f aca="true">IF(E4="Bull",NORMINV(RAND(),Assumptions!$B$5,Assumptions!$B$6),NORMINV(RAND(),Assumptions!$B$8,Assumptions!$B$9))</f>
        <v>-0.0271130393628473</v>
      </c>
      <c r="L4" s="8" t="n">
        <f aca="true">IF(F4="Bull",NORMINV(RAND(),Assumptions!$B$5,Assumptions!$B$6),NORMINV(RAND(),Assumptions!$B$8,Assumptions!$B$9))</f>
        <v>-0.117661430386156</v>
      </c>
      <c r="M4" s="8" t="n">
        <f aca="true">IF(G4="Bull",NORMINV(RAND(),Assumptions!$B$5,Assumptions!$B$6),NORMINV(RAND(),Assumptions!$B$8,Assumptions!$B$9))</f>
        <v>-0.145923712174887</v>
      </c>
      <c r="N4" s="8" t="n">
        <f aca="true">NORMINV(RAND(),Assumptions!$B$14,Assumptions!$B$15)</f>
        <v>0.0325195743642795</v>
      </c>
      <c r="O4" s="8" t="n">
        <f aca="true">NORMINV(RAND(),Assumptions!$B$14,Assumptions!$B$15)</f>
        <v>0.0574697862134643</v>
      </c>
      <c r="P4" s="8" t="n">
        <f aca="true">NORMINV(RAND(),Assumptions!$B$14,Assumptions!$B$15)</f>
        <v>0.047577288604794</v>
      </c>
      <c r="Q4" s="8" t="n">
        <f aca="true">NORMINV(RAND(),Assumptions!$B$14,Assumptions!$B$15)</f>
        <v>0.0373315317777257</v>
      </c>
      <c r="R4" s="8" t="n">
        <f aca="true">NORMINV(RAND(),Assumptions!$B$14,Assumptions!$B$15)</f>
        <v>0.102255338548954</v>
      </c>
      <c r="S4" s="8" t="n">
        <f aca="true">NORMINV(RAND(),Assumptions!$B$14,Assumptions!$B$15)</f>
        <v>0.0647595485329458</v>
      </c>
      <c r="T4" s="8" t="n">
        <f aca="false">Assumptions!$B$19*H4+(1-Assumptions!$B$19)*N4</f>
        <v>0.139577698394761</v>
      </c>
      <c r="U4" s="8" t="n">
        <f aca="false">Assumptions!$B$20*I4+(1-Assumptions!$B$20)*O4</f>
        <v>0.144677106400247</v>
      </c>
      <c r="V4" s="8" t="n">
        <f aca="false">Assumptions!$B$21*J4+(1-Assumptions!$B$21)*P4</f>
        <v>0.132955309454761</v>
      </c>
      <c r="W4" s="8" t="n">
        <f aca="false">Assumptions!$B$22*K4+(1-Assumptions!$B$22)*Q4</f>
        <v>-0.0271130393628473</v>
      </c>
      <c r="X4" s="8" t="n">
        <f aca="false">Assumptions!$B$23*L4+(1-Assumptions!$B$23)*R4</f>
        <v>-0.0736780765991344</v>
      </c>
      <c r="Y4" s="8" t="n">
        <f aca="false">Assumptions!$B$24*M4+(1-Assumptions!$B$24)*S4</f>
        <v>-0.0616504078917542</v>
      </c>
      <c r="Z4" s="6" t="n">
        <f aca="false">Assumptions!$B$27*(1+T4)</f>
        <v>341873.309518428</v>
      </c>
      <c r="AA4" s="6" t="n">
        <f aca="false">(Z4+Assumptions!$B$28)*(1+U4)</f>
        <v>563036.116655067</v>
      </c>
      <c r="AB4" s="6" t="n">
        <f aca="false">AA4*(1+V4)</f>
        <v>637894.757779149</v>
      </c>
      <c r="AC4" s="6" t="n">
        <f aca="false">AB4*(1+W4)</f>
        <v>620599.492102129</v>
      </c>
      <c r="AD4" s="6" t="n">
        <f aca="false">AC4*(1+X4)</f>
        <v>574874.915185644</v>
      </c>
      <c r="AE4" s="6" t="n">
        <f aca="false">AD4*(1+Y4)</f>
        <v>539433.642177712</v>
      </c>
      <c r="AF4" s="6" t="n">
        <f aca="false">Z4</f>
        <v>341873.309518428</v>
      </c>
      <c r="AG4" s="6" t="n">
        <f aca="false">MAX(AF4,AA4)</f>
        <v>563036.116655067</v>
      </c>
      <c r="AH4" s="6" t="n">
        <f aca="false">MAX(AG4,AB4)</f>
        <v>637894.757779149</v>
      </c>
      <c r="AI4" s="6" t="n">
        <f aca="false">MAX(AH4,AC4)</f>
        <v>637894.757779149</v>
      </c>
      <c r="AJ4" s="6" t="n">
        <f aca="false">MAX(AI4,AD4)</f>
        <v>637894.757779149</v>
      </c>
      <c r="AK4" s="6" t="n">
        <f aca="false">MAX(AJ4,AE4)</f>
        <v>637894.757779149</v>
      </c>
      <c r="AL4" s="8" t="n">
        <f aca="false">MIN(Z4/AF4-1,AA4/AG4-1,AB4/AH4-1,AC4/AI4-1,AD4/AJ4-1,AE4/AK4-1)</f>
        <v>-0.154353228962459</v>
      </c>
      <c r="AM4" s="6" t="n">
        <f aca="false">AE4-Assumptions!$B$35</f>
        <v>98169.6455152082</v>
      </c>
    </row>
    <row r="5" customFormat="false" ht="15" hidden="false" customHeight="false" outlineLevel="0" collapsed="false">
      <c r="A5" s="0" t="n">
        <f aca="false">ROW()-1</f>
        <v>4</v>
      </c>
      <c r="B5" s="0" t="str">
        <f aca="true">IF(RAND()&lt;Assumptions!$B$11,"Bull","Bear")</f>
        <v>Bear</v>
      </c>
      <c r="C5" s="0" t="str">
        <f aca="true">IF(B5="Bull",IF(RAND()&lt;Assumptions!$B$7,"Bull","Bear"),IF(RAND()&lt;Assumptions!$B$10,"Bear","Bull"))</f>
        <v>Bear</v>
      </c>
      <c r="D5" s="0" t="str">
        <f aca="true">IF(C5="Bull",IF(RAND()&lt;Assumptions!$B$7,"Bull","Bear"),IF(RAND()&lt;Assumptions!$B$10,"Bear","Bull"))</f>
        <v>Bull</v>
      </c>
      <c r="E5" s="0" t="str">
        <f aca="true">IF(D5="Bull",IF(RAND()&lt;Assumptions!$B$7,"Bull","Bear"),IF(RAND()&lt;Assumptions!$B$10,"Bear","Bull"))</f>
        <v>Bull</v>
      </c>
      <c r="F5" s="0" t="str">
        <f aca="true">IF(E5="Bull",IF(RAND()&lt;Assumptions!$B$7,"Bull","Bear"),IF(RAND()&lt;Assumptions!$B$10,"Bear","Bull"))</f>
        <v>Bull</v>
      </c>
      <c r="G5" s="0" t="str">
        <f aca="true">IF(F5="Bull",IF(RAND()&lt;Assumptions!$B$7,"Bull","Bear"),IF(RAND()&lt;Assumptions!$B$10,"Bear","Bull"))</f>
        <v>Bull</v>
      </c>
      <c r="H5" s="8" t="n">
        <f aca="true">IF(B5="Bull",NORMINV(RAND(),Assumptions!$B$5,Assumptions!$B$6),NORMINV(RAND(),Assumptions!$B$8,Assumptions!$B$9))</f>
        <v>0.174320506415541</v>
      </c>
      <c r="I5" s="8" t="n">
        <f aca="true">IF(C5="Bull",NORMINV(RAND(),Assumptions!$B$5,Assumptions!$B$6),NORMINV(RAND(),Assumptions!$B$8,Assumptions!$B$9))</f>
        <v>0.113172436457814</v>
      </c>
      <c r="J5" s="8" t="n">
        <f aca="true">IF(D5="Bull",NORMINV(RAND(),Assumptions!$B$5,Assumptions!$B$6),NORMINV(RAND(),Assumptions!$B$8,Assumptions!$B$9))</f>
        <v>0.0716643939021853</v>
      </c>
      <c r="K5" s="8" t="n">
        <f aca="true">IF(E5="Bull",NORMINV(RAND(),Assumptions!$B$5,Assumptions!$B$6),NORMINV(RAND(),Assumptions!$B$8,Assumptions!$B$9))</f>
        <v>0.130110220203571</v>
      </c>
      <c r="L5" s="8" t="n">
        <f aca="true">IF(F5="Bull",NORMINV(RAND(),Assumptions!$B$5,Assumptions!$B$6),NORMINV(RAND(),Assumptions!$B$8,Assumptions!$B$9))</f>
        <v>0.150555257038474</v>
      </c>
      <c r="M5" s="8" t="n">
        <f aca="true">IF(G5="Bull",NORMINV(RAND(),Assumptions!$B$5,Assumptions!$B$6),NORMINV(RAND(),Assumptions!$B$8,Assumptions!$B$9))</f>
        <v>0.299763173531132</v>
      </c>
      <c r="N5" s="8" t="n">
        <f aca="true">NORMINV(RAND(),Assumptions!$B$14,Assumptions!$B$15)</f>
        <v>0.0472123983796069</v>
      </c>
      <c r="O5" s="8" t="n">
        <f aca="true">NORMINV(RAND(),Assumptions!$B$14,Assumptions!$B$15)</f>
        <v>0.0507401334373894</v>
      </c>
      <c r="P5" s="8" t="n">
        <f aca="true">NORMINV(RAND(),Assumptions!$B$14,Assumptions!$B$15)</f>
        <v>0.0607436021044743</v>
      </c>
      <c r="Q5" s="8" t="n">
        <f aca="true">NORMINV(RAND(),Assumptions!$B$14,Assumptions!$B$15)</f>
        <v>0.0328251257166689</v>
      </c>
      <c r="R5" s="8" t="n">
        <f aca="true">NORMINV(RAND(),Assumptions!$B$14,Assumptions!$B$15)</f>
        <v>0.0281625473489508</v>
      </c>
      <c r="S5" s="8" t="n">
        <f aca="true">NORMINV(RAND(),Assumptions!$B$14,Assumptions!$B$15)</f>
        <v>0.0850624355712021</v>
      </c>
      <c r="T5" s="8" t="n">
        <f aca="false">Assumptions!$B$19*H5+(1-Assumptions!$B$19)*N5</f>
        <v>0.174320506415541</v>
      </c>
      <c r="U5" s="8" t="n">
        <f aca="false">Assumptions!$B$20*I5+(1-Assumptions!$B$20)*O5</f>
        <v>0.113172436457814</v>
      </c>
      <c r="V5" s="8" t="n">
        <f aca="false">Assumptions!$B$21*J5+(1-Assumptions!$B$21)*P5</f>
        <v>0.0716643939021853</v>
      </c>
      <c r="W5" s="8" t="n">
        <f aca="false">Assumptions!$B$22*K5+(1-Assumptions!$B$22)*Q5</f>
        <v>0.130110220203571</v>
      </c>
      <c r="X5" s="8" t="n">
        <f aca="false">Assumptions!$B$23*L5+(1-Assumptions!$B$23)*R5</f>
        <v>0.12607671510057</v>
      </c>
      <c r="Y5" s="8" t="n">
        <f aca="false">Assumptions!$B$24*M5+(1-Assumptions!$B$24)*S5</f>
        <v>0.21388287834716</v>
      </c>
      <c r="Z5" s="6" t="n">
        <f aca="false">Assumptions!$B$27*(1+T5)</f>
        <v>352296.151924662</v>
      </c>
      <c r="AA5" s="6" t="n">
        <f aca="false">(Z5+Assumptions!$B$28)*(1+U5)</f>
        <v>559142.231261361</v>
      </c>
      <c r="AB5" s="6" t="n">
        <f aca="false">AA5*(1+V5)</f>
        <v>599212.820369822</v>
      </c>
      <c r="AC5" s="6" t="n">
        <f aca="false">AB5*(1+W5)</f>
        <v>677176.532376942</v>
      </c>
      <c r="AD5" s="6" t="n">
        <f aca="false">AC5*(1+X5)</f>
        <v>762552.725122222</v>
      </c>
      <c r="AE5" s="6" t="n">
        <f aca="false">AD5*(1+Y5)</f>
        <v>925649.696862833</v>
      </c>
      <c r="AF5" s="6" t="n">
        <f aca="false">Z5</f>
        <v>352296.151924662</v>
      </c>
      <c r="AG5" s="6" t="n">
        <f aca="false">MAX(AF5,AA5)</f>
        <v>559142.231261361</v>
      </c>
      <c r="AH5" s="6" t="n">
        <f aca="false">MAX(AG5,AB5)</f>
        <v>599212.820369822</v>
      </c>
      <c r="AI5" s="6" t="n">
        <f aca="false">MAX(AH5,AC5)</f>
        <v>677176.532376942</v>
      </c>
      <c r="AJ5" s="6" t="n">
        <f aca="false">MAX(AI5,AD5)</f>
        <v>762552.725122222</v>
      </c>
      <c r="AK5" s="6" t="n">
        <f aca="false">MAX(AJ5,AE5)</f>
        <v>925649.696862833</v>
      </c>
      <c r="AL5" s="8" t="n">
        <f aca="false">MIN(Z5/AF5-1,AA5/AG5-1,AB5/AH5-1,AC5/AI5-1,AD5/AJ5-1,AE5/AK5-1)</f>
        <v>0</v>
      </c>
      <c r="AM5" s="6" t="n">
        <f aca="false">AE5-Assumptions!$B$35</f>
        <v>484385.700200329</v>
      </c>
    </row>
    <row r="6" customFormat="false" ht="15" hidden="false" customHeight="false" outlineLevel="0" collapsed="false">
      <c r="A6" s="0" t="n">
        <f aca="false">ROW()-1</f>
        <v>5</v>
      </c>
      <c r="B6" s="0" t="str">
        <f aca="true">IF(RAND()&lt;Assumptions!$B$11,"Bull","Bear")</f>
        <v>Bull</v>
      </c>
      <c r="C6" s="0" t="str">
        <f aca="true">IF(B6="Bull",IF(RAND()&lt;Assumptions!$B$7,"Bull","Bear"),IF(RAND()&lt;Assumptions!$B$10,"Bear","Bull"))</f>
        <v>Bull</v>
      </c>
      <c r="D6" s="0" t="str">
        <f aca="true">IF(C6="Bull",IF(RAND()&lt;Assumptions!$B$7,"Bull","Bear"),IF(RAND()&lt;Assumptions!$B$10,"Bear","Bull"))</f>
        <v>Bull</v>
      </c>
      <c r="E6" s="0" t="str">
        <f aca="true">IF(D6="Bull",IF(RAND()&lt;Assumptions!$B$7,"Bull","Bear"),IF(RAND()&lt;Assumptions!$B$10,"Bear","Bull"))</f>
        <v>Bull</v>
      </c>
      <c r="F6" s="0" t="str">
        <f aca="true">IF(E6="Bull",IF(RAND()&lt;Assumptions!$B$7,"Bull","Bear"),IF(RAND()&lt;Assumptions!$B$10,"Bear","Bull"))</f>
        <v>Bull</v>
      </c>
      <c r="G6" s="0" t="str">
        <f aca="true">IF(F6="Bull",IF(RAND()&lt;Assumptions!$B$7,"Bull","Bear"),IF(RAND()&lt;Assumptions!$B$10,"Bear","Bull"))</f>
        <v>Bull</v>
      </c>
      <c r="H6" s="8" t="n">
        <f aca="true">IF(B6="Bull",NORMINV(RAND(),Assumptions!$B$5,Assumptions!$B$6),NORMINV(RAND(),Assumptions!$B$8,Assumptions!$B$9))</f>
        <v>0.188818520289619</v>
      </c>
      <c r="I6" s="8" t="n">
        <f aca="true">IF(C6="Bull",NORMINV(RAND(),Assumptions!$B$5,Assumptions!$B$6),NORMINV(RAND(),Assumptions!$B$8,Assumptions!$B$9))</f>
        <v>0.0387558549117551</v>
      </c>
      <c r="J6" s="8" t="n">
        <f aca="true">IF(D6="Bull",NORMINV(RAND(),Assumptions!$B$5,Assumptions!$B$6),NORMINV(RAND(),Assumptions!$B$8,Assumptions!$B$9))</f>
        <v>0.217395939344705</v>
      </c>
      <c r="K6" s="8" t="n">
        <f aca="true">IF(E6="Bull",NORMINV(RAND(),Assumptions!$B$5,Assumptions!$B$6),NORMINV(RAND(),Assumptions!$B$8,Assumptions!$B$9))</f>
        <v>0.218728730313382</v>
      </c>
      <c r="L6" s="8" t="n">
        <f aca="true">IF(F6="Bull",NORMINV(RAND(),Assumptions!$B$5,Assumptions!$B$6),NORMINV(RAND(),Assumptions!$B$8,Assumptions!$B$9))</f>
        <v>0.119760642563944</v>
      </c>
      <c r="M6" s="8" t="n">
        <f aca="true">IF(G6="Bull",NORMINV(RAND(),Assumptions!$B$5,Assumptions!$B$6),NORMINV(RAND(),Assumptions!$B$8,Assumptions!$B$9))</f>
        <v>0.147064630633092</v>
      </c>
      <c r="N6" s="8" t="n">
        <f aca="true">NORMINV(RAND(),Assumptions!$B$14,Assumptions!$B$15)</f>
        <v>0.0796719855056002</v>
      </c>
      <c r="O6" s="8" t="n">
        <f aca="true">NORMINV(RAND(),Assumptions!$B$14,Assumptions!$B$15)</f>
        <v>0.0542621913832811</v>
      </c>
      <c r="P6" s="8" t="n">
        <f aca="true">NORMINV(RAND(),Assumptions!$B$14,Assumptions!$B$15)</f>
        <v>0.0401065048619686</v>
      </c>
      <c r="Q6" s="8" t="n">
        <f aca="true">NORMINV(RAND(),Assumptions!$B$14,Assumptions!$B$15)</f>
        <v>0.040886567935973</v>
      </c>
      <c r="R6" s="8" t="n">
        <f aca="true">NORMINV(RAND(),Assumptions!$B$14,Assumptions!$B$15)</f>
        <v>0.0436042293189002</v>
      </c>
      <c r="S6" s="8" t="n">
        <f aca="true">NORMINV(RAND(),Assumptions!$B$14,Assumptions!$B$15)</f>
        <v>0.0314918362537852</v>
      </c>
      <c r="T6" s="8" t="n">
        <f aca="false">Assumptions!$B$19*H6+(1-Assumptions!$B$19)*N6</f>
        <v>0.188818520289619</v>
      </c>
      <c r="U6" s="8" t="n">
        <f aca="false">Assumptions!$B$20*I6+(1-Assumptions!$B$20)*O6</f>
        <v>0.0387558549117551</v>
      </c>
      <c r="V6" s="8" t="n">
        <f aca="false">Assumptions!$B$21*J6+(1-Assumptions!$B$21)*P6</f>
        <v>0.217395939344705</v>
      </c>
      <c r="W6" s="8" t="n">
        <f aca="false">Assumptions!$B$22*K6+(1-Assumptions!$B$22)*Q6</f>
        <v>0.218728730313382</v>
      </c>
      <c r="X6" s="8" t="n">
        <f aca="false">Assumptions!$B$23*L6+(1-Assumptions!$B$23)*R6</f>
        <v>0.104529359914935</v>
      </c>
      <c r="Y6" s="8" t="n">
        <f aca="false">Assumptions!$B$24*M6+(1-Assumptions!$B$24)*S6</f>
        <v>0.100835512881369</v>
      </c>
      <c r="Z6" s="6" t="n">
        <f aca="false">Assumptions!$B$27*(1+T6)</f>
        <v>356645.556086886</v>
      </c>
      <c r="AA6" s="6" t="n">
        <f aca="false">(Z6+Assumptions!$B$28)*(1+U6)</f>
        <v>526281.037750275</v>
      </c>
      <c r="AB6" s="6" t="n">
        <f aca="false">AA6*(1+V6)</f>
        <v>640692.398311302</v>
      </c>
      <c r="AC6" s="6" t="n">
        <f aca="false">AB6*(1+W6)</f>
        <v>780830.233115368</v>
      </c>
      <c r="AD6" s="6" t="n">
        <f aca="false">AC6*(1+X6)</f>
        <v>862449.917585147</v>
      </c>
      <c r="AE6" s="6" t="n">
        <f aca="false">AD6*(1+Y6)</f>
        <v>949415.49735934</v>
      </c>
      <c r="AF6" s="6" t="n">
        <f aca="false">Z6</f>
        <v>356645.556086886</v>
      </c>
      <c r="AG6" s="6" t="n">
        <f aca="false">MAX(AF6,AA6)</f>
        <v>526281.037750275</v>
      </c>
      <c r="AH6" s="6" t="n">
        <f aca="false">MAX(AG6,AB6)</f>
        <v>640692.398311302</v>
      </c>
      <c r="AI6" s="6" t="n">
        <f aca="false">MAX(AH6,AC6)</f>
        <v>780830.233115368</v>
      </c>
      <c r="AJ6" s="6" t="n">
        <f aca="false">MAX(AI6,AD6)</f>
        <v>862449.917585147</v>
      </c>
      <c r="AK6" s="6" t="n">
        <f aca="false">MAX(AJ6,AE6)</f>
        <v>949415.49735934</v>
      </c>
      <c r="AL6" s="8" t="n">
        <f aca="false">MIN(Z6/AF6-1,AA6/AG6-1,AB6/AH6-1,AC6/AI6-1,AD6/AJ6-1,AE6/AK6-1)</f>
        <v>0</v>
      </c>
      <c r="AM6" s="6" t="n">
        <f aca="false">AE6-Assumptions!$B$35</f>
        <v>508151.500696837</v>
      </c>
    </row>
    <row r="7" customFormat="false" ht="15" hidden="false" customHeight="false" outlineLevel="0" collapsed="false">
      <c r="A7" s="0" t="n">
        <f aca="false">ROW()-1</f>
        <v>6</v>
      </c>
      <c r="B7" s="0" t="str">
        <f aca="true">IF(RAND()&lt;Assumptions!$B$11,"Bull","Bear")</f>
        <v>Bull</v>
      </c>
      <c r="C7" s="0" t="str">
        <f aca="true">IF(B7="Bull",IF(RAND()&lt;Assumptions!$B$7,"Bull","Bear"),IF(RAND()&lt;Assumptions!$B$10,"Bear","Bull"))</f>
        <v>Bull</v>
      </c>
      <c r="D7" s="0" t="str">
        <f aca="true">IF(C7="Bull",IF(RAND()&lt;Assumptions!$B$7,"Bull","Bear"),IF(RAND()&lt;Assumptions!$B$10,"Bear","Bull"))</f>
        <v>Bull</v>
      </c>
      <c r="E7" s="0" t="str">
        <f aca="true">IF(D7="Bull",IF(RAND()&lt;Assumptions!$B$7,"Bull","Bear"),IF(RAND()&lt;Assumptions!$B$10,"Bear","Bull"))</f>
        <v>Bull</v>
      </c>
      <c r="F7" s="0" t="str">
        <f aca="true">IF(E7="Bull",IF(RAND()&lt;Assumptions!$B$7,"Bull","Bear"),IF(RAND()&lt;Assumptions!$B$10,"Bear","Bull"))</f>
        <v>Bull</v>
      </c>
      <c r="G7" s="0" t="str">
        <f aca="true">IF(F7="Bull",IF(RAND()&lt;Assumptions!$B$7,"Bull","Bear"),IF(RAND()&lt;Assumptions!$B$10,"Bear","Bull"))</f>
        <v>Bull</v>
      </c>
      <c r="H7" s="8" t="n">
        <f aca="true">IF(B7="Bull",NORMINV(RAND(),Assumptions!$B$5,Assumptions!$B$6),NORMINV(RAND(),Assumptions!$B$8,Assumptions!$B$9))</f>
        <v>0.0931504315065559</v>
      </c>
      <c r="I7" s="8" t="n">
        <f aca="true">IF(C7="Bull",NORMINV(RAND(),Assumptions!$B$5,Assumptions!$B$6),NORMINV(RAND(),Assumptions!$B$8,Assumptions!$B$9))</f>
        <v>0.0424192211625868</v>
      </c>
      <c r="J7" s="8" t="n">
        <f aca="true">IF(D7="Bull",NORMINV(RAND(),Assumptions!$B$5,Assumptions!$B$6),NORMINV(RAND(),Assumptions!$B$8,Assumptions!$B$9))</f>
        <v>0.0253717632549544</v>
      </c>
      <c r="K7" s="8" t="n">
        <f aca="true">IF(E7="Bull",NORMINV(RAND(),Assumptions!$B$5,Assumptions!$B$6),NORMINV(RAND(),Assumptions!$B$8,Assumptions!$B$9))</f>
        <v>0.231617307099255</v>
      </c>
      <c r="L7" s="8" t="n">
        <f aca="true">IF(F7="Bull",NORMINV(RAND(),Assumptions!$B$5,Assumptions!$B$6),NORMINV(RAND(),Assumptions!$B$8,Assumptions!$B$9))</f>
        <v>0.122293227555557</v>
      </c>
      <c r="M7" s="8" t="n">
        <f aca="true">IF(G7="Bull",NORMINV(RAND(),Assumptions!$B$5,Assumptions!$B$6),NORMINV(RAND(),Assumptions!$B$8,Assumptions!$B$9))</f>
        <v>0.276819214326617</v>
      </c>
      <c r="N7" s="8" t="n">
        <f aca="true">NORMINV(RAND(),Assumptions!$B$14,Assumptions!$B$15)</f>
        <v>0.0174433948848937</v>
      </c>
      <c r="O7" s="8" t="n">
        <f aca="true">NORMINV(RAND(),Assumptions!$B$14,Assumptions!$B$15)</f>
        <v>-0.0142032595961625</v>
      </c>
      <c r="P7" s="8" t="n">
        <f aca="true">NORMINV(RAND(),Assumptions!$B$14,Assumptions!$B$15)</f>
        <v>0.0669166855888354</v>
      </c>
      <c r="Q7" s="8" t="n">
        <f aca="true">NORMINV(RAND(),Assumptions!$B$14,Assumptions!$B$15)</f>
        <v>0.019451465361069</v>
      </c>
      <c r="R7" s="8" t="n">
        <f aca="true">NORMINV(RAND(),Assumptions!$B$14,Assumptions!$B$15)</f>
        <v>0.000473270160708542</v>
      </c>
      <c r="S7" s="8" t="n">
        <f aca="true">NORMINV(RAND(),Assumptions!$B$14,Assumptions!$B$15)</f>
        <v>0.00507338860911068</v>
      </c>
      <c r="T7" s="8" t="n">
        <f aca="false">Assumptions!$B$19*H7+(1-Assumptions!$B$19)*N7</f>
        <v>0.0931504315065559</v>
      </c>
      <c r="U7" s="8" t="n">
        <f aca="false">Assumptions!$B$20*I7+(1-Assumptions!$B$20)*O7</f>
        <v>0.0424192211625868</v>
      </c>
      <c r="V7" s="8" t="n">
        <f aca="false">Assumptions!$B$21*J7+(1-Assumptions!$B$21)*P7</f>
        <v>0.0253717632549544</v>
      </c>
      <c r="W7" s="8" t="n">
        <f aca="false">Assumptions!$B$22*K7+(1-Assumptions!$B$22)*Q7</f>
        <v>0.231617307099255</v>
      </c>
      <c r="X7" s="8" t="n">
        <f aca="false">Assumptions!$B$23*L7+(1-Assumptions!$B$23)*R7</f>
        <v>0.0979292360765872</v>
      </c>
      <c r="Y7" s="8" t="n">
        <f aca="false">Assumptions!$B$24*M7+(1-Assumptions!$B$24)*S7</f>
        <v>0.168120884039614</v>
      </c>
      <c r="Z7" s="6" t="n">
        <f aca="false">Assumptions!$B$27*(1+T7)</f>
        <v>327945.129451967</v>
      </c>
      <c r="AA7" s="6" t="n">
        <f aca="false">(Z7+Assumptions!$B$28)*(1+U7)</f>
        <v>498219.189601771</v>
      </c>
      <c r="AB7" s="6" t="n">
        <f aca="false">AA7*(1+V7)</f>
        <v>510859.888929422</v>
      </c>
      <c r="AC7" s="6" t="n">
        <f aca="false">AB7*(1+W7)</f>
        <v>629183.88070828</v>
      </c>
      <c r="AD7" s="6" t="n">
        <f aca="false">AC7*(1+X7)</f>
        <v>690799.377497744</v>
      </c>
      <c r="AE7" s="6" t="n">
        <f aca="false">AD7*(1+Y7)</f>
        <v>806937.179536681</v>
      </c>
      <c r="AF7" s="6" t="n">
        <f aca="false">Z7</f>
        <v>327945.129451967</v>
      </c>
      <c r="AG7" s="6" t="n">
        <f aca="false">MAX(AF7,AA7)</f>
        <v>498219.189601771</v>
      </c>
      <c r="AH7" s="6" t="n">
        <f aca="false">MAX(AG7,AB7)</f>
        <v>510859.888929422</v>
      </c>
      <c r="AI7" s="6" t="n">
        <f aca="false">MAX(AH7,AC7)</f>
        <v>629183.88070828</v>
      </c>
      <c r="AJ7" s="6" t="n">
        <f aca="false">MAX(AI7,AD7)</f>
        <v>690799.377497744</v>
      </c>
      <c r="AK7" s="6" t="n">
        <f aca="false">MAX(AJ7,AE7)</f>
        <v>806937.179536681</v>
      </c>
      <c r="AL7" s="8" t="n">
        <f aca="false">MIN(Z7/AF7-1,AA7/AG7-1,AB7/AH7-1,AC7/AI7-1,AD7/AJ7-1,AE7/AK7-1)</f>
        <v>0</v>
      </c>
      <c r="AM7" s="6" t="n">
        <f aca="false">AE7-Assumptions!$B$35</f>
        <v>365673.182874177</v>
      </c>
    </row>
    <row r="8" customFormat="false" ht="15" hidden="false" customHeight="false" outlineLevel="0" collapsed="false">
      <c r="A8" s="0" t="n">
        <f aca="false">ROW()-1</f>
        <v>7</v>
      </c>
      <c r="B8" s="0" t="str">
        <f aca="true">IF(RAND()&lt;Assumptions!$B$11,"Bull","Bear")</f>
        <v>Bear</v>
      </c>
      <c r="C8" s="0" t="str">
        <f aca="true">IF(B8="Bull",IF(RAND()&lt;Assumptions!$B$7,"Bull","Bear"),IF(RAND()&lt;Assumptions!$B$10,"Bear","Bull"))</f>
        <v>Bear</v>
      </c>
      <c r="D8" s="0" t="str">
        <f aca="true">IF(C8="Bull",IF(RAND()&lt;Assumptions!$B$7,"Bull","Bear"),IF(RAND()&lt;Assumptions!$B$10,"Bear","Bull"))</f>
        <v>Bear</v>
      </c>
      <c r="E8" s="0" t="str">
        <f aca="true">IF(D8="Bull",IF(RAND()&lt;Assumptions!$B$7,"Bull","Bear"),IF(RAND()&lt;Assumptions!$B$10,"Bear","Bull"))</f>
        <v>Bear</v>
      </c>
      <c r="F8" s="0" t="str">
        <f aca="true">IF(E8="Bull",IF(RAND()&lt;Assumptions!$B$7,"Bull","Bear"),IF(RAND()&lt;Assumptions!$B$10,"Bear","Bull"))</f>
        <v>Bear</v>
      </c>
      <c r="G8" s="0" t="str">
        <f aca="true">IF(F8="Bull",IF(RAND()&lt;Assumptions!$B$7,"Bull","Bear"),IF(RAND()&lt;Assumptions!$B$10,"Bear","Bull"))</f>
        <v>Bear</v>
      </c>
      <c r="H8" s="8" t="n">
        <f aca="true">IF(B8="Bull",NORMINV(RAND(),Assumptions!$B$5,Assumptions!$B$6),NORMINV(RAND(),Assumptions!$B$8,Assumptions!$B$9))</f>
        <v>-0.0238249013862029</v>
      </c>
      <c r="I8" s="8" t="n">
        <f aca="true">IF(C8="Bull",NORMINV(RAND(),Assumptions!$B$5,Assumptions!$B$6),NORMINV(RAND(),Assumptions!$B$8,Assumptions!$B$9))</f>
        <v>0.0568939329965238</v>
      </c>
      <c r="J8" s="8" t="n">
        <f aca="true">IF(D8="Bull",NORMINV(RAND(),Assumptions!$B$5,Assumptions!$B$6),NORMINV(RAND(),Assumptions!$B$8,Assumptions!$B$9))</f>
        <v>-0.353138652307459</v>
      </c>
      <c r="K8" s="8" t="n">
        <f aca="true">IF(E8="Bull",NORMINV(RAND(),Assumptions!$B$5,Assumptions!$B$6),NORMINV(RAND(),Assumptions!$B$8,Assumptions!$B$9))</f>
        <v>-1.61082223233411E-005</v>
      </c>
      <c r="L8" s="8" t="n">
        <f aca="true">IF(F8="Bull",NORMINV(RAND(),Assumptions!$B$5,Assumptions!$B$6),NORMINV(RAND(),Assumptions!$B$8,Assumptions!$B$9))</f>
        <v>-0.256234406489584</v>
      </c>
      <c r="M8" s="8" t="n">
        <f aca="true">IF(G8="Bull",NORMINV(RAND(),Assumptions!$B$5,Assumptions!$B$6),NORMINV(RAND(),Assumptions!$B$8,Assumptions!$B$9))</f>
        <v>0.0869850241155953</v>
      </c>
      <c r="N8" s="8" t="n">
        <f aca="true">NORMINV(RAND(),Assumptions!$B$14,Assumptions!$B$15)</f>
        <v>0.0462980334123962</v>
      </c>
      <c r="O8" s="8" t="n">
        <f aca="true">NORMINV(RAND(),Assumptions!$B$14,Assumptions!$B$15)</f>
        <v>0.0940335260939416</v>
      </c>
      <c r="P8" s="8" t="n">
        <f aca="true">NORMINV(RAND(),Assumptions!$B$14,Assumptions!$B$15)</f>
        <v>0.0527749101895079</v>
      </c>
      <c r="Q8" s="8" t="n">
        <f aca="true">NORMINV(RAND(),Assumptions!$B$14,Assumptions!$B$15)</f>
        <v>0.0272104948467275</v>
      </c>
      <c r="R8" s="8" t="n">
        <f aca="true">NORMINV(RAND(),Assumptions!$B$14,Assumptions!$B$15)</f>
        <v>0.00403768300672228</v>
      </c>
      <c r="S8" s="8" t="n">
        <f aca="true">NORMINV(RAND(),Assumptions!$B$14,Assumptions!$B$15)</f>
        <v>0.0103461832879827</v>
      </c>
      <c r="T8" s="8" t="n">
        <f aca="false">Assumptions!$B$19*H8+(1-Assumptions!$B$19)*N8</f>
        <v>-0.0238249013862029</v>
      </c>
      <c r="U8" s="8" t="n">
        <f aca="false">Assumptions!$B$20*I8+(1-Assumptions!$B$20)*O8</f>
        <v>0.0568939329965238</v>
      </c>
      <c r="V8" s="8" t="n">
        <f aca="false">Assumptions!$B$21*J8+(1-Assumptions!$B$21)*P8</f>
        <v>-0.353138652307459</v>
      </c>
      <c r="W8" s="8" t="n">
        <f aca="false">Assumptions!$B$22*K8+(1-Assumptions!$B$22)*Q8</f>
        <v>-1.61082223233411E-005</v>
      </c>
      <c r="X8" s="8" t="n">
        <f aca="false">Assumptions!$B$23*L8+(1-Assumptions!$B$23)*R8</f>
        <v>-0.204179988590322</v>
      </c>
      <c r="Y8" s="8" t="n">
        <f aca="false">Assumptions!$B$24*M8+(1-Assumptions!$B$24)*S8</f>
        <v>0.0563294877845502</v>
      </c>
      <c r="Z8" s="6" t="n">
        <f aca="false">Assumptions!$B$27*(1+T8)</f>
        <v>292852.529584139</v>
      </c>
      <c r="AA8" s="6" t="n">
        <f aca="false">(Z8+Assumptions!$B$28)*(1+U8)</f>
        <v>468048.15172964</v>
      </c>
      <c r="AB8" s="6" t="n">
        <f aca="false">AA8*(1+V8)</f>
        <v>302762.258212838</v>
      </c>
      <c r="AC8" s="6" t="n">
        <f aca="false">AB8*(1+W8)</f>
        <v>302757.381251071</v>
      </c>
      <c r="AD8" s="6" t="n">
        <f aca="false">AC8*(1+X8)</f>
        <v>240940.382601592</v>
      </c>
      <c r="AE8" s="6" t="n">
        <f aca="false">AD8*(1+Y8)</f>
        <v>254512.430940153</v>
      </c>
      <c r="AF8" s="6" t="n">
        <f aca="false">Z8</f>
        <v>292852.529584139</v>
      </c>
      <c r="AG8" s="6" t="n">
        <f aca="false">MAX(AF8,AA8)</f>
        <v>468048.15172964</v>
      </c>
      <c r="AH8" s="6" t="n">
        <f aca="false">MAX(AG8,AB8)</f>
        <v>468048.15172964</v>
      </c>
      <c r="AI8" s="6" t="n">
        <f aca="false">MAX(AH8,AC8)</f>
        <v>468048.15172964</v>
      </c>
      <c r="AJ8" s="6" t="n">
        <f aca="false">MAX(AI8,AD8)</f>
        <v>468048.15172964</v>
      </c>
      <c r="AK8" s="6" t="n">
        <f aca="false">MAX(AJ8,AE8)</f>
        <v>468048.15172964</v>
      </c>
      <c r="AL8" s="8" t="n">
        <f aca="false">MIN(Z8/AF8-1,AA8/AG8-1,AB8/AH8-1,AC8/AI8-1,AD8/AJ8-1,AE8/AK8-1)</f>
        <v>-0.485223087173375</v>
      </c>
      <c r="AM8" s="6" t="n">
        <f aca="false">AE8-Assumptions!$B$35</f>
        <v>-186751.565722351</v>
      </c>
    </row>
    <row r="9" customFormat="false" ht="15" hidden="false" customHeight="false" outlineLevel="0" collapsed="false">
      <c r="A9" s="0" t="n">
        <f aca="false">ROW()-1</f>
        <v>8</v>
      </c>
      <c r="B9" s="0" t="str">
        <f aca="true">IF(RAND()&lt;Assumptions!$B$11,"Bull","Bear")</f>
        <v>Bull</v>
      </c>
      <c r="C9" s="0" t="str">
        <f aca="true">IF(B9="Bull",IF(RAND()&lt;Assumptions!$B$7,"Bull","Bear"),IF(RAND()&lt;Assumptions!$B$10,"Bear","Bull"))</f>
        <v>Bull</v>
      </c>
      <c r="D9" s="0" t="str">
        <f aca="true">IF(C9="Bull",IF(RAND()&lt;Assumptions!$B$7,"Bull","Bear"),IF(RAND()&lt;Assumptions!$B$10,"Bear","Bull"))</f>
        <v>Bull</v>
      </c>
      <c r="E9" s="0" t="str">
        <f aca="true">IF(D9="Bull",IF(RAND()&lt;Assumptions!$B$7,"Bull","Bear"),IF(RAND()&lt;Assumptions!$B$10,"Bear","Bull"))</f>
        <v>Bear</v>
      </c>
      <c r="F9" s="0" t="str">
        <f aca="true">IF(E9="Bull",IF(RAND()&lt;Assumptions!$B$7,"Bull","Bear"),IF(RAND()&lt;Assumptions!$B$10,"Bear","Bull"))</f>
        <v>Bull</v>
      </c>
      <c r="G9" s="0" t="str">
        <f aca="true">IF(F9="Bull",IF(RAND()&lt;Assumptions!$B$7,"Bull","Bear"),IF(RAND()&lt;Assumptions!$B$10,"Bear","Bull"))</f>
        <v>Bull</v>
      </c>
      <c r="H9" s="8" t="n">
        <f aca="true">IF(B9="Bull",NORMINV(RAND(),Assumptions!$B$5,Assumptions!$B$6),NORMINV(RAND(),Assumptions!$B$8,Assumptions!$B$9))</f>
        <v>0.103672536694078</v>
      </c>
      <c r="I9" s="8" t="n">
        <f aca="true">IF(C9="Bull",NORMINV(RAND(),Assumptions!$B$5,Assumptions!$B$6),NORMINV(RAND(),Assumptions!$B$8,Assumptions!$B$9))</f>
        <v>0.223154653005338</v>
      </c>
      <c r="J9" s="8" t="n">
        <f aca="true">IF(D9="Bull",NORMINV(RAND(),Assumptions!$B$5,Assumptions!$B$6),NORMINV(RAND(),Assumptions!$B$8,Assumptions!$B$9))</f>
        <v>0.258375165276599</v>
      </c>
      <c r="K9" s="8" t="n">
        <f aca="true">IF(E9="Bull",NORMINV(RAND(),Assumptions!$B$5,Assumptions!$B$6),NORMINV(RAND(),Assumptions!$B$8,Assumptions!$B$9))</f>
        <v>-0.225022009128257</v>
      </c>
      <c r="L9" s="8" t="n">
        <f aca="true">IF(F9="Bull",NORMINV(RAND(),Assumptions!$B$5,Assumptions!$B$6),NORMINV(RAND(),Assumptions!$B$8,Assumptions!$B$9))</f>
        <v>0.269237830034759</v>
      </c>
      <c r="M9" s="8" t="n">
        <f aca="true">IF(G9="Bull",NORMINV(RAND(),Assumptions!$B$5,Assumptions!$B$6),NORMINV(RAND(),Assumptions!$B$8,Assumptions!$B$9))</f>
        <v>0.186102227425173</v>
      </c>
      <c r="N9" s="8" t="n">
        <f aca="true">NORMINV(RAND(),Assumptions!$B$14,Assumptions!$B$15)</f>
        <v>0.0488474537053137</v>
      </c>
      <c r="O9" s="8" t="n">
        <f aca="true">NORMINV(RAND(),Assumptions!$B$14,Assumptions!$B$15)</f>
        <v>0.00757438970023699</v>
      </c>
      <c r="P9" s="8" t="n">
        <f aca="true">NORMINV(RAND(),Assumptions!$B$14,Assumptions!$B$15)</f>
        <v>0.0438262819630978</v>
      </c>
      <c r="Q9" s="8" t="n">
        <f aca="true">NORMINV(RAND(),Assumptions!$B$14,Assumptions!$B$15)</f>
        <v>0.0694903778533972</v>
      </c>
      <c r="R9" s="8" t="n">
        <f aca="true">NORMINV(RAND(),Assumptions!$B$14,Assumptions!$B$15)</f>
        <v>0.0548062726826148</v>
      </c>
      <c r="S9" s="8" t="n">
        <f aca="true">NORMINV(RAND(),Assumptions!$B$14,Assumptions!$B$15)</f>
        <v>0.0253511232818344</v>
      </c>
      <c r="T9" s="8" t="n">
        <f aca="false">Assumptions!$B$19*H9+(1-Assumptions!$B$19)*N9</f>
        <v>0.103672536694078</v>
      </c>
      <c r="U9" s="8" t="n">
        <f aca="false">Assumptions!$B$20*I9+(1-Assumptions!$B$20)*O9</f>
        <v>0.223154653005338</v>
      </c>
      <c r="V9" s="8" t="n">
        <f aca="false">Assumptions!$B$21*J9+(1-Assumptions!$B$21)*P9</f>
        <v>0.258375165276599</v>
      </c>
      <c r="W9" s="8" t="n">
        <f aca="false">Assumptions!$B$22*K9+(1-Assumptions!$B$22)*Q9</f>
        <v>-0.225022009128257</v>
      </c>
      <c r="X9" s="8" t="n">
        <f aca="false">Assumptions!$B$23*L9+(1-Assumptions!$B$23)*R9</f>
        <v>0.22635151856433</v>
      </c>
      <c r="Y9" s="8" t="n">
        <f aca="false">Assumptions!$B$24*M9+(1-Assumptions!$B$24)*S9</f>
        <v>0.121801785767837</v>
      </c>
      <c r="Z9" s="6" t="n">
        <f aca="false">Assumptions!$B$27*(1+T9)</f>
        <v>331101.761008223</v>
      </c>
      <c r="AA9" s="6" t="n">
        <f aca="false">(Z9+Assumptions!$B$28)*(1+U9)</f>
        <v>588461.85754627</v>
      </c>
      <c r="AB9" s="6" t="n">
        <f aca="false">AA9*(1+V9)</f>
        <v>740505.787248762</v>
      </c>
      <c r="AC9" s="6" t="n">
        <f aca="false">AB9*(1+W9)</f>
        <v>573875.687230944</v>
      </c>
      <c r="AD9" s="6" t="n">
        <f aca="false">AC9*(1+X9)</f>
        <v>703773.320502816</v>
      </c>
      <c r="AE9" s="6" t="n">
        <f aca="false">AD9*(1+Y9)</f>
        <v>789494.16771582</v>
      </c>
      <c r="AF9" s="6" t="n">
        <f aca="false">Z9</f>
        <v>331101.761008223</v>
      </c>
      <c r="AG9" s="6" t="n">
        <f aca="false">MAX(AF9,AA9)</f>
        <v>588461.85754627</v>
      </c>
      <c r="AH9" s="6" t="n">
        <f aca="false">MAX(AG9,AB9)</f>
        <v>740505.787248762</v>
      </c>
      <c r="AI9" s="6" t="n">
        <f aca="false">MAX(AH9,AC9)</f>
        <v>740505.787248762</v>
      </c>
      <c r="AJ9" s="6" t="n">
        <f aca="false">MAX(AI9,AD9)</f>
        <v>740505.787248762</v>
      </c>
      <c r="AK9" s="6" t="n">
        <f aca="false">MAX(AJ9,AE9)</f>
        <v>789494.16771582</v>
      </c>
      <c r="AL9" s="8" t="n">
        <f aca="false">MIN(Z9/AF9-1,AA9/AG9-1,AB9/AH9-1,AC9/AI9-1,AD9/AJ9-1,AE9/AK9-1)</f>
        <v>-0.225022009128257</v>
      </c>
      <c r="AM9" s="6" t="n">
        <f aca="false">AE9-Assumptions!$B$35</f>
        <v>348230.171053316</v>
      </c>
    </row>
    <row r="10" customFormat="false" ht="15" hidden="false" customHeight="false" outlineLevel="0" collapsed="false">
      <c r="A10" s="0" t="n">
        <f aca="false">ROW()-1</f>
        <v>9</v>
      </c>
      <c r="B10" s="0" t="str">
        <f aca="true">IF(RAND()&lt;Assumptions!$B$11,"Bull","Bear")</f>
        <v>Bull</v>
      </c>
      <c r="C10" s="0" t="str">
        <f aca="true">IF(B10="Bull",IF(RAND()&lt;Assumptions!$B$7,"Bull","Bear"),IF(RAND()&lt;Assumptions!$B$10,"Bear","Bull"))</f>
        <v>Bull</v>
      </c>
      <c r="D10" s="0" t="str">
        <f aca="true">IF(C10="Bull",IF(RAND()&lt;Assumptions!$B$7,"Bull","Bear"),IF(RAND()&lt;Assumptions!$B$10,"Bear","Bull"))</f>
        <v>Bull</v>
      </c>
      <c r="E10" s="0" t="str">
        <f aca="true">IF(D10="Bull",IF(RAND()&lt;Assumptions!$B$7,"Bull","Bear"),IF(RAND()&lt;Assumptions!$B$10,"Bear","Bull"))</f>
        <v>Bear</v>
      </c>
      <c r="F10" s="0" t="str">
        <f aca="true">IF(E10="Bull",IF(RAND()&lt;Assumptions!$B$7,"Bull","Bear"),IF(RAND()&lt;Assumptions!$B$10,"Bear","Bull"))</f>
        <v>Bull</v>
      </c>
      <c r="G10" s="0" t="str">
        <f aca="true">IF(F10="Bull",IF(RAND()&lt;Assumptions!$B$7,"Bull","Bear"),IF(RAND()&lt;Assumptions!$B$10,"Bear","Bull"))</f>
        <v>Bull</v>
      </c>
      <c r="H10" s="8" t="n">
        <f aca="true">IF(B10="Bull",NORMINV(RAND(),Assumptions!$B$5,Assumptions!$B$6),NORMINV(RAND(),Assumptions!$B$8,Assumptions!$B$9))</f>
        <v>0.201224976299211</v>
      </c>
      <c r="I10" s="8" t="n">
        <f aca="true">IF(C10="Bull",NORMINV(RAND(),Assumptions!$B$5,Assumptions!$B$6),NORMINV(RAND(),Assumptions!$B$8,Assumptions!$B$9))</f>
        <v>0.119953597728055</v>
      </c>
      <c r="J10" s="8" t="n">
        <f aca="true">IF(D10="Bull",NORMINV(RAND(),Assumptions!$B$5,Assumptions!$B$6),NORMINV(RAND(),Assumptions!$B$8,Assumptions!$B$9))</f>
        <v>0.132823964819685</v>
      </c>
      <c r="K10" s="8" t="n">
        <f aca="true">IF(E10="Bull",NORMINV(RAND(),Assumptions!$B$5,Assumptions!$B$6),NORMINV(RAND(),Assumptions!$B$8,Assumptions!$B$9))</f>
        <v>0.115295982092463</v>
      </c>
      <c r="L10" s="8" t="n">
        <f aca="true">IF(F10="Bull",NORMINV(RAND(),Assumptions!$B$5,Assumptions!$B$6),NORMINV(RAND(),Assumptions!$B$8,Assumptions!$B$9))</f>
        <v>0.0975685183839589</v>
      </c>
      <c r="M10" s="8" t="n">
        <f aca="true">IF(G10="Bull",NORMINV(RAND(),Assumptions!$B$5,Assumptions!$B$6),NORMINV(RAND(),Assumptions!$B$8,Assumptions!$B$9))</f>
        <v>0.186376724156497</v>
      </c>
      <c r="N10" s="8" t="n">
        <f aca="true">NORMINV(RAND(),Assumptions!$B$14,Assumptions!$B$15)</f>
        <v>0.0512953574270811</v>
      </c>
      <c r="O10" s="8" t="n">
        <f aca="true">NORMINV(RAND(),Assumptions!$B$14,Assumptions!$B$15)</f>
        <v>0.0491345609331223</v>
      </c>
      <c r="P10" s="8" t="n">
        <f aca="true">NORMINV(RAND(),Assumptions!$B$14,Assumptions!$B$15)</f>
        <v>0.076086355832816</v>
      </c>
      <c r="Q10" s="8" t="n">
        <f aca="true">NORMINV(RAND(),Assumptions!$B$14,Assumptions!$B$15)</f>
        <v>0.0229322229654067</v>
      </c>
      <c r="R10" s="8" t="n">
        <f aca="true">NORMINV(RAND(),Assumptions!$B$14,Assumptions!$B$15)</f>
        <v>0.00837474716905827</v>
      </c>
      <c r="S10" s="8" t="n">
        <f aca="true">NORMINV(RAND(),Assumptions!$B$14,Assumptions!$B$15)</f>
        <v>0.0530890418966671</v>
      </c>
      <c r="T10" s="8" t="n">
        <f aca="false">Assumptions!$B$19*H10+(1-Assumptions!$B$19)*N10</f>
        <v>0.201224976299211</v>
      </c>
      <c r="U10" s="8" t="n">
        <f aca="false">Assumptions!$B$20*I10+(1-Assumptions!$B$20)*O10</f>
        <v>0.119953597728055</v>
      </c>
      <c r="V10" s="8" t="n">
        <f aca="false">Assumptions!$B$21*J10+(1-Assumptions!$B$21)*P10</f>
        <v>0.132823964819685</v>
      </c>
      <c r="W10" s="8" t="n">
        <f aca="false">Assumptions!$B$22*K10+(1-Assumptions!$B$22)*Q10</f>
        <v>0.115295982092463</v>
      </c>
      <c r="X10" s="8" t="n">
        <f aca="false">Assumptions!$B$23*L10+(1-Assumptions!$B$23)*R10</f>
        <v>0.0797297641409787</v>
      </c>
      <c r="Y10" s="8" t="n">
        <f aca="false">Assumptions!$B$24*M10+(1-Assumptions!$B$24)*S10</f>
        <v>0.133061651252565</v>
      </c>
      <c r="Z10" s="6" t="n">
        <f aca="false">Assumptions!$B$27*(1+T10)</f>
        <v>360367.492889763</v>
      </c>
      <c r="AA10" s="6" t="n">
        <f aca="false">(Z10+Assumptions!$B$28)*(1+U10)</f>
        <v>571587.909825338</v>
      </c>
      <c r="AB10" s="6" t="n">
        <f aca="false">AA10*(1+V10)</f>
        <v>647508.482251336</v>
      </c>
      <c r="AC10" s="6" t="n">
        <f aca="false">AB10*(1+W10)</f>
        <v>722163.608625704</v>
      </c>
      <c r="AD10" s="6" t="n">
        <f aca="false">AC10*(1+X10)</f>
        <v>779741.542812629</v>
      </c>
      <c r="AE10" s="6" t="n">
        <f aca="false">AD10*(1+Y10)</f>
        <v>883495.2400495</v>
      </c>
      <c r="AF10" s="6" t="n">
        <f aca="false">Z10</f>
        <v>360367.492889763</v>
      </c>
      <c r="AG10" s="6" t="n">
        <f aca="false">MAX(AF10,AA10)</f>
        <v>571587.909825338</v>
      </c>
      <c r="AH10" s="6" t="n">
        <f aca="false">MAX(AG10,AB10)</f>
        <v>647508.482251336</v>
      </c>
      <c r="AI10" s="6" t="n">
        <f aca="false">MAX(AH10,AC10)</f>
        <v>722163.608625704</v>
      </c>
      <c r="AJ10" s="6" t="n">
        <f aca="false">MAX(AI10,AD10)</f>
        <v>779741.542812629</v>
      </c>
      <c r="AK10" s="6" t="n">
        <f aca="false">MAX(AJ10,AE10)</f>
        <v>883495.2400495</v>
      </c>
      <c r="AL10" s="8" t="n">
        <f aca="false">MIN(Z10/AF10-1,AA10/AG10-1,AB10/AH10-1,AC10/AI10-1,AD10/AJ10-1,AE10/AK10-1)</f>
        <v>0</v>
      </c>
      <c r="AM10" s="6" t="n">
        <f aca="false">AE10-Assumptions!$B$35</f>
        <v>442231.243386997</v>
      </c>
    </row>
    <row r="11" customFormat="false" ht="15" hidden="false" customHeight="false" outlineLevel="0" collapsed="false">
      <c r="A11" s="0" t="n">
        <f aca="false">ROW()-1</f>
        <v>10</v>
      </c>
      <c r="B11" s="0" t="str">
        <f aca="true">IF(RAND()&lt;Assumptions!$B$11,"Bull","Bear")</f>
        <v>Bull</v>
      </c>
      <c r="C11" s="0" t="str">
        <f aca="true">IF(B11="Bull",IF(RAND()&lt;Assumptions!$B$7,"Bull","Bear"),IF(RAND()&lt;Assumptions!$B$10,"Bear","Bull"))</f>
        <v>Bear</v>
      </c>
      <c r="D11" s="0" t="str">
        <f aca="true">IF(C11="Bull",IF(RAND()&lt;Assumptions!$B$7,"Bull","Bear"),IF(RAND()&lt;Assumptions!$B$10,"Bear","Bull"))</f>
        <v>Bear</v>
      </c>
      <c r="E11" s="0" t="str">
        <f aca="true">IF(D11="Bull",IF(RAND()&lt;Assumptions!$B$7,"Bull","Bear"),IF(RAND()&lt;Assumptions!$B$10,"Bear","Bull"))</f>
        <v>Bull</v>
      </c>
      <c r="F11" s="0" t="str">
        <f aca="true">IF(E11="Bull",IF(RAND()&lt;Assumptions!$B$7,"Bull","Bear"),IF(RAND()&lt;Assumptions!$B$10,"Bear","Bull"))</f>
        <v>Bull</v>
      </c>
      <c r="G11" s="0" t="str">
        <f aca="true">IF(F11="Bull",IF(RAND()&lt;Assumptions!$B$7,"Bull","Bear"),IF(RAND()&lt;Assumptions!$B$10,"Bear","Bull"))</f>
        <v>Bull</v>
      </c>
      <c r="H11" s="8" t="n">
        <f aca="true">IF(B11="Bull",NORMINV(RAND(),Assumptions!$B$5,Assumptions!$B$6),NORMINV(RAND(),Assumptions!$B$8,Assumptions!$B$9))</f>
        <v>0.21038042452284</v>
      </c>
      <c r="I11" s="8" t="n">
        <f aca="true">IF(C11="Bull",NORMINV(RAND(),Assumptions!$B$5,Assumptions!$B$6),NORMINV(RAND(),Assumptions!$B$8,Assumptions!$B$9))</f>
        <v>-0.235400487368999</v>
      </c>
      <c r="J11" s="8" t="n">
        <f aca="true">IF(D11="Bull",NORMINV(RAND(),Assumptions!$B$5,Assumptions!$B$6),NORMINV(RAND(),Assumptions!$B$8,Assumptions!$B$9))</f>
        <v>-0.0633958554793367</v>
      </c>
      <c r="K11" s="8" t="n">
        <f aca="true">IF(E11="Bull",NORMINV(RAND(),Assumptions!$B$5,Assumptions!$B$6),NORMINV(RAND(),Assumptions!$B$8,Assumptions!$B$9))</f>
        <v>0.223871457495681</v>
      </c>
      <c r="L11" s="8" t="n">
        <f aca="true">IF(F11="Bull",NORMINV(RAND(),Assumptions!$B$5,Assumptions!$B$6),NORMINV(RAND(),Assumptions!$B$8,Assumptions!$B$9))</f>
        <v>0.184425655470622</v>
      </c>
      <c r="M11" s="8" t="n">
        <f aca="true">IF(G11="Bull",NORMINV(RAND(),Assumptions!$B$5,Assumptions!$B$6),NORMINV(RAND(),Assumptions!$B$8,Assumptions!$B$9))</f>
        <v>0.0733321132584656</v>
      </c>
      <c r="N11" s="8" t="n">
        <f aca="true">NORMINV(RAND(),Assumptions!$B$14,Assumptions!$B$15)</f>
        <v>0.0104931615655507</v>
      </c>
      <c r="O11" s="8" t="n">
        <f aca="true">NORMINV(RAND(),Assumptions!$B$14,Assumptions!$B$15)</f>
        <v>0.0437963035754179</v>
      </c>
      <c r="P11" s="8" t="n">
        <f aca="true">NORMINV(RAND(),Assumptions!$B$14,Assumptions!$B$15)</f>
        <v>0.0424065452074587</v>
      </c>
      <c r="Q11" s="8" t="n">
        <f aca="true">NORMINV(RAND(),Assumptions!$B$14,Assumptions!$B$15)</f>
        <v>0.0399468604859049</v>
      </c>
      <c r="R11" s="8" t="n">
        <f aca="true">NORMINV(RAND(),Assumptions!$B$14,Assumptions!$B$15)</f>
        <v>0.0542871617330734</v>
      </c>
      <c r="S11" s="8" t="n">
        <f aca="true">NORMINV(RAND(),Assumptions!$B$14,Assumptions!$B$15)</f>
        <v>0.0362081690813856</v>
      </c>
      <c r="T11" s="8" t="n">
        <f aca="false">Assumptions!$B$19*H11+(1-Assumptions!$B$19)*N11</f>
        <v>0.21038042452284</v>
      </c>
      <c r="U11" s="8" t="n">
        <f aca="false">Assumptions!$B$20*I11+(1-Assumptions!$B$20)*O11</f>
        <v>-0.235400487368999</v>
      </c>
      <c r="V11" s="8" t="n">
        <f aca="false">Assumptions!$B$21*J11+(1-Assumptions!$B$21)*P11</f>
        <v>-0.0633958554793367</v>
      </c>
      <c r="W11" s="8" t="n">
        <f aca="false">Assumptions!$B$22*K11+(1-Assumptions!$B$22)*Q11</f>
        <v>0.223871457495681</v>
      </c>
      <c r="X11" s="8" t="n">
        <f aca="false">Assumptions!$B$23*L11+(1-Assumptions!$B$23)*R11</f>
        <v>0.158397956723112</v>
      </c>
      <c r="Y11" s="8" t="n">
        <f aca="false">Assumptions!$B$24*M11+(1-Assumptions!$B$24)*S11</f>
        <v>0.0584825355876336</v>
      </c>
      <c r="Z11" s="6" t="n">
        <f aca="false">Assumptions!$B$27*(1+T11)</f>
        <v>363114.127356852</v>
      </c>
      <c r="AA11" s="6" t="n">
        <f aca="false">(Z11+Assumptions!$B$28)*(1+U11)</f>
        <v>392326.81170113</v>
      </c>
      <c r="AB11" s="6" t="n">
        <f aca="false">AA11*(1+V11)</f>
        <v>367454.917845856</v>
      </c>
      <c r="AC11" s="6" t="n">
        <f aca="false">AB11*(1+W11)</f>
        <v>449717.585867964</v>
      </c>
      <c r="AD11" s="6" t="n">
        <f aca="false">AC11*(1+X11)</f>
        <v>520951.9325719</v>
      </c>
      <c r="AE11" s="6" t="n">
        <f aca="false">AD11*(1+Y11)</f>
        <v>551418.522507983</v>
      </c>
      <c r="AF11" s="6" t="n">
        <f aca="false">Z11</f>
        <v>363114.127356852</v>
      </c>
      <c r="AG11" s="6" t="n">
        <f aca="false">MAX(AF11,AA11)</f>
        <v>392326.81170113</v>
      </c>
      <c r="AH11" s="6" t="n">
        <f aca="false">MAX(AG11,AB11)</f>
        <v>392326.81170113</v>
      </c>
      <c r="AI11" s="6" t="n">
        <f aca="false">MAX(AH11,AC11)</f>
        <v>449717.585867964</v>
      </c>
      <c r="AJ11" s="6" t="n">
        <f aca="false">MAX(AI11,AD11)</f>
        <v>520951.9325719</v>
      </c>
      <c r="AK11" s="6" t="n">
        <f aca="false">MAX(AJ11,AE11)</f>
        <v>551418.522507983</v>
      </c>
      <c r="AL11" s="8" t="n">
        <f aca="false">MIN(Z11/AF11-1,AA11/AG11-1,AB11/AH11-1,AC11/AI11-1,AD11/AJ11-1,AE11/AK11-1)</f>
        <v>-0.0633958554793367</v>
      </c>
      <c r="AM11" s="6" t="n">
        <f aca="false">AE11-Assumptions!$B$35</f>
        <v>110154.525845479</v>
      </c>
    </row>
    <row r="12" customFormat="false" ht="15" hidden="false" customHeight="false" outlineLevel="0" collapsed="false">
      <c r="A12" s="0" t="n">
        <f aca="false">ROW()-1</f>
        <v>11</v>
      </c>
      <c r="B12" s="0" t="str">
        <f aca="true">IF(RAND()&lt;Assumptions!$B$11,"Bull","Bear")</f>
        <v>Bear</v>
      </c>
      <c r="C12" s="0" t="str">
        <f aca="true">IF(B12="Bull",IF(RAND()&lt;Assumptions!$B$7,"Bull","Bear"),IF(RAND()&lt;Assumptions!$B$10,"Bear","Bull"))</f>
        <v>Bull</v>
      </c>
      <c r="D12" s="0" t="str">
        <f aca="true">IF(C12="Bull",IF(RAND()&lt;Assumptions!$B$7,"Bull","Bear"),IF(RAND()&lt;Assumptions!$B$10,"Bear","Bull"))</f>
        <v>Bear</v>
      </c>
      <c r="E12" s="0" t="str">
        <f aca="true">IF(D12="Bull",IF(RAND()&lt;Assumptions!$B$7,"Bull","Bear"),IF(RAND()&lt;Assumptions!$B$10,"Bear","Bull"))</f>
        <v>Bull</v>
      </c>
      <c r="F12" s="0" t="str">
        <f aca="true">IF(E12="Bull",IF(RAND()&lt;Assumptions!$B$7,"Bull","Bear"),IF(RAND()&lt;Assumptions!$B$10,"Bear","Bull"))</f>
        <v>Bear</v>
      </c>
      <c r="G12" s="0" t="str">
        <f aca="true">IF(F12="Bull",IF(RAND()&lt;Assumptions!$B$7,"Bull","Bear"),IF(RAND()&lt;Assumptions!$B$10,"Bear","Bull"))</f>
        <v>Bull</v>
      </c>
      <c r="H12" s="8" t="n">
        <f aca="true">IF(B12="Bull",NORMINV(RAND(),Assumptions!$B$5,Assumptions!$B$6),NORMINV(RAND(),Assumptions!$B$8,Assumptions!$B$9))</f>
        <v>0.298571089937838</v>
      </c>
      <c r="I12" s="8" t="n">
        <f aca="true">IF(C12="Bull",NORMINV(RAND(),Assumptions!$B$5,Assumptions!$B$6),NORMINV(RAND(),Assumptions!$B$8,Assumptions!$B$9))</f>
        <v>0.293981120174544</v>
      </c>
      <c r="J12" s="8" t="n">
        <f aca="true">IF(D12="Bull",NORMINV(RAND(),Assumptions!$B$5,Assumptions!$B$6),NORMINV(RAND(),Assumptions!$B$8,Assumptions!$B$9))</f>
        <v>-0.167630591646136</v>
      </c>
      <c r="K12" s="8" t="n">
        <f aca="true">IF(E12="Bull",NORMINV(RAND(),Assumptions!$B$5,Assumptions!$B$6),NORMINV(RAND(),Assumptions!$B$8,Assumptions!$B$9))</f>
        <v>0.357260635216128</v>
      </c>
      <c r="L12" s="8" t="n">
        <f aca="true">IF(F12="Bull",NORMINV(RAND(),Assumptions!$B$5,Assumptions!$B$6),NORMINV(RAND(),Assumptions!$B$8,Assumptions!$B$9))</f>
        <v>-0.265274908307645</v>
      </c>
      <c r="M12" s="8" t="n">
        <f aca="true">IF(G12="Bull",NORMINV(RAND(),Assumptions!$B$5,Assumptions!$B$6),NORMINV(RAND(),Assumptions!$B$8,Assumptions!$B$9))</f>
        <v>-0.13173861076575</v>
      </c>
      <c r="N12" s="8" t="n">
        <f aca="true">NORMINV(RAND(),Assumptions!$B$14,Assumptions!$B$15)</f>
        <v>0.104369747492318</v>
      </c>
      <c r="O12" s="8" t="n">
        <f aca="true">NORMINV(RAND(),Assumptions!$B$14,Assumptions!$B$15)</f>
        <v>0.0927410619023372</v>
      </c>
      <c r="P12" s="8" t="n">
        <f aca="true">NORMINV(RAND(),Assumptions!$B$14,Assumptions!$B$15)</f>
        <v>0.0218482285024545</v>
      </c>
      <c r="Q12" s="8" t="n">
        <f aca="true">NORMINV(RAND(),Assumptions!$B$14,Assumptions!$B$15)</f>
        <v>0.00735878342479946</v>
      </c>
      <c r="R12" s="8" t="n">
        <f aca="true">NORMINV(RAND(),Assumptions!$B$14,Assumptions!$B$15)</f>
        <v>0.11071412578886</v>
      </c>
      <c r="S12" s="8" t="n">
        <f aca="true">NORMINV(RAND(),Assumptions!$B$14,Assumptions!$B$15)</f>
        <v>0.011764790602695</v>
      </c>
      <c r="T12" s="8" t="n">
        <f aca="false">Assumptions!$B$19*H12+(1-Assumptions!$B$19)*N12</f>
        <v>0.298571089937838</v>
      </c>
      <c r="U12" s="8" t="n">
        <f aca="false">Assumptions!$B$20*I12+(1-Assumptions!$B$20)*O12</f>
        <v>0.293981120174544</v>
      </c>
      <c r="V12" s="8" t="n">
        <f aca="false">Assumptions!$B$21*J12+(1-Assumptions!$B$21)*P12</f>
        <v>-0.167630591646136</v>
      </c>
      <c r="W12" s="8" t="n">
        <f aca="false">Assumptions!$B$22*K12+(1-Assumptions!$B$22)*Q12</f>
        <v>0.357260635216128</v>
      </c>
      <c r="X12" s="8" t="n">
        <f aca="false">Assumptions!$B$23*L12+(1-Assumptions!$B$23)*R12</f>
        <v>-0.190077101488344</v>
      </c>
      <c r="Y12" s="8" t="n">
        <f aca="false">Assumptions!$B$24*M12+(1-Assumptions!$B$24)*S12</f>
        <v>-0.0743372502183719</v>
      </c>
      <c r="Z12" s="6" t="n">
        <f aca="false">Assumptions!$B$27*(1+T12)</f>
        <v>389571.326981351</v>
      </c>
      <c r="AA12" s="6" t="n">
        <f aca="false">(Z12+Assumptions!$B$28)*(1+U12)</f>
        <v>698195.110101394</v>
      </c>
      <c r="AB12" s="6" t="n">
        <f aca="false">AA12*(1+V12)</f>
        <v>581156.250710658</v>
      </c>
      <c r="AC12" s="6" t="n">
        <f aca="false">AB12*(1+W12)</f>
        <v>788780.501999372</v>
      </c>
      <c r="AD12" s="6" t="n">
        <f aca="false">AC12*(1+X12)</f>
        <v>638851.39046881</v>
      </c>
      <c r="AE12" s="6" t="n">
        <f aca="false">AD12*(1+Y12)</f>
        <v>591360.934803175</v>
      </c>
      <c r="AF12" s="6" t="n">
        <f aca="false">Z12</f>
        <v>389571.326981351</v>
      </c>
      <c r="AG12" s="6" t="n">
        <f aca="false">MAX(AF12,AA12)</f>
        <v>698195.110101394</v>
      </c>
      <c r="AH12" s="6" t="n">
        <f aca="false">MAX(AG12,AB12)</f>
        <v>698195.110101394</v>
      </c>
      <c r="AI12" s="6" t="n">
        <f aca="false">MAX(AH12,AC12)</f>
        <v>788780.501999372</v>
      </c>
      <c r="AJ12" s="6" t="n">
        <f aca="false">MAX(AI12,AD12)</f>
        <v>788780.501999372</v>
      </c>
      <c r="AK12" s="6" t="n">
        <f aca="false">MAX(AJ12,AE12)</f>
        <v>788780.501999372</v>
      </c>
      <c r="AL12" s="8" t="n">
        <f aca="false">MIN(Z12/AF12-1,AA12/AG12-1,AB12/AH12-1,AC12/AI12-1,AD12/AJ12-1,AE12/AK12-1)</f>
        <v>-0.250284542652594</v>
      </c>
      <c r="AM12" s="6" t="n">
        <f aca="false">AE12-Assumptions!$B$35</f>
        <v>150096.938140672</v>
      </c>
    </row>
    <row r="13" customFormat="false" ht="15" hidden="false" customHeight="false" outlineLevel="0" collapsed="false">
      <c r="A13" s="0" t="n">
        <f aca="false">ROW()-1</f>
        <v>12</v>
      </c>
      <c r="B13" s="0" t="str">
        <f aca="true">IF(RAND()&lt;Assumptions!$B$11,"Bull","Bear")</f>
        <v>Bear</v>
      </c>
      <c r="C13" s="0" t="str">
        <f aca="true">IF(B13="Bull",IF(RAND()&lt;Assumptions!$B$7,"Bull","Bear"),IF(RAND()&lt;Assumptions!$B$10,"Bear","Bull"))</f>
        <v>Bull</v>
      </c>
      <c r="D13" s="0" t="str">
        <f aca="true">IF(C13="Bull",IF(RAND()&lt;Assumptions!$B$7,"Bull","Bear"),IF(RAND()&lt;Assumptions!$B$10,"Bear","Bull"))</f>
        <v>Bear</v>
      </c>
      <c r="E13" s="0" t="str">
        <f aca="true">IF(D13="Bull",IF(RAND()&lt;Assumptions!$B$7,"Bull","Bear"),IF(RAND()&lt;Assumptions!$B$10,"Bear","Bull"))</f>
        <v>Bear</v>
      </c>
      <c r="F13" s="0" t="str">
        <f aca="true">IF(E13="Bull",IF(RAND()&lt;Assumptions!$B$7,"Bull","Bear"),IF(RAND()&lt;Assumptions!$B$10,"Bear","Bull"))</f>
        <v>Bear</v>
      </c>
      <c r="G13" s="0" t="str">
        <f aca="true">IF(F13="Bull",IF(RAND()&lt;Assumptions!$B$7,"Bull","Bear"),IF(RAND()&lt;Assumptions!$B$10,"Bear","Bull"))</f>
        <v>Bull</v>
      </c>
      <c r="H13" s="8" t="n">
        <f aca="true">IF(B13="Bull",NORMINV(RAND(),Assumptions!$B$5,Assumptions!$B$6),NORMINV(RAND(),Assumptions!$B$8,Assumptions!$B$9))</f>
        <v>-0.0631152134238253</v>
      </c>
      <c r="I13" s="8" t="n">
        <f aca="true">IF(C13="Bull",NORMINV(RAND(),Assumptions!$B$5,Assumptions!$B$6),NORMINV(RAND(),Assumptions!$B$8,Assumptions!$B$9))</f>
        <v>0.106830372811037</v>
      </c>
      <c r="J13" s="8" t="n">
        <f aca="true">IF(D13="Bull",NORMINV(RAND(),Assumptions!$B$5,Assumptions!$B$6),NORMINV(RAND(),Assumptions!$B$8,Assumptions!$B$9))</f>
        <v>0.193829875302734</v>
      </c>
      <c r="K13" s="8" t="n">
        <f aca="true">IF(E13="Bull",NORMINV(RAND(),Assumptions!$B$5,Assumptions!$B$6),NORMINV(RAND(),Assumptions!$B$8,Assumptions!$B$9))</f>
        <v>0.076035819154184</v>
      </c>
      <c r="L13" s="8" t="n">
        <f aca="true">IF(F13="Bull",NORMINV(RAND(),Assumptions!$B$5,Assumptions!$B$6),NORMINV(RAND(),Assumptions!$B$8,Assumptions!$B$9))</f>
        <v>-0.146211374603044</v>
      </c>
      <c r="M13" s="8" t="n">
        <f aca="true">IF(G13="Bull",NORMINV(RAND(),Assumptions!$B$5,Assumptions!$B$6),NORMINV(RAND(),Assumptions!$B$8,Assumptions!$B$9))</f>
        <v>0.235546223869578</v>
      </c>
      <c r="N13" s="8" t="n">
        <f aca="true">NORMINV(RAND(),Assumptions!$B$14,Assumptions!$B$15)</f>
        <v>0.0390395403970657</v>
      </c>
      <c r="O13" s="8" t="n">
        <f aca="true">NORMINV(RAND(),Assumptions!$B$14,Assumptions!$B$15)</f>
        <v>0.0450370028977</v>
      </c>
      <c r="P13" s="8" t="n">
        <f aca="true">NORMINV(RAND(),Assumptions!$B$14,Assumptions!$B$15)</f>
        <v>0.087223311697888</v>
      </c>
      <c r="Q13" s="8" t="n">
        <f aca="true">NORMINV(RAND(),Assumptions!$B$14,Assumptions!$B$15)</f>
        <v>0.0733206354014749</v>
      </c>
      <c r="R13" s="8" t="n">
        <f aca="true">NORMINV(RAND(),Assumptions!$B$14,Assumptions!$B$15)</f>
        <v>0.0851670010276395</v>
      </c>
      <c r="S13" s="8" t="n">
        <f aca="true">NORMINV(RAND(),Assumptions!$B$14,Assumptions!$B$15)</f>
        <v>0.0493315155919736</v>
      </c>
      <c r="T13" s="8" t="n">
        <f aca="false">Assumptions!$B$19*H13+(1-Assumptions!$B$19)*N13</f>
        <v>-0.0631152134238253</v>
      </c>
      <c r="U13" s="8" t="n">
        <f aca="false">Assumptions!$B$20*I13+(1-Assumptions!$B$20)*O13</f>
        <v>0.106830372811037</v>
      </c>
      <c r="V13" s="8" t="n">
        <f aca="false">Assumptions!$B$21*J13+(1-Assumptions!$B$21)*P13</f>
        <v>0.193829875302734</v>
      </c>
      <c r="W13" s="8" t="n">
        <f aca="false">Assumptions!$B$22*K13+(1-Assumptions!$B$22)*Q13</f>
        <v>0.076035819154184</v>
      </c>
      <c r="X13" s="8" t="n">
        <f aca="false">Assumptions!$B$23*L13+(1-Assumptions!$B$23)*R13</f>
        <v>-0.0999356994769073</v>
      </c>
      <c r="Y13" s="8" t="n">
        <f aca="false">Assumptions!$B$24*M13+(1-Assumptions!$B$24)*S13</f>
        <v>0.161060340558536</v>
      </c>
      <c r="Z13" s="6" t="n">
        <f aca="false">Assumptions!$B$27*(1+T13)</f>
        <v>281065.435972852</v>
      </c>
      <c r="AA13" s="6" t="n">
        <f aca="false">(Z13+Assumptions!$B$28)*(1+U13)</f>
        <v>477116.317203784</v>
      </c>
      <c r="AB13" s="6" t="n">
        <f aca="false">AA13*(1+V13)</f>
        <v>569595.713472294</v>
      </c>
      <c r="AC13" s="6" t="n">
        <f aca="false">AB13*(1+W13)</f>
        <v>612905.390132871</v>
      </c>
      <c r="AD13" s="6" t="n">
        <f aca="false">AC13*(1+X13)</f>
        <v>551654.261256776</v>
      </c>
      <c r="AE13" s="6" t="n">
        <f aca="false">AD13*(1+Y13)</f>
        <v>640503.88444536</v>
      </c>
      <c r="AF13" s="6" t="n">
        <f aca="false">Z13</f>
        <v>281065.435972852</v>
      </c>
      <c r="AG13" s="6" t="n">
        <f aca="false">MAX(AF13,AA13)</f>
        <v>477116.317203784</v>
      </c>
      <c r="AH13" s="6" t="n">
        <f aca="false">MAX(AG13,AB13)</f>
        <v>569595.713472294</v>
      </c>
      <c r="AI13" s="6" t="n">
        <f aca="false">MAX(AH13,AC13)</f>
        <v>612905.390132871</v>
      </c>
      <c r="AJ13" s="6" t="n">
        <f aca="false">MAX(AI13,AD13)</f>
        <v>612905.390132871</v>
      </c>
      <c r="AK13" s="6" t="n">
        <f aca="false">MAX(AJ13,AE13)</f>
        <v>640503.88444536</v>
      </c>
      <c r="AL13" s="8" t="n">
        <f aca="false">MIN(Z13/AF13-1,AA13/AG13-1,AB13/AH13-1,AC13/AI13-1,AD13/AJ13-1,AE13/AK13-1)</f>
        <v>-0.0999356994769074</v>
      </c>
      <c r="AM13" s="6" t="n">
        <f aca="false">AE13-Assumptions!$B$35</f>
        <v>199239.887782857</v>
      </c>
    </row>
    <row r="14" customFormat="false" ht="15" hidden="false" customHeight="false" outlineLevel="0" collapsed="false">
      <c r="A14" s="0" t="n">
        <f aca="false">ROW()-1</f>
        <v>13</v>
      </c>
      <c r="B14" s="0" t="str">
        <f aca="true">IF(RAND()&lt;Assumptions!$B$11,"Bull","Bear")</f>
        <v>Bear</v>
      </c>
      <c r="C14" s="0" t="str">
        <f aca="true">IF(B14="Bull",IF(RAND()&lt;Assumptions!$B$7,"Bull","Bear"),IF(RAND()&lt;Assumptions!$B$10,"Bear","Bull"))</f>
        <v>Bear</v>
      </c>
      <c r="D14" s="0" t="str">
        <f aca="true">IF(C14="Bull",IF(RAND()&lt;Assumptions!$B$7,"Bull","Bear"),IF(RAND()&lt;Assumptions!$B$10,"Bear","Bull"))</f>
        <v>Bear</v>
      </c>
      <c r="E14" s="0" t="str">
        <f aca="true">IF(D14="Bull",IF(RAND()&lt;Assumptions!$B$7,"Bull","Bear"),IF(RAND()&lt;Assumptions!$B$10,"Bear","Bull"))</f>
        <v>Bull</v>
      </c>
      <c r="F14" s="0" t="str">
        <f aca="true">IF(E14="Bull",IF(RAND()&lt;Assumptions!$B$7,"Bull","Bear"),IF(RAND()&lt;Assumptions!$B$10,"Bear","Bull"))</f>
        <v>Bull</v>
      </c>
      <c r="G14" s="0" t="str">
        <f aca="true">IF(F14="Bull",IF(RAND()&lt;Assumptions!$B$7,"Bull","Bear"),IF(RAND()&lt;Assumptions!$B$10,"Bear","Bull"))</f>
        <v>Bull</v>
      </c>
      <c r="H14" s="8" t="n">
        <f aca="true">IF(B14="Bull",NORMINV(RAND(),Assumptions!$B$5,Assumptions!$B$6),NORMINV(RAND(),Assumptions!$B$8,Assumptions!$B$9))</f>
        <v>-0.24245043785486</v>
      </c>
      <c r="I14" s="8" t="n">
        <f aca="true">IF(C14="Bull",NORMINV(RAND(),Assumptions!$B$5,Assumptions!$B$6),NORMINV(RAND(),Assumptions!$B$8,Assumptions!$B$9))</f>
        <v>-0.0480014237749994</v>
      </c>
      <c r="J14" s="8" t="n">
        <f aca="true">IF(D14="Bull",NORMINV(RAND(),Assumptions!$B$5,Assumptions!$B$6),NORMINV(RAND(),Assumptions!$B$8,Assumptions!$B$9))</f>
        <v>-0.157966486657792</v>
      </c>
      <c r="K14" s="8" t="n">
        <f aca="true">IF(E14="Bull",NORMINV(RAND(),Assumptions!$B$5,Assumptions!$B$6),NORMINV(RAND(),Assumptions!$B$8,Assumptions!$B$9))</f>
        <v>0.185860082762778</v>
      </c>
      <c r="L14" s="8" t="n">
        <f aca="true">IF(F14="Bull",NORMINV(RAND(),Assumptions!$B$5,Assumptions!$B$6),NORMINV(RAND(),Assumptions!$B$8,Assumptions!$B$9))</f>
        <v>0.238571450161682</v>
      </c>
      <c r="M14" s="8" t="n">
        <f aca="true">IF(G14="Bull",NORMINV(RAND(),Assumptions!$B$5,Assumptions!$B$6),NORMINV(RAND(),Assumptions!$B$8,Assumptions!$B$9))</f>
        <v>0.20933899149532</v>
      </c>
      <c r="N14" s="8" t="n">
        <f aca="true">NORMINV(RAND(),Assumptions!$B$14,Assumptions!$B$15)</f>
        <v>0.0438132921284541</v>
      </c>
      <c r="O14" s="8" t="n">
        <f aca="true">NORMINV(RAND(),Assumptions!$B$14,Assumptions!$B$15)</f>
        <v>0.0756182658208484</v>
      </c>
      <c r="P14" s="8" t="n">
        <f aca="true">NORMINV(RAND(),Assumptions!$B$14,Assumptions!$B$15)</f>
        <v>0.023792811973378</v>
      </c>
      <c r="Q14" s="8" t="n">
        <f aca="true">NORMINV(RAND(),Assumptions!$B$14,Assumptions!$B$15)</f>
        <v>0.0543288250510314</v>
      </c>
      <c r="R14" s="8" t="n">
        <f aca="true">NORMINV(RAND(),Assumptions!$B$14,Assumptions!$B$15)</f>
        <v>0.0854369139047139</v>
      </c>
      <c r="S14" s="8" t="n">
        <f aca="true">NORMINV(RAND(),Assumptions!$B$14,Assumptions!$B$15)</f>
        <v>0.0676971602117186</v>
      </c>
      <c r="T14" s="8" t="n">
        <f aca="false">Assumptions!$B$19*H14+(1-Assumptions!$B$19)*N14</f>
        <v>-0.24245043785486</v>
      </c>
      <c r="U14" s="8" t="n">
        <f aca="false">Assumptions!$B$20*I14+(1-Assumptions!$B$20)*O14</f>
        <v>-0.0480014237749994</v>
      </c>
      <c r="V14" s="8" t="n">
        <f aca="false">Assumptions!$B$21*J14+(1-Assumptions!$B$21)*P14</f>
        <v>-0.157966486657792</v>
      </c>
      <c r="W14" s="8" t="n">
        <f aca="false">Assumptions!$B$22*K14+(1-Assumptions!$B$22)*Q14</f>
        <v>0.185860082762778</v>
      </c>
      <c r="X14" s="8" t="n">
        <f aca="false">Assumptions!$B$23*L14+(1-Assumptions!$B$23)*R14</f>
        <v>0.207944542910288</v>
      </c>
      <c r="Y14" s="8" t="n">
        <f aca="false">Assumptions!$B$24*M14+(1-Assumptions!$B$24)*S14</f>
        <v>0.152682258981879</v>
      </c>
      <c r="Z14" s="6" t="n">
        <f aca="false">Assumptions!$B$27*(1+T14)</f>
        <v>227264.868643542</v>
      </c>
      <c r="AA14" s="6" t="n">
        <f aca="false">(Z14+Assumptions!$B$28)*(1+U14)</f>
        <v>359155.617808364</v>
      </c>
      <c r="AB14" s="6" t="n">
        <f aca="false">AA14*(1+V14)</f>
        <v>302421.066699768</v>
      </c>
      <c r="AC14" s="6" t="n">
        <f aca="false">AB14*(1+W14)</f>
        <v>358629.071185794</v>
      </c>
      <c r="AD14" s="6" t="n">
        <f aca="false">AC14*(1+X14)</f>
        <v>433204.029467866</v>
      </c>
      <c r="AE14" s="6" t="n">
        <f aca="false">AD14*(1+Y14)</f>
        <v>499346.599287072</v>
      </c>
      <c r="AF14" s="6" t="n">
        <f aca="false">Z14</f>
        <v>227264.868643542</v>
      </c>
      <c r="AG14" s="6" t="n">
        <f aca="false">MAX(AF14,AA14)</f>
        <v>359155.617808364</v>
      </c>
      <c r="AH14" s="6" t="n">
        <f aca="false">MAX(AG14,AB14)</f>
        <v>359155.617808364</v>
      </c>
      <c r="AI14" s="6" t="n">
        <f aca="false">MAX(AH14,AC14)</f>
        <v>359155.617808364</v>
      </c>
      <c r="AJ14" s="6" t="n">
        <f aca="false">MAX(AI14,AD14)</f>
        <v>433204.029467866</v>
      </c>
      <c r="AK14" s="6" t="n">
        <f aca="false">MAX(AJ14,AE14)</f>
        <v>499346.599287072</v>
      </c>
      <c r="AL14" s="8" t="n">
        <f aca="false">MIN(Z14/AF14-1,AA14/AG14-1,AB14/AH14-1,AC14/AI14-1,AD14/AJ14-1,AE14/AK14-1)</f>
        <v>-0.157966486657792</v>
      </c>
      <c r="AM14" s="6" t="n">
        <f aca="false">AE14-Assumptions!$B$35</f>
        <v>58082.6026245683</v>
      </c>
    </row>
    <row r="15" customFormat="false" ht="15" hidden="false" customHeight="false" outlineLevel="0" collapsed="false">
      <c r="A15" s="0" t="n">
        <f aca="false">ROW()-1</f>
        <v>14</v>
      </c>
      <c r="B15" s="0" t="str">
        <f aca="true">IF(RAND()&lt;Assumptions!$B$11,"Bull","Bear")</f>
        <v>Bull</v>
      </c>
      <c r="C15" s="0" t="str">
        <f aca="true">IF(B15="Bull",IF(RAND()&lt;Assumptions!$B$7,"Bull","Bear"),IF(RAND()&lt;Assumptions!$B$10,"Bear","Bull"))</f>
        <v>Bull</v>
      </c>
      <c r="D15" s="0" t="str">
        <f aca="true">IF(C15="Bull",IF(RAND()&lt;Assumptions!$B$7,"Bull","Bear"),IF(RAND()&lt;Assumptions!$B$10,"Bear","Bull"))</f>
        <v>Bull</v>
      </c>
      <c r="E15" s="0" t="str">
        <f aca="true">IF(D15="Bull",IF(RAND()&lt;Assumptions!$B$7,"Bull","Bear"),IF(RAND()&lt;Assumptions!$B$10,"Bear","Bull"))</f>
        <v>Bull</v>
      </c>
      <c r="F15" s="0" t="str">
        <f aca="true">IF(E15="Bull",IF(RAND()&lt;Assumptions!$B$7,"Bull","Bear"),IF(RAND()&lt;Assumptions!$B$10,"Bear","Bull"))</f>
        <v>Bear</v>
      </c>
      <c r="G15" s="0" t="str">
        <f aca="true">IF(F15="Bull",IF(RAND()&lt;Assumptions!$B$7,"Bull","Bear"),IF(RAND()&lt;Assumptions!$B$10,"Bear","Bull"))</f>
        <v>Bear</v>
      </c>
      <c r="H15" s="8" t="n">
        <f aca="true">IF(B15="Bull",NORMINV(RAND(),Assumptions!$B$5,Assumptions!$B$6),NORMINV(RAND(),Assumptions!$B$8,Assumptions!$B$9))</f>
        <v>0.103720668475896</v>
      </c>
      <c r="I15" s="8" t="n">
        <f aca="true">IF(C15="Bull",NORMINV(RAND(),Assumptions!$B$5,Assumptions!$B$6),NORMINV(RAND(),Assumptions!$B$8,Assumptions!$B$9))</f>
        <v>0.1410211525598</v>
      </c>
      <c r="J15" s="8" t="n">
        <f aca="true">IF(D15="Bull",NORMINV(RAND(),Assumptions!$B$5,Assumptions!$B$6),NORMINV(RAND(),Assumptions!$B$8,Assumptions!$B$9))</f>
        <v>0.324859748529934</v>
      </c>
      <c r="K15" s="8" t="n">
        <f aca="true">IF(E15="Bull",NORMINV(RAND(),Assumptions!$B$5,Assumptions!$B$6),NORMINV(RAND(),Assumptions!$B$8,Assumptions!$B$9))</f>
        <v>0.0807400839865256</v>
      </c>
      <c r="L15" s="8" t="n">
        <f aca="true">IF(F15="Bull",NORMINV(RAND(),Assumptions!$B$5,Assumptions!$B$6),NORMINV(RAND(),Assumptions!$B$8,Assumptions!$B$9))</f>
        <v>0.130053093975157</v>
      </c>
      <c r="M15" s="8" t="n">
        <f aca="true">IF(G15="Bull",NORMINV(RAND(),Assumptions!$B$5,Assumptions!$B$6),NORMINV(RAND(),Assumptions!$B$8,Assumptions!$B$9))</f>
        <v>-0.299159672257106</v>
      </c>
      <c r="N15" s="8" t="n">
        <f aca="true">NORMINV(RAND(),Assumptions!$B$14,Assumptions!$B$15)</f>
        <v>0.0573071579514212</v>
      </c>
      <c r="O15" s="8" t="n">
        <f aca="true">NORMINV(RAND(),Assumptions!$B$14,Assumptions!$B$15)</f>
        <v>0.0356472178292074</v>
      </c>
      <c r="P15" s="8" t="n">
        <f aca="true">NORMINV(RAND(),Assumptions!$B$14,Assumptions!$B$15)</f>
        <v>0.065238677338377</v>
      </c>
      <c r="Q15" s="8" t="n">
        <f aca="true">NORMINV(RAND(),Assumptions!$B$14,Assumptions!$B$15)</f>
        <v>0.0569260409611448</v>
      </c>
      <c r="R15" s="8" t="n">
        <f aca="true">NORMINV(RAND(),Assumptions!$B$14,Assumptions!$B$15)</f>
        <v>0.0305413204873953</v>
      </c>
      <c r="S15" s="8" t="n">
        <f aca="true">NORMINV(RAND(),Assumptions!$B$14,Assumptions!$B$15)</f>
        <v>0.0314641869733526</v>
      </c>
      <c r="T15" s="8" t="n">
        <f aca="false">Assumptions!$B$19*H15+(1-Assumptions!$B$19)*N15</f>
        <v>0.103720668475896</v>
      </c>
      <c r="U15" s="8" t="n">
        <f aca="false">Assumptions!$B$20*I15+(1-Assumptions!$B$20)*O15</f>
        <v>0.1410211525598</v>
      </c>
      <c r="V15" s="8" t="n">
        <f aca="false">Assumptions!$B$21*J15+(1-Assumptions!$B$21)*P15</f>
        <v>0.324859748529934</v>
      </c>
      <c r="W15" s="8" t="n">
        <f aca="false">Assumptions!$B$22*K15+(1-Assumptions!$B$22)*Q15</f>
        <v>0.0807400839865256</v>
      </c>
      <c r="X15" s="8" t="n">
        <f aca="false">Assumptions!$B$23*L15+(1-Assumptions!$B$23)*R15</f>
        <v>0.110150739277605</v>
      </c>
      <c r="Y15" s="8" t="n">
        <f aca="false">Assumptions!$B$24*M15+(1-Assumptions!$B$24)*S15</f>
        <v>-0.166910128564922</v>
      </c>
      <c r="Z15" s="6" t="n">
        <f aca="false">Assumptions!$B$27*(1+T15)</f>
        <v>331116.200542769</v>
      </c>
      <c r="AA15" s="6" t="n">
        <f aca="false">(Z15+Assumptions!$B$28)*(1+U15)</f>
        <v>548963.761658502</v>
      </c>
      <c r="AB15" s="6" t="n">
        <f aca="false">AA15*(1+V15)</f>
        <v>727299.991222929</v>
      </c>
      <c r="AC15" s="6" t="n">
        <f aca="false">AB15*(1+W15)</f>
        <v>786022.253597668</v>
      </c>
      <c r="AD15" s="6" t="n">
        <f aca="false">AC15*(1+X15)</f>
        <v>872603.1859201</v>
      </c>
      <c r="AE15" s="6" t="n">
        <f aca="false">AD15*(1+Y15)</f>
        <v>726956.875972015</v>
      </c>
      <c r="AF15" s="6" t="n">
        <f aca="false">Z15</f>
        <v>331116.200542769</v>
      </c>
      <c r="AG15" s="6" t="n">
        <f aca="false">MAX(AF15,AA15)</f>
        <v>548963.761658502</v>
      </c>
      <c r="AH15" s="6" t="n">
        <f aca="false">MAX(AG15,AB15)</f>
        <v>727299.991222929</v>
      </c>
      <c r="AI15" s="6" t="n">
        <f aca="false">MAX(AH15,AC15)</f>
        <v>786022.253597668</v>
      </c>
      <c r="AJ15" s="6" t="n">
        <f aca="false">MAX(AI15,AD15)</f>
        <v>872603.1859201</v>
      </c>
      <c r="AK15" s="6" t="n">
        <f aca="false">MAX(AJ15,AE15)</f>
        <v>872603.1859201</v>
      </c>
      <c r="AL15" s="8" t="n">
        <f aca="false">MIN(Z15/AF15-1,AA15/AG15-1,AB15/AH15-1,AC15/AI15-1,AD15/AJ15-1,AE15/AK15-1)</f>
        <v>-0.166910128564922</v>
      </c>
      <c r="AM15" s="6" t="n">
        <f aca="false">AE15-Assumptions!$B$35</f>
        <v>285692.879309512</v>
      </c>
    </row>
    <row r="16" customFormat="false" ht="15" hidden="false" customHeight="false" outlineLevel="0" collapsed="false">
      <c r="A16" s="0" t="n">
        <f aca="false">ROW()-1</f>
        <v>15</v>
      </c>
      <c r="B16" s="0" t="str">
        <f aca="true">IF(RAND()&lt;Assumptions!$B$11,"Bull","Bear")</f>
        <v>Bear</v>
      </c>
      <c r="C16" s="0" t="str">
        <f aca="true">IF(B16="Bull",IF(RAND()&lt;Assumptions!$B$7,"Bull","Bear"),IF(RAND()&lt;Assumptions!$B$10,"Bear","Bull"))</f>
        <v>Bear</v>
      </c>
      <c r="D16" s="0" t="str">
        <f aca="true">IF(C16="Bull",IF(RAND()&lt;Assumptions!$B$7,"Bull","Bear"),IF(RAND()&lt;Assumptions!$B$10,"Bear","Bull"))</f>
        <v>Bear</v>
      </c>
      <c r="E16" s="0" t="str">
        <f aca="true">IF(D16="Bull",IF(RAND()&lt;Assumptions!$B$7,"Bull","Bear"),IF(RAND()&lt;Assumptions!$B$10,"Bear","Bull"))</f>
        <v>Bear</v>
      </c>
      <c r="F16" s="0" t="str">
        <f aca="true">IF(E16="Bull",IF(RAND()&lt;Assumptions!$B$7,"Bull","Bear"),IF(RAND()&lt;Assumptions!$B$10,"Bear","Bull"))</f>
        <v>Bull</v>
      </c>
      <c r="G16" s="0" t="str">
        <f aca="true">IF(F16="Bull",IF(RAND()&lt;Assumptions!$B$7,"Bull","Bear"),IF(RAND()&lt;Assumptions!$B$10,"Bear","Bull"))</f>
        <v>Bull</v>
      </c>
      <c r="H16" s="8" t="n">
        <f aca="true">IF(B16="Bull",NORMINV(RAND(),Assumptions!$B$5,Assumptions!$B$6),NORMINV(RAND(),Assumptions!$B$8,Assumptions!$B$9))</f>
        <v>0.0305098402617527</v>
      </c>
      <c r="I16" s="8" t="n">
        <f aca="true">IF(C16="Bull",NORMINV(RAND(),Assumptions!$B$5,Assumptions!$B$6),NORMINV(RAND(),Assumptions!$B$8,Assumptions!$B$9))</f>
        <v>-0.0646145541399522</v>
      </c>
      <c r="J16" s="8" t="n">
        <f aca="true">IF(D16="Bull",NORMINV(RAND(),Assumptions!$B$5,Assumptions!$B$6),NORMINV(RAND(),Assumptions!$B$8,Assumptions!$B$9))</f>
        <v>0.08087003158374</v>
      </c>
      <c r="K16" s="8" t="n">
        <f aca="true">IF(E16="Bull",NORMINV(RAND(),Assumptions!$B$5,Assumptions!$B$6),NORMINV(RAND(),Assumptions!$B$8,Assumptions!$B$9))</f>
        <v>-0.36565581504824</v>
      </c>
      <c r="L16" s="8" t="n">
        <f aca="true">IF(F16="Bull",NORMINV(RAND(),Assumptions!$B$5,Assumptions!$B$6),NORMINV(RAND(),Assumptions!$B$8,Assumptions!$B$9))</f>
        <v>0.341925763591449</v>
      </c>
      <c r="M16" s="8" t="n">
        <f aca="true">IF(G16="Bull",NORMINV(RAND(),Assumptions!$B$5,Assumptions!$B$6),NORMINV(RAND(),Assumptions!$B$8,Assumptions!$B$9))</f>
        <v>0.207299256691923</v>
      </c>
      <c r="N16" s="8" t="n">
        <f aca="true">NORMINV(RAND(),Assumptions!$B$14,Assumptions!$B$15)</f>
        <v>0.0865890782331119</v>
      </c>
      <c r="O16" s="8" t="n">
        <f aca="true">NORMINV(RAND(),Assumptions!$B$14,Assumptions!$B$15)</f>
        <v>0.0292264802468901</v>
      </c>
      <c r="P16" s="8" t="n">
        <f aca="true">NORMINV(RAND(),Assumptions!$B$14,Assumptions!$B$15)</f>
        <v>0.093581950804443</v>
      </c>
      <c r="Q16" s="8" t="n">
        <f aca="true">NORMINV(RAND(),Assumptions!$B$14,Assumptions!$B$15)</f>
        <v>0.0516973546555128</v>
      </c>
      <c r="R16" s="8" t="n">
        <f aca="true">NORMINV(RAND(),Assumptions!$B$14,Assumptions!$B$15)</f>
        <v>0.0671245288370858</v>
      </c>
      <c r="S16" s="8" t="n">
        <f aca="true">NORMINV(RAND(),Assumptions!$B$14,Assumptions!$B$15)</f>
        <v>0.0533430753968375</v>
      </c>
      <c r="T16" s="8" t="n">
        <f aca="false">Assumptions!$B$19*H16+(1-Assumptions!$B$19)*N16</f>
        <v>0.0305098402617527</v>
      </c>
      <c r="U16" s="8" t="n">
        <f aca="false">Assumptions!$B$20*I16+(1-Assumptions!$B$20)*O16</f>
        <v>-0.0646145541399522</v>
      </c>
      <c r="V16" s="8" t="n">
        <f aca="false">Assumptions!$B$21*J16+(1-Assumptions!$B$21)*P16</f>
        <v>0.08087003158374</v>
      </c>
      <c r="W16" s="8" t="n">
        <f aca="false">Assumptions!$B$22*K16+(1-Assumptions!$B$22)*Q16</f>
        <v>-0.36565581504824</v>
      </c>
      <c r="X16" s="8" t="n">
        <f aca="false">Assumptions!$B$23*L16+(1-Assumptions!$B$23)*R16</f>
        <v>0.286965516640576</v>
      </c>
      <c r="Y16" s="8" t="n">
        <f aca="false">Assumptions!$B$24*M16+(1-Assumptions!$B$24)*S16</f>
        <v>0.145716784173889</v>
      </c>
      <c r="Z16" s="6" t="n">
        <f aca="false">Assumptions!$B$27*(1+T16)</f>
        <v>309152.952078526</v>
      </c>
      <c r="AA16" s="6" t="n">
        <f aca="false">(Z16+Assumptions!$B$28)*(1+U16)</f>
        <v>429484.988797929</v>
      </c>
      <c r="AB16" s="6" t="n">
        <f aca="false">AA16*(1+V16)</f>
        <v>464217.45340676</v>
      </c>
      <c r="AC16" s="6" t="n">
        <f aca="false">AB16*(1+W16)</f>
        <v>294473.642121693</v>
      </c>
      <c r="AD16" s="6" t="n">
        <f aca="false">AC16*(1+X16)</f>
        <v>378977.422970177</v>
      </c>
      <c r="AE16" s="6" t="n">
        <f aca="false">AD16*(1+Y16)</f>
        <v>434200.794319898</v>
      </c>
      <c r="AF16" s="6" t="n">
        <f aca="false">Z16</f>
        <v>309152.952078526</v>
      </c>
      <c r="AG16" s="6" t="n">
        <f aca="false">MAX(AF16,AA16)</f>
        <v>429484.988797929</v>
      </c>
      <c r="AH16" s="6" t="n">
        <f aca="false">MAX(AG16,AB16)</f>
        <v>464217.45340676</v>
      </c>
      <c r="AI16" s="6" t="n">
        <f aca="false">MAX(AH16,AC16)</f>
        <v>464217.45340676</v>
      </c>
      <c r="AJ16" s="6" t="n">
        <f aca="false">MAX(AI16,AD16)</f>
        <v>464217.45340676</v>
      </c>
      <c r="AK16" s="6" t="n">
        <f aca="false">MAX(AJ16,AE16)</f>
        <v>464217.45340676</v>
      </c>
      <c r="AL16" s="8" t="n">
        <f aca="false">MIN(Z16/AF16-1,AA16/AG16-1,AB16/AH16-1,AC16/AI16-1,AD16/AJ16-1,AE16/AK16-1)</f>
        <v>-0.36565581504824</v>
      </c>
      <c r="AM16" s="6" t="n">
        <f aca="false">AE16-Assumptions!$B$35</f>
        <v>-7063.2023426051</v>
      </c>
    </row>
    <row r="17" customFormat="false" ht="15" hidden="false" customHeight="false" outlineLevel="0" collapsed="false">
      <c r="A17" s="0" t="n">
        <f aca="false">ROW()-1</f>
        <v>16</v>
      </c>
      <c r="B17" s="0" t="str">
        <f aca="true">IF(RAND()&lt;Assumptions!$B$11,"Bull","Bear")</f>
        <v>Bear</v>
      </c>
      <c r="C17" s="0" t="str">
        <f aca="true">IF(B17="Bull",IF(RAND()&lt;Assumptions!$B$7,"Bull","Bear"),IF(RAND()&lt;Assumptions!$B$10,"Bear","Bull"))</f>
        <v>Bull</v>
      </c>
      <c r="D17" s="0" t="str">
        <f aca="true">IF(C17="Bull",IF(RAND()&lt;Assumptions!$B$7,"Bull","Bear"),IF(RAND()&lt;Assumptions!$B$10,"Bear","Bull"))</f>
        <v>Bull</v>
      </c>
      <c r="E17" s="0" t="str">
        <f aca="true">IF(D17="Bull",IF(RAND()&lt;Assumptions!$B$7,"Bull","Bear"),IF(RAND()&lt;Assumptions!$B$10,"Bear","Bull"))</f>
        <v>Bear</v>
      </c>
      <c r="F17" s="0" t="str">
        <f aca="true">IF(E17="Bull",IF(RAND()&lt;Assumptions!$B$7,"Bull","Bear"),IF(RAND()&lt;Assumptions!$B$10,"Bear","Bull"))</f>
        <v>Bull</v>
      </c>
      <c r="G17" s="0" t="str">
        <f aca="true">IF(F17="Bull",IF(RAND()&lt;Assumptions!$B$7,"Bull","Bear"),IF(RAND()&lt;Assumptions!$B$10,"Bear","Bull"))</f>
        <v>Bull</v>
      </c>
      <c r="H17" s="8" t="n">
        <f aca="true">IF(B17="Bull",NORMINV(RAND(),Assumptions!$B$5,Assumptions!$B$6),NORMINV(RAND(),Assumptions!$B$8,Assumptions!$B$9))</f>
        <v>0.171353248622105</v>
      </c>
      <c r="I17" s="8" t="n">
        <f aca="true">IF(C17="Bull",NORMINV(RAND(),Assumptions!$B$5,Assumptions!$B$6),NORMINV(RAND(),Assumptions!$B$8,Assumptions!$B$9))</f>
        <v>-0.0285510189031718</v>
      </c>
      <c r="J17" s="8" t="n">
        <f aca="true">IF(D17="Bull",NORMINV(RAND(),Assumptions!$B$5,Assumptions!$B$6),NORMINV(RAND(),Assumptions!$B$8,Assumptions!$B$9))</f>
        <v>0.160255093557645</v>
      </c>
      <c r="K17" s="8" t="n">
        <f aca="true">IF(E17="Bull",NORMINV(RAND(),Assumptions!$B$5,Assumptions!$B$6),NORMINV(RAND(),Assumptions!$B$8,Assumptions!$B$9))</f>
        <v>-0.0669919992545702</v>
      </c>
      <c r="L17" s="8" t="n">
        <f aca="true">IF(F17="Bull",NORMINV(RAND(),Assumptions!$B$5,Assumptions!$B$6),NORMINV(RAND(),Assumptions!$B$8,Assumptions!$B$9))</f>
        <v>0.0119304570924044</v>
      </c>
      <c r="M17" s="8" t="n">
        <f aca="true">IF(G17="Bull",NORMINV(RAND(),Assumptions!$B$5,Assumptions!$B$6),NORMINV(RAND(),Assumptions!$B$8,Assumptions!$B$9))</f>
        <v>0.173525406303897</v>
      </c>
      <c r="N17" s="8" t="n">
        <f aca="true">NORMINV(RAND(),Assumptions!$B$14,Assumptions!$B$15)</f>
        <v>0.0745181455796008</v>
      </c>
      <c r="O17" s="8" t="n">
        <f aca="true">NORMINV(RAND(),Assumptions!$B$14,Assumptions!$B$15)</f>
        <v>0.0327933875909494</v>
      </c>
      <c r="P17" s="8" t="n">
        <f aca="true">NORMINV(RAND(),Assumptions!$B$14,Assumptions!$B$15)</f>
        <v>-0.011459280561991</v>
      </c>
      <c r="Q17" s="8" t="n">
        <f aca="true">NORMINV(RAND(),Assumptions!$B$14,Assumptions!$B$15)</f>
        <v>0.069812453102177</v>
      </c>
      <c r="R17" s="8" t="n">
        <f aca="true">NORMINV(RAND(),Assumptions!$B$14,Assumptions!$B$15)</f>
        <v>0.0830205075039984</v>
      </c>
      <c r="S17" s="8" t="n">
        <f aca="true">NORMINV(RAND(),Assumptions!$B$14,Assumptions!$B$15)</f>
        <v>0.0120220353804643</v>
      </c>
      <c r="T17" s="8" t="n">
        <f aca="false">Assumptions!$B$19*H17+(1-Assumptions!$B$19)*N17</f>
        <v>0.171353248622105</v>
      </c>
      <c r="U17" s="8" t="n">
        <f aca="false">Assumptions!$B$20*I17+(1-Assumptions!$B$20)*O17</f>
        <v>-0.0285510189031718</v>
      </c>
      <c r="V17" s="8" t="n">
        <f aca="false">Assumptions!$B$21*J17+(1-Assumptions!$B$21)*P17</f>
        <v>0.160255093557645</v>
      </c>
      <c r="W17" s="8" t="n">
        <f aca="false">Assumptions!$B$22*K17+(1-Assumptions!$B$22)*Q17</f>
        <v>-0.0669919992545702</v>
      </c>
      <c r="X17" s="8" t="n">
        <f aca="false">Assumptions!$B$23*L17+(1-Assumptions!$B$23)*R17</f>
        <v>0.0261484671747232</v>
      </c>
      <c r="Y17" s="8" t="n">
        <f aca="false">Assumptions!$B$24*M17+(1-Assumptions!$B$24)*S17</f>
        <v>0.108924057934524</v>
      </c>
      <c r="Z17" s="6" t="n">
        <f aca="false">Assumptions!$B$27*(1+T17)</f>
        <v>351405.974586632</v>
      </c>
      <c r="AA17" s="6" t="n">
        <f aca="false">(Z17+Assumptions!$B$28)*(1+U17)</f>
        <v>487090.323128045</v>
      </c>
      <c r="AB17" s="6" t="n">
        <f aca="false">AA17*(1+V17)</f>
        <v>565149.028431954</v>
      </c>
      <c r="AC17" s="6" t="n">
        <f aca="false">AB17*(1+W17)</f>
        <v>527288.565140519</v>
      </c>
      <c r="AD17" s="6" t="n">
        <f aca="false">AC17*(1+X17)</f>
        <v>541076.352877703</v>
      </c>
      <c r="AE17" s="6" t="n">
        <f aca="false">AD17*(1+Y17)</f>
        <v>600012.584885555</v>
      </c>
      <c r="AF17" s="6" t="n">
        <f aca="false">Z17</f>
        <v>351405.974586632</v>
      </c>
      <c r="AG17" s="6" t="n">
        <f aca="false">MAX(AF17,AA17)</f>
        <v>487090.323128045</v>
      </c>
      <c r="AH17" s="6" t="n">
        <f aca="false">MAX(AG17,AB17)</f>
        <v>565149.028431954</v>
      </c>
      <c r="AI17" s="6" t="n">
        <f aca="false">MAX(AH17,AC17)</f>
        <v>565149.028431954</v>
      </c>
      <c r="AJ17" s="6" t="n">
        <f aca="false">MAX(AI17,AD17)</f>
        <v>565149.028431954</v>
      </c>
      <c r="AK17" s="6" t="n">
        <f aca="false">MAX(AJ17,AE17)</f>
        <v>600012.584885555</v>
      </c>
      <c r="AL17" s="8" t="n">
        <f aca="false">MIN(Z17/AF17-1,AA17/AG17-1,AB17/AH17-1,AC17/AI17-1,AD17/AJ17-1,AE17/AK17-1)</f>
        <v>-0.0669919992545703</v>
      </c>
      <c r="AM17" s="6" t="n">
        <f aca="false">AE17-Assumptions!$B$35</f>
        <v>158748.588223051</v>
      </c>
    </row>
    <row r="18" customFormat="false" ht="15" hidden="false" customHeight="false" outlineLevel="0" collapsed="false">
      <c r="A18" s="0" t="n">
        <f aca="false">ROW()-1</f>
        <v>17</v>
      </c>
      <c r="B18" s="0" t="str">
        <f aca="true">IF(RAND()&lt;Assumptions!$B$11,"Bull","Bear")</f>
        <v>Bull</v>
      </c>
      <c r="C18" s="0" t="str">
        <f aca="true">IF(B18="Bull",IF(RAND()&lt;Assumptions!$B$7,"Bull","Bear"),IF(RAND()&lt;Assumptions!$B$10,"Bear","Bull"))</f>
        <v>Bull</v>
      </c>
      <c r="D18" s="0" t="str">
        <f aca="true">IF(C18="Bull",IF(RAND()&lt;Assumptions!$B$7,"Bull","Bear"),IF(RAND()&lt;Assumptions!$B$10,"Bear","Bull"))</f>
        <v>Bear</v>
      </c>
      <c r="E18" s="0" t="str">
        <f aca="true">IF(D18="Bull",IF(RAND()&lt;Assumptions!$B$7,"Bull","Bear"),IF(RAND()&lt;Assumptions!$B$10,"Bear","Bull"))</f>
        <v>Bear</v>
      </c>
      <c r="F18" s="0" t="str">
        <f aca="true">IF(E18="Bull",IF(RAND()&lt;Assumptions!$B$7,"Bull","Bear"),IF(RAND()&lt;Assumptions!$B$10,"Bear","Bull"))</f>
        <v>Bear</v>
      </c>
      <c r="G18" s="0" t="str">
        <f aca="true">IF(F18="Bull",IF(RAND()&lt;Assumptions!$B$7,"Bull","Bear"),IF(RAND()&lt;Assumptions!$B$10,"Bear","Bull"))</f>
        <v>Bear</v>
      </c>
      <c r="H18" s="8" t="n">
        <f aca="true">IF(B18="Bull",NORMINV(RAND(),Assumptions!$B$5,Assumptions!$B$6),NORMINV(RAND(),Assumptions!$B$8,Assumptions!$B$9))</f>
        <v>0.0565261691306669</v>
      </c>
      <c r="I18" s="8" t="n">
        <f aca="true">IF(C18="Bull",NORMINV(RAND(),Assumptions!$B$5,Assumptions!$B$6),NORMINV(RAND(),Assumptions!$B$8,Assumptions!$B$9))</f>
        <v>0.0646322819208658</v>
      </c>
      <c r="J18" s="8" t="n">
        <f aca="true">IF(D18="Bull",NORMINV(RAND(),Assumptions!$B$5,Assumptions!$B$6),NORMINV(RAND(),Assumptions!$B$8,Assumptions!$B$9))</f>
        <v>0.196178112686251</v>
      </c>
      <c r="K18" s="8" t="n">
        <f aca="true">IF(E18="Bull",NORMINV(RAND(),Assumptions!$B$5,Assumptions!$B$6),NORMINV(RAND(),Assumptions!$B$8,Assumptions!$B$9))</f>
        <v>0.0532912020373739</v>
      </c>
      <c r="L18" s="8" t="n">
        <f aca="true">IF(F18="Bull",NORMINV(RAND(),Assumptions!$B$5,Assumptions!$B$6),NORMINV(RAND(),Assumptions!$B$8,Assumptions!$B$9))</f>
        <v>-0.225709441623631</v>
      </c>
      <c r="M18" s="8" t="n">
        <f aca="true">IF(G18="Bull",NORMINV(RAND(),Assumptions!$B$5,Assumptions!$B$6),NORMINV(RAND(),Assumptions!$B$8,Assumptions!$B$9))</f>
        <v>-0.355463731013106</v>
      </c>
      <c r="N18" s="8" t="n">
        <f aca="true">NORMINV(RAND(),Assumptions!$B$14,Assumptions!$B$15)</f>
        <v>0.0159938593439275</v>
      </c>
      <c r="O18" s="8" t="n">
        <f aca="true">NORMINV(RAND(),Assumptions!$B$14,Assumptions!$B$15)</f>
        <v>0.104593913761695</v>
      </c>
      <c r="P18" s="8" t="n">
        <f aca="true">NORMINV(RAND(),Assumptions!$B$14,Assumptions!$B$15)</f>
        <v>0.0795378673679585</v>
      </c>
      <c r="Q18" s="8" t="n">
        <f aca="true">NORMINV(RAND(),Assumptions!$B$14,Assumptions!$B$15)</f>
        <v>0.0667141635218631</v>
      </c>
      <c r="R18" s="8" t="n">
        <f aca="true">NORMINV(RAND(),Assumptions!$B$14,Assumptions!$B$15)</f>
        <v>0.0468147370629718</v>
      </c>
      <c r="S18" s="8" t="n">
        <f aca="true">NORMINV(RAND(),Assumptions!$B$14,Assumptions!$B$15)</f>
        <v>0.0568000262753456</v>
      </c>
      <c r="T18" s="8" t="n">
        <f aca="false">Assumptions!$B$19*H18+(1-Assumptions!$B$19)*N18</f>
        <v>0.0565261691306669</v>
      </c>
      <c r="U18" s="8" t="n">
        <f aca="false">Assumptions!$B$20*I18+(1-Assumptions!$B$20)*O18</f>
        <v>0.0646322819208658</v>
      </c>
      <c r="V18" s="8" t="n">
        <f aca="false">Assumptions!$B$21*J18+(1-Assumptions!$B$21)*P18</f>
        <v>0.196178112686251</v>
      </c>
      <c r="W18" s="8" t="n">
        <f aca="false">Assumptions!$B$22*K18+(1-Assumptions!$B$22)*Q18</f>
        <v>0.0532912020373739</v>
      </c>
      <c r="X18" s="8" t="n">
        <f aca="false">Assumptions!$B$23*L18+(1-Assumptions!$B$23)*R18</f>
        <v>-0.17120460588631</v>
      </c>
      <c r="Y18" s="8" t="n">
        <f aca="false">Assumptions!$B$24*M18+(1-Assumptions!$B$24)*S18</f>
        <v>-0.190558228097725</v>
      </c>
      <c r="Z18" s="6" t="n">
        <f aca="false">Assumptions!$B$27*(1+T18)</f>
        <v>316957.8507392</v>
      </c>
      <c r="AA18" s="6" t="n">
        <f aca="false">(Z18+Assumptions!$B$28)*(1+U18)</f>
        <v>497138.402193338</v>
      </c>
      <c r="AB18" s="6" t="n">
        <f aca="false">AA18*(1+V18)</f>
        <v>594666.075679485</v>
      </c>
      <c r="AC18" s="6" t="n">
        <f aca="false">AB18*(1+W18)</f>
        <v>626356.545663293</v>
      </c>
      <c r="AD18" s="6" t="n">
        <f aca="false">AC18*(1+X18)</f>
        <v>519121.420118698</v>
      </c>
      <c r="AE18" s="6" t="n">
        <f aca="false">AD18*(1+Y18)</f>
        <v>420198.562133304</v>
      </c>
      <c r="AF18" s="6" t="n">
        <f aca="false">Z18</f>
        <v>316957.8507392</v>
      </c>
      <c r="AG18" s="6" t="n">
        <f aca="false">MAX(AF18,AA18)</f>
        <v>497138.402193338</v>
      </c>
      <c r="AH18" s="6" t="n">
        <f aca="false">MAX(AG18,AB18)</f>
        <v>594666.075679485</v>
      </c>
      <c r="AI18" s="6" t="n">
        <f aca="false">MAX(AH18,AC18)</f>
        <v>626356.545663293</v>
      </c>
      <c r="AJ18" s="6" t="n">
        <f aca="false">MAX(AI18,AD18)</f>
        <v>626356.545663293</v>
      </c>
      <c r="AK18" s="6" t="n">
        <f aca="false">MAX(AJ18,AE18)</f>
        <v>626356.545663293</v>
      </c>
      <c r="AL18" s="8" t="n">
        <f aca="false">MIN(Z18/AF18-1,AA18/AG18-1,AB18/AH18-1,AC18/AI18-1,AD18/AJ18-1,AE18/AK18-1)</f>
        <v>-0.329138387644171</v>
      </c>
      <c r="AM18" s="6" t="n">
        <f aca="false">AE18-Assumptions!$B$35</f>
        <v>-21065.4345291994</v>
      </c>
    </row>
    <row r="19" customFormat="false" ht="15" hidden="false" customHeight="false" outlineLevel="0" collapsed="false">
      <c r="A19" s="0" t="n">
        <f aca="false">ROW()-1</f>
        <v>18</v>
      </c>
      <c r="B19" s="0" t="str">
        <f aca="true">IF(RAND()&lt;Assumptions!$B$11,"Bull","Bear")</f>
        <v>Bull</v>
      </c>
      <c r="C19" s="0" t="str">
        <f aca="true">IF(B19="Bull",IF(RAND()&lt;Assumptions!$B$7,"Bull","Bear"),IF(RAND()&lt;Assumptions!$B$10,"Bear","Bull"))</f>
        <v>Bull</v>
      </c>
      <c r="D19" s="0" t="str">
        <f aca="true">IF(C19="Bull",IF(RAND()&lt;Assumptions!$B$7,"Bull","Bear"),IF(RAND()&lt;Assumptions!$B$10,"Bear","Bull"))</f>
        <v>Bull</v>
      </c>
      <c r="E19" s="0" t="str">
        <f aca="true">IF(D19="Bull",IF(RAND()&lt;Assumptions!$B$7,"Bull","Bear"),IF(RAND()&lt;Assumptions!$B$10,"Bear","Bull"))</f>
        <v>Bull</v>
      </c>
      <c r="F19" s="0" t="str">
        <f aca="true">IF(E19="Bull",IF(RAND()&lt;Assumptions!$B$7,"Bull","Bear"),IF(RAND()&lt;Assumptions!$B$10,"Bear","Bull"))</f>
        <v>Bull</v>
      </c>
      <c r="G19" s="0" t="str">
        <f aca="true">IF(F19="Bull",IF(RAND()&lt;Assumptions!$B$7,"Bull","Bear"),IF(RAND()&lt;Assumptions!$B$10,"Bear","Bull"))</f>
        <v>Bull</v>
      </c>
      <c r="H19" s="8" t="n">
        <f aca="true">IF(B19="Bull",NORMINV(RAND(),Assumptions!$B$5,Assumptions!$B$6),NORMINV(RAND(),Assumptions!$B$8,Assumptions!$B$9))</f>
        <v>0.166414525365993</v>
      </c>
      <c r="I19" s="8" t="n">
        <f aca="true">IF(C19="Bull",NORMINV(RAND(),Assumptions!$B$5,Assumptions!$B$6),NORMINV(RAND(),Assumptions!$B$8,Assumptions!$B$9))</f>
        <v>0.162826355267582</v>
      </c>
      <c r="J19" s="8" t="n">
        <f aca="true">IF(D19="Bull",NORMINV(RAND(),Assumptions!$B$5,Assumptions!$B$6),NORMINV(RAND(),Assumptions!$B$8,Assumptions!$B$9))</f>
        <v>-0.0691198269046064</v>
      </c>
      <c r="K19" s="8" t="n">
        <f aca="true">IF(E19="Bull",NORMINV(RAND(),Assumptions!$B$5,Assumptions!$B$6),NORMINV(RAND(),Assumptions!$B$8,Assumptions!$B$9))</f>
        <v>0.194521859350385</v>
      </c>
      <c r="L19" s="8" t="n">
        <f aca="true">IF(F19="Bull",NORMINV(RAND(),Assumptions!$B$5,Assumptions!$B$6),NORMINV(RAND(),Assumptions!$B$8,Assumptions!$B$9))</f>
        <v>0.086262397582691</v>
      </c>
      <c r="M19" s="8" t="n">
        <f aca="true">IF(G19="Bull",NORMINV(RAND(),Assumptions!$B$5,Assumptions!$B$6),NORMINV(RAND(),Assumptions!$B$8,Assumptions!$B$9))</f>
        <v>0.221306491459962</v>
      </c>
      <c r="N19" s="8" t="n">
        <f aca="true">NORMINV(RAND(),Assumptions!$B$14,Assumptions!$B$15)</f>
        <v>0.00465576119495142</v>
      </c>
      <c r="O19" s="8" t="n">
        <f aca="true">NORMINV(RAND(),Assumptions!$B$14,Assumptions!$B$15)</f>
        <v>0.0196348995660634</v>
      </c>
      <c r="P19" s="8" t="n">
        <f aca="true">NORMINV(RAND(),Assumptions!$B$14,Assumptions!$B$15)</f>
        <v>0.0248638448731889</v>
      </c>
      <c r="Q19" s="8" t="n">
        <f aca="true">NORMINV(RAND(),Assumptions!$B$14,Assumptions!$B$15)</f>
        <v>0.0444002299241172</v>
      </c>
      <c r="R19" s="8" t="n">
        <f aca="true">NORMINV(RAND(),Assumptions!$B$14,Assumptions!$B$15)</f>
        <v>0.114596059136657</v>
      </c>
      <c r="S19" s="8" t="n">
        <f aca="true">NORMINV(RAND(),Assumptions!$B$14,Assumptions!$B$15)</f>
        <v>0.0272176727723697</v>
      </c>
      <c r="T19" s="8" t="n">
        <f aca="false">Assumptions!$B$19*H19+(1-Assumptions!$B$19)*N19</f>
        <v>0.166414525365993</v>
      </c>
      <c r="U19" s="8" t="n">
        <f aca="false">Assumptions!$B$20*I19+(1-Assumptions!$B$20)*O19</f>
        <v>0.162826355267582</v>
      </c>
      <c r="V19" s="8" t="n">
        <f aca="false">Assumptions!$B$21*J19+(1-Assumptions!$B$21)*P19</f>
        <v>-0.0691198269046064</v>
      </c>
      <c r="W19" s="8" t="n">
        <f aca="false">Assumptions!$B$22*K19+(1-Assumptions!$B$22)*Q19</f>
        <v>0.194521859350385</v>
      </c>
      <c r="X19" s="8" t="n">
        <f aca="false">Assumptions!$B$23*L19+(1-Assumptions!$B$23)*R19</f>
        <v>0.0919291298934842</v>
      </c>
      <c r="Y19" s="8" t="n">
        <f aca="false">Assumptions!$B$24*M19+(1-Assumptions!$B$24)*S19</f>
        <v>0.143670963984925</v>
      </c>
      <c r="Z19" s="6" t="n">
        <f aca="false">Assumptions!$B$27*(1+T19)</f>
        <v>349924.357609798</v>
      </c>
      <c r="AA19" s="6" t="n">
        <f aca="false">(Z19+Assumptions!$B$28)*(1+U19)</f>
        <v>581325.218668888</v>
      </c>
      <c r="AB19" s="6" t="n">
        <f aca="false">AA19*(1+V19)</f>
        <v>541144.120179212</v>
      </c>
      <c r="AC19" s="6" t="n">
        <f aca="false">AB19*(1+W19)</f>
        <v>646408.480613001</v>
      </c>
      <c r="AD19" s="6" t="n">
        <f aca="false">AC19*(1+X19)</f>
        <v>705832.249791523</v>
      </c>
      <c r="AE19" s="6" t="n">
        <f aca="false">AD19*(1+Y19)</f>
        <v>807239.84953072</v>
      </c>
      <c r="AF19" s="6" t="n">
        <f aca="false">Z19</f>
        <v>349924.357609798</v>
      </c>
      <c r="AG19" s="6" t="n">
        <f aca="false">MAX(AF19,AA19)</f>
        <v>581325.218668888</v>
      </c>
      <c r="AH19" s="6" t="n">
        <f aca="false">MAX(AG19,AB19)</f>
        <v>581325.218668888</v>
      </c>
      <c r="AI19" s="6" t="n">
        <f aca="false">MAX(AH19,AC19)</f>
        <v>646408.480613001</v>
      </c>
      <c r="AJ19" s="6" t="n">
        <f aca="false">MAX(AI19,AD19)</f>
        <v>705832.249791523</v>
      </c>
      <c r="AK19" s="6" t="n">
        <f aca="false">MAX(AJ19,AE19)</f>
        <v>807239.84953072</v>
      </c>
      <c r="AL19" s="8" t="n">
        <f aca="false">MIN(Z19/AF19-1,AA19/AG19-1,AB19/AH19-1,AC19/AI19-1,AD19/AJ19-1,AE19/AK19-1)</f>
        <v>-0.0691198269046064</v>
      </c>
      <c r="AM19" s="6" t="n">
        <f aca="false">AE19-Assumptions!$B$35</f>
        <v>365975.852868216</v>
      </c>
    </row>
    <row r="20" customFormat="false" ht="15" hidden="false" customHeight="false" outlineLevel="0" collapsed="false">
      <c r="A20" s="0" t="n">
        <f aca="false">ROW()-1</f>
        <v>19</v>
      </c>
      <c r="B20" s="0" t="str">
        <f aca="true">IF(RAND()&lt;Assumptions!$B$11,"Bull","Bear")</f>
        <v>Bear</v>
      </c>
      <c r="C20" s="0" t="str">
        <f aca="true">IF(B20="Bull",IF(RAND()&lt;Assumptions!$B$7,"Bull","Bear"),IF(RAND()&lt;Assumptions!$B$10,"Bear","Bull"))</f>
        <v>Bear</v>
      </c>
      <c r="D20" s="0" t="str">
        <f aca="true">IF(C20="Bull",IF(RAND()&lt;Assumptions!$B$7,"Bull","Bear"),IF(RAND()&lt;Assumptions!$B$10,"Bear","Bull"))</f>
        <v>Bear</v>
      </c>
      <c r="E20" s="0" t="str">
        <f aca="true">IF(D20="Bull",IF(RAND()&lt;Assumptions!$B$7,"Bull","Bear"),IF(RAND()&lt;Assumptions!$B$10,"Bear","Bull"))</f>
        <v>Bull</v>
      </c>
      <c r="F20" s="0" t="str">
        <f aca="true">IF(E20="Bull",IF(RAND()&lt;Assumptions!$B$7,"Bull","Bear"),IF(RAND()&lt;Assumptions!$B$10,"Bear","Bull"))</f>
        <v>Bull</v>
      </c>
      <c r="G20" s="0" t="str">
        <f aca="true">IF(F20="Bull",IF(RAND()&lt;Assumptions!$B$7,"Bull","Bear"),IF(RAND()&lt;Assumptions!$B$10,"Bear","Bull"))</f>
        <v>Bear</v>
      </c>
      <c r="H20" s="8" t="n">
        <f aca="true">IF(B20="Bull",NORMINV(RAND(),Assumptions!$B$5,Assumptions!$B$6),NORMINV(RAND(),Assumptions!$B$8,Assumptions!$B$9))</f>
        <v>0.188140399812263</v>
      </c>
      <c r="I20" s="8" t="n">
        <f aca="true">IF(C20="Bull",NORMINV(RAND(),Assumptions!$B$5,Assumptions!$B$6),NORMINV(RAND(),Assumptions!$B$8,Assumptions!$B$9))</f>
        <v>-0.129022593903635</v>
      </c>
      <c r="J20" s="8" t="n">
        <f aca="true">IF(D20="Bull",NORMINV(RAND(),Assumptions!$B$5,Assumptions!$B$6),NORMINV(RAND(),Assumptions!$B$8,Assumptions!$B$9))</f>
        <v>-0.414135871596579</v>
      </c>
      <c r="K20" s="8" t="n">
        <f aca="true">IF(E20="Bull",NORMINV(RAND(),Assumptions!$B$5,Assumptions!$B$6),NORMINV(RAND(),Assumptions!$B$8,Assumptions!$B$9))</f>
        <v>0.290268178562611</v>
      </c>
      <c r="L20" s="8" t="n">
        <f aca="true">IF(F20="Bull",NORMINV(RAND(),Assumptions!$B$5,Assumptions!$B$6),NORMINV(RAND(),Assumptions!$B$8,Assumptions!$B$9))</f>
        <v>0.154693207376459</v>
      </c>
      <c r="M20" s="8" t="n">
        <f aca="true">IF(G20="Bull",NORMINV(RAND(),Assumptions!$B$5,Assumptions!$B$6),NORMINV(RAND(),Assumptions!$B$8,Assumptions!$B$9))</f>
        <v>-0.321470614978418</v>
      </c>
      <c r="N20" s="8" t="n">
        <f aca="true">NORMINV(RAND(),Assumptions!$B$14,Assumptions!$B$15)</f>
        <v>0.0817396550264117</v>
      </c>
      <c r="O20" s="8" t="n">
        <f aca="true">NORMINV(RAND(),Assumptions!$B$14,Assumptions!$B$15)</f>
        <v>0.08867383776945</v>
      </c>
      <c r="P20" s="8" t="n">
        <f aca="true">NORMINV(RAND(),Assumptions!$B$14,Assumptions!$B$15)</f>
        <v>0.0788425235652148</v>
      </c>
      <c r="Q20" s="8" t="n">
        <f aca="true">NORMINV(RAND(),Assumptions!$B$14,Assumptions!$B$15)</f>
        <v>0.0629384603407754</v>
      </c>
      <c r="R20" s="8" t="n">
        <f aca="true">NORMINV(RAND(),Assumptions!$B$14,Assumptions!$B$15)</f>
        <v>0.0303402867752303</v>
      </c>
      <c r="S20" s="8" t="n">
        <f aca="true">NORMINV(RAND(),Assumptions!$B$14,Assumptions!$B$15)</f>
        <v>0.0321504533488643</v>
      </c>
      <c r="T20" s="8" t="n">
        <f aca="false">Assumptions!$B$19*H20+(1-Assumptions!$B$19)*N20</f>
        <v>0.188140399812263</v>
      </c>
      <c r="U20" s="8" t="n">
        <f aca="false">Assumptions!$B$20*I20+(1-Assumptions!$B$20)*O20</f>
        <v>-0.129022593903635</v>
      </c>
      <c r="V20" s="8" t="n">
        <f aca="false">Assumptions!$B$21*J20+(1-Assumptions!$B$21)*P20</f>
        <v>-0.414135871596579</v>
      </c>
      <c r="W20" s="8" t="n">
        <f aca="false">Assumptions!$B$22*K20+(1-Assumptions!$B$22)*Q20</f>
        <v>0.290268178562611</v>
      </c>
      <c r="X20" s="8" t="n">
        <f aca="false">Assumptions!$B$23*L20+(1-Assumptions!$B$23)*R20</f>
        <v>0.129822623256214</v>
      </c>
      <c r="Y20" s="8" t="n">
        <f aca="false">Assumptions!$B$24*M20+(1-Assumptions!$B$24)*S20</f>
        <v>-0.180022187647505</v>
      </c>
      <c r="Z20" s="6" t="n">
        <f aca="false">Assumptions!$B$27*(1+T20)</f>
        <v>356442.119943679</v>
      </c>
      <c r="AA20" s="6" t="n">
        <f aca="false">(Z20+Assumptions!$B$28)*(1+U20)</f>
        <v>441099.64396649</v>
      </c>
      <c r="AB20" s="6" t="n">
        <f aca="false">AA20*(1+V20)</f>
        <v>258424.458451487</v>
      </c>
      <c r="AC20" s="6" t="n">
        <f aca="false">AB20*(1+W20)</f>
        <v>333436.855302229</v>
      </c>
      <c r="AD20" s="6" t="n">
        <f aca="false">AC20*(1+X20)</f>
        <v>376724.502547867</v>
      </c>
      <c r="AE20" s="6" t="n">
        <f aca="false">AD20*(1+Y20)</f>
        <v>308905.733458782</v>
      </c>
      <c r="AF20" s="6" t="n">
        <f aca="false">Z20</f>
        <v>356442.119943679</v>
      </c>
      <c r="AG20" s="6" t="n">
        <f aca="false">MAX(AF20,AA20)</f>
        <v>441099.64396649</v>
      </c>
      <c r="AH20" s="6" t="n">
        <f aca="false">MAX(AG20,AB20)</f>
        <v>441099.64396649</v>
      </c>
      <c r="AI20" s="6" t="n">
        <f aca="false">MAX(AH20,AC20)</f>
        <v>441099.64396649</v>
      </c>
      <c r="AJ20" s="6" t="n">
        <f aca="false">MAX(AI20,AD20)</f>
        <v>441099.64396649</v>
      </c>
      <c r="AK20" s="6" t="n">
        <f aca="false">MAX(AJ20,AE20)</f>
        <v>441099.64396649</v>
      </c>
      <c r="AL20" s="8" t="n">
        <f aca="false">MIN(Z20/AF20-1,AA20/AG20-1,AB20/AH20-1,AC20/AI20-1,AD20/AJ20-1,AE20/AK20-1)</f>
        <v>-0.414135871596579</v>
      </c>
      <c r="AM20" s="6" t="n">
        <f aca="false">AE20-Assumptions!$B$35</f>
        <v>-132358.263203722</v>
      </c>
    </row>
    <row r="21" customFormat="false" ht="15" hidden="false" customHeight="false" outlineLevel="0" collapsed="false">
      <c r="A21" s="0" t="n">
        <f aca="false">ROW()-1</f>
        <v>20</v>
      </c>
      <c r="B21" s="0" t="str">
        <f aca="true">IF(RAND()&lt;Assumptions!$B$11,"Bull","Bear")</f>
        <v>Bear</v>
      </c>
      <c r="C21" s="0" t="str">
        <f aca="true">IF(B21="Bull",IF(RAND()&lt;Assumptions!$B$7,"Bull","Bear"),IF(RAND()&lt;Assumptions!$B$10,"Bear","Bull"))</f>
        <v>Bear</v>
      </c>
      <c r="D21" s="0" t="str">
        <f aca="true">IF(C21="Bull",IF(RAND()&lt;Assumptions!$B$7,"Bull","Bear"),IF(RAND()&lt;Assumptions!$B$10,"Bear","Bull"))</f>
        <v>Bull</v>
      </c>
      <c r="E21" s="0" t="str">
        <f aca="true">IF(D21="Bull",IF(RAND()&lt;Assumptions!$B$7,"Bull","Bear"),IF(RAND()&lt;Assumptions!$B$10,"Bear","Bull"))</f>
        <v>Bull</v>
      </c>
      <c r="F21" s="0" t="str">
        <f aca="true">IF(E21="Bull",IF(RAND()&lt;Assumptions!$B$7,"Bull","Bear"),IF(RAND()&lt;Assumptions!$B$10,"Bear","Bull"))</f>
        <v>Bull</v>
      </c>
      <c r="G21" s="0" t="str">
        <f aca="true">IF(F21="Bull",IF(RAND()&lt;Assumptions!$B$7,"Bull","Bear"),IF(RAND()&lt;Assumptions!$B$10,"Bear","Bull"))</f>
        <v>Bull</v>
      </c>
      <c r="H21" s="8" t="n">
        <f aca="true">IF(B21="Bull",NORMINV(RAND(),Assumptions!$B$5,Assumptions!$B$6),NORMINV(RAND(),Assumptions!$B$8,Assumptions!$B$9))</f>
        <v>0.190775825836758</v>
      </c>
      <c r="I21" s="8" t="n">
        <f aca="true">IF(C21="Bull",NORMINV(RAND(),Assumptions!$B$5,Assumptions!$B$6),NORMINV(RAND(),Assumptions!$B$8,Assumptions!$B$9))</f>
        <v>-0.0115251663115226</v>
      </c>
      <c r="J21" s="8" t="n">
        <f aca="true">IF(D21="Bull",NORMINV(RAND(),Assumptions!$B$5,Assumptions!$B$6),NORMINV(RAND(),Assumptions!$B$8,Assumptions!$B$9))</f>
        <v>0.268953141486799</v>
      </c>
      <c r="K21" s="8" t="n">
        <f aca="true">IF(E21="Bull",NORMINV(RAND(),Assumptions!$B$5,Assumptions!$B$6),NORMINV(RAND(),Assumptions!$B$8,Assumptions!$B$9))</f>
        <v>0.239755965079833</v>
      </c>
      <c r="L21" s="8" t="n">
        <f aca="true">IF(F21="Bull",NORMINV(RAND(),Assumptions!$B$5,Assumptions!$B$6),NORMINV(RAND(),Assumptions!$B$8,Assumptions!$B$9))</f>
        <v>0.00938001432886956</v>
      </c>
      <c r="M21" s="8" t="n">
        <f aca="true">IF(G21="Bull",NORMINV(RAND(),Assumptions!$B$5,Assumptions!$B$6),NORMINV(RAND(),Assumptions!$B$8,Assumptions!$B$9))</f>
        <v>0.0629398964229737</v>
      </c>
      <c r="N21" s="8" t="n">
        <f aca="true">NORMINV(RAND(),Assumptions!$B$14,Assumptions!$B$15)</f>
        <v>0.0672821475703156</v>
      </c>
      <c r="O21" s="8" t="n">
        <f aca="true">NORMINV(RAND(),Assumptions!$B$14,Assumptions!$B$15)</f>
        <v>0.0471967341082769</v>
      </c>
      <c r="P21" s="8" t="n">
        <f aca="true">NORMINV(RAND(),Assumptions!$B$14,Assumptions!$B$15)</f>
        <v>0.0594375721397659</v>
      </c>
      <c r="Q21" s="8" t="n">
        <f aca="true">NORMINV(RAND(),Assumptions!$B$14,Assumptions!$B$15)</f>
        <v>0.0656404141032924</v>
      </c>
      <c r="R21" s="8" t="n">
        <f aca="true">NORMINV(RAND(),Assumptions!$B$14,Assumptions!$B$15)</f>
        <v>0.00828622462909328</v>
      </c>
      <c r="S21" s="8" t="n">
        <f aca="true">NORMINV(RAND(),Assumptions!$B$14,Assumptions!$B$15)</f>
        <v>0.0641719904187033</v>
      </c>
      <c r="T21" s="8" t="n">
        <f aca="false">Assumptions!$B$19*H21+(1-Assumptions!$B$19)*N21</f>
        <v>0.190775825836758</v>
      </c>
      <c r="U21" s="8" t="n">
        <f aca="false">Assumptions!$B$20*I21+(1-Assumptions!$B$20)*O21</f>
        <v>-0.0115251663115226</v>
      </c>
      <c r="V21" s="8" t="n">
        <f aca="false">Assumptions!$B$21*J21+(1-Assumptions!$B$21)*P21</f>
        <v>0.268953141486799</v>
      </c>
      <c r="W21" s="8" t="n">
        <f aca="false">Assumptions!$B$22*K21+(1-Assumptions!$B$22)*Q21</f>
        <v>0.239755965079833</v>
      </c>
      <c r="X21" s="8" t="n">
        <f aca="false">Assumptions!$B$23*L21+(1-Assumptions!$B$23)*R21</f>
        <v>0.00916125638891431</v>
      </c>
      <c r="Y21" s="8" t="n">
        <f aca="false">Assumptions!$B$24*M21+(1-Assumptions!$B$24)*S21</f>
        <v>0.0634327340212656</v>
      </c>
      <c r="Z21" s="6" t="n">
        <f aca="false">Assumptions!$B$27*(1+T21)</f>
        <v>357232.747751027</v>
      </c>
      <c r="AA21" s="6" t="n">
        <f aca="false">(Z21+Assumptions!$B$28)*(1+U21)</f>
        <v>501386.805974546</v>
      </c>
      <c r="AB21" s="6" t="n">
        <f aca="false">AA21*(1+V21)</f>
        <v>636236.362541432</v>
      </c>
      <c r="AC21" s="6" t="n">
        <f aca="false">AB21*(1+W21)</f>
        <v>788777.825661436</v>
      </c>
      <c r="AD21" s="6" t="n">
        <f aca="false">AC21*(1+X21)</f>
        <v>796004.021556211</v>
      </c>
      <c r="AE21" s="6" t="n">
        <f aca="false">AD21*(1+Y21)</f>
        <v>846496.732935444</v>
      </c>
      <c r="AF21" s="6" t="n">
        <f aca="false">Z21</f>
        <v>357232.747751027</v>
      </c>
      <c r="AG21" s="6" t="n">
        <f aca="false">MAX(AF21,AA21)</f>
        <v>501386.805974546</v>
      </c>
      <c r="AH21" s="6" t="n">
        <f aca="false">MAX(AG21,AB21)</f>
        <v>636236.362541432</v>
      </c>
      <c r="AI21" s="6" t="n">
        <f aca="false">MAX(AH21,AC21)</f>
        <v>788777.825661436</v>
      </c>
      <c r="AJ21" s="6" t="n">
        <f aca="false">MAX(AI21,AD21)</f>
        <v>796004.021556211</v>
      </c>
      <c r="AK21" s="6" t="n">
        <f aca="false">MAX(AJ21,AE21)</f>
        <v>846496.732935444</v>
      </c>
      <c r="AL21" s="8" t="n">
        <f aca="false">MIN(Z21/AF21-1,AA21/AG21-1,AB21/AH21-1,AC21/AI21-1,AD21/AJ21-1,AE21/AK21-1)</f>
        <v>0</v>
      </c>
      <c r="AM21" s="6" t="n">
        <f aca="false">AE21-Assumptions!$B$35</f>
        <v>405232.73627294</v>
      </c>
    </row>
    <row r="22" customFormat="false" ht="15" hidden="false" customHeight="false" outlineLevel="0" collapsed="false">
      <c r="A22" s="0" t="n">
        <f aca="false">ROW()-1</f>
        <v>21</v>
      </c>
      <c r="B22" s="0" t="str">
        <f aca="true">IF(RAND()&lt;Assumptions!$B$11,"Bull","Bear")</f>
        <v>Bull</v>
      </c>
      <c r="C22" s="0" t="str">
        <f aca="true">IF(B22="Bull",IF(RAND()&lt;Assumptions!$B$7,"Bull","Bear"),IF(RAND()&lt;Assumptions!$B$10,"Bear","Bull"))</f>
        <v>Bull</v>
      </c>
      <c r="D22" s="0" t="str">
        <f aca="true">IF(C22="Bull",IF(RAND()&lt;Assumptions!$B$7,"Bull","Bear"),IF(RAND()&lt;Assumptions!$B$10,"Bear","Bull"))</f>
        <v>Bull</v>
      </c>
      <c r="E22" s="0" t="str">
        <f aca="true">IF(D22="Bull",IF(RAND()&lt;Assumptions!$B$7,"Bull","Bear"),IF(RAND()&lt;Assumptions!$B$10,"Bear","Bull"))</f>
        <v>Bull</v>
      </c>
      <c r="F22" s="0" t="str">
        <f aca="true">IF(E22="Bull",IF(RAND()&lt;Assumptions!$B$7,"Bull","Bear"),IF(RAND()&lt;Assumptions!$B$10,"Bear","Bull"))</f>
        <v>Bull</v>
      </c>
      <c r="G22" s="0" t="str">
        <f aca="true">IF(F22="Bull",IF(RAND()&lt;Assumptions!$B$7,"Bull","Bear"),IF(RAND()&lt;Assumptions!$B$10,"Bear","Bull"))</f>
        <v>Bull</v>
      </c>
      <c r="H22" s="8" t="n">
        <f aca="true">IF(B22="Bull",NORMINV(RAND(),Assumptions!$B$5,Assumptions!$B$6),NORMINV(RAND(),Assumptions!$B$8,Assumptions!$B$9))</f>
        <v>0.232359819648998</v>
      </c>
      <c r="I22" s="8" t="n">
        <f aca="true">IF(C22="Bull",NORMINV(RAND(),Assumptions!$B$5,Assumptions!$B$6),NORMINV(RAND(),Assumptions!$B$8,Assumptions!$B$9))</f>
        <v>0.128335696073717</v>
      </c>
      <c r="J22" s="8" t="n">
        <f aca="true">IF(D22="Bull",NORMINV(RAND(),Assumptions!$B$5,Assumptions!$B$6),NORMINV(RAND(),Assumptions!$B$8,Assumptions!$B$9))</f>
        <v>0.165449477061916</v>
      </c>
      <c r="K22" s="8" t="n">
        <f aca="true">IF(E22="Bull",NORMINV(RAND(),Assumptions!$B$5,Assumptions!$B$6),NORMINV(RAND(),Assumptions!$B$8,Assumptions!$B$9))</f>
        <v>0.20602220628519</v>
      </c>
      <c r="L22" s="8" t="n">
        <f aca="true">IF(F22="Bull",NORMINV(RAND(),Assumptions!$B$5,Assumptions!$B$6),NORMINV(RAND(),Assumptions!$B$8,Assumptions!$B$9))</f>
        <v>0.15242648233041</v>
      </c>
      <c r="M22" s="8" t="n">
        <f aca="true">IF(G22="Bull",NORMINV(RAND(),Assumptions!$B$5,Assumptions!$B$6),NORMINV(RAND(),Assumptions!$B$8,Assumptions!$B$9))</f>
        <v>0.114589929809992</v>
      </c>
      <c r="N22" s="8" t="n">
        <f aca="true">NORMINV(RAND(),Assumptions!$B$14,Assumptions!$B$15)</f>
        <v>0.0592877919079185</v>
      </c>
      <c r="O22" s="8" t="n">
        <f aca="true">NORMINV(RAND(),Assumptions!$B$14,Assumptions!$B$15)</f>
        <v>0.0434234430629327</v>
      </c>
      <c r="P22" s="8" t="n">
        <f aca="true">NORMINV(RAND(),Assumptions!$B$14,Assumptions!$B$15)</f>
        <v>0.00568112573028218</v>
      </c>
      <c r="Q22" s="8" t="n">
        <f aca="true">NORMINV(RAND(),Assumptions!$B$14,Assumptions!$B$15)</f>
        <v>0.0748819663670158</v>
      </c>
      <c r="R22" s="8" t="n">
        <f aca="true">NORMINV(RAND(),Assumptions!$B$14,Assumptions!$B$15)</f>
        <v>0.0328657523472094</v>
      </c>
      <c r="S22" s="8" t="n">
        <f aca="true">NORMINV(RAND(),Assumptions!$B$14,Assumptions!$B$15)</f>
        <v>0.00813884027940972</v>
      </c>
      <c r="T22" s="8" t="n">
        <f aca="false">Assumptions!$B$19*H22+(1-Assumptions!$B$19)*N22</f>
        <v>0.232359819648998</v>
      </c>
      <c r="U22" s="8" t="n">
        <f aca="false">Assumptions!$B$20*I22+(1-Assumptions!$B$20)*O22</f>
        <v>0.128335696073717</v>
      </c>
      <c r="V22" s="8" t="n">
        <f aca="false">Assumptions!$B$21*J22+(1-Assumptions!$B$21)*P22</f>
        <v>0.165449477061916</v>
      </c>
      <c r="W22" s="8" t="n">
        <f aca="false">Assumptions!$B$22*K22+(1-Assumptions!$B$22)*Q22</f>
        <v>0.20602220628519</v>
      </c>
      <c r="X22" s="8" t="n">
        <f aca="false">Assumptions!$B$23*L22+(1-Assumptions!$B$23)*R22</f>
        <v>0.12851433633377</v>
      </c>
      <c r="Y22" s="8" t="n">
        <f aca="false">Assumptions!$B$24*M22+(1-Assumptions!$B$24)*S22</f>
        <v>0.0720094939977594</v>
      </c>
      <c r="Z22" s="6" t="n">
        <f aca="false">Assumptions!$B$27*(1+T22)</f>
        <v>369707.9458947</v>
      </c>
      <c r="AA22" s="6" t="n">
        <f aca="false">(Z22+Assumptions!$B$28)*(1+U22)</f>
        <v>586405.026886138</v>
      </c>
      <c r="AB22" s="6" t="n">
        <f aca="false">AA22*(1+V22)</f>
        <v>683425.431930928</v>
      </c>
      <c r="AC22" s="6" t="n">
        <f aca="false">AB22*(1+W22)</f>
        <v>824226.247248747</v>
      </c>
      <c r="AD22" s="6" t="n">
        <f aca="false">AC22*(1+X22)</f>
        <v>930151.136402793</v>
      </c>
      <c r="AE22" s="6" t="n">
        <f aca="false">AD22*(1+Y22)</f>
        <v>997130.849076599</v>
      </c>
      <c r="AF22" s="6" t="n">
        <f aca="false">Z22</f>
        <v>369707.9458947</v>
      </c>
      <c r="AG22" s="6" t="n">
        <f aca="false">MAX(AF22,AA22)</f>
        <v>586405.026886138</v>
      </c>
      <c r="AH22" s="6" t="n">
        <f aca="false">MAX(AG22,AB22)</f>
        <v>683425.431930928</v>
      </c>
      <c r="AI22" s="6" t="n">
        <f aca="false">MAX(AH22,AC22)</f>
        <v>824226.247248747</v>
      </c>
      <c r="AJ22" s="6" t="n">
        <f aca="false">MAX(AI22,AD22)</f>
        <v>930151.136402793</v>
      </c>
      <c r="AK22" s="6" t="n">
        <f aca="false">MAX(AJ22,AE22)</f>
        <v>997130.849076599</v>
      </c>
      <c r="AL22" s="8" t="n">
        <f aca="false">MIN(Z22/AF22-1,AA22/AG22-1,AB22/AH22-1,AC22/AI22-1,AD22/AJ22-1,AE22/AK22-1)</f>
        <v>0</v>
      </c>
      <c r="AM22" s="6" t="n">
        <f aca="false">AE22-Assumptions!$B$35</f>
        <v>555866.852414096</v>
      </c>
    </row>
    <row r="23" customFormat="false" ht="15" hidden="false" customHeight="false" outlineLevel="0" collapsed="false">
      <c r="A23" s="0" t="n">
        <f aca="false">ROW()-1</f>
        <v>22</v>
      </c>
      <c r="B23" s="0" t="str">
        <f aca="true">IF(RAND()&lt;Assumptions!$B$11,"Bull","Bear")</f>
        <v>Bull</v>
      </c>
      <c r="C23" s="0" t="str">
        <f aca="true">IF(B23="Bull",IF(RAND()&lt;Assumptions!$B$7,"Bull","Bear"),IF(RAND()&lt;Assumptions!$B$10,"Bear","Bull"))</f>
        <v>Bull</v>
      </c>
      <c r="D23" s="0" t="str">
        <f aca="true">IF(C23="Bull",IF(RAND()&lt;Assumptions!$B$7,"Bull","Bear"),IF(RAND()&lt;Assumptions!$B$10,"Bear","Bull"))</f>
        <v>Bull</v>
      </c>
      <c r="E23" s="0" t="str">
        <f aca="true">IF(D23="Bull",IF(RAND()&lt;Assumptions!$B$7,"Bull","Bear"),IF(RAND()&lt;Assumptions!$B$10,"Bear","Bull"))</f>
        <v>Bull</v>
      </c>
      <c r="F23" s="0" t="str">
        <f aca="true">IF(E23="Bull",IF(RAND()&lt;Assumptions!$B$7,"Bull","Bear"),IF(RAND()&lt;Assumptions!$B$10,"Bear","Bull"))</f>
        <v>Bull</v>
      </c>
      <c r="G23" s="0" t="str">
        <f aca="true">IF(F23="Bull",IF(RAND()&lt;Assumptions!$B$7,"Bull","Bear"),IF(RAND()&lt;Assumptions!$B$10,"Bear","Bull"))</f>
        <v>Bear</v>
      </c>
      <c r="H23" s="8" t="n">
        <f aca="true">IF(B23="Bull",NORMINV(RAND(),Assumptions!$B$5,Assumptions!$B$6),NORMINV(RAND(),Assumptions!$B$8,Assumptions!$B$9))</f>
        <v>0.176901325315984</v>
      </c>
      <c r="I23" s="8" t="n">
        <f aca="true">IF(C23="Bull",NORMINV(RAND(),Assumptions!$B$5,Assumptions!$B$6),NORMINV(RAND(),Assumptions!$B$8,Assumptions!$B$9))</f>
        <v>0.102654408720046</v>
      </c>
      <c r="J23" s="8" t="n">
        <f aca="true">IF(D23="Bull",NORMINV(RAND(),Assumptions!$B$5,Assumptions!$B$6),NORMINV(RAND(),Assumptions!$B$8,Assumptions!$B$9))</f>
        <v>0.289740602503988</v>
      </c>
      <c r="K23" s="8" t="n">
        <f aca="true">IF(E23="Bull",NORMINV(RAND(),Assumptions!$B$5,Assumptions!$B$6),NORMINV(RAND(),Assumptions!$B$8,Assumptions!$B$9))</f>
        <v>0.230091384509005</v>
      </c>
      <c r="L23" s="8" t="n">
        <f aca="true">IF(F23="Bull",NORMINV(RAND(),Assumptions!$B$5,Assumptions!$B$6),NORMINV(RAND(),Assumptions!$B$8,Assumptions!$B$9))</f>
        <v>0.0436542163901721</v>
      </c>
      <c r="M23" s="8" t="n">
        <f aca="true">IF(G23="Bull",NORMINV(RAND(),Assumptions!$B$5,Assumptions!$B$6),NORMINV(RAND(),Assumptions!$B$8,Assumptions!$B$9))</f>
        <v>-0.314359494696755</v>
      </c>
      <c r="N23" s="8" t="n">
        <f aca="true">NORMINV(RAND(),Assumptions!$B$14,Assumptions!$B$15)</f>
        <v>0.0728670959221879</v>
      </c>
      <c r="O23" s="8" t="n">
        <f aca="true">NORMINV(RAND(),Assumptions!$B$14,Assumptions!$B$15)</f>
        <v>0.0431498998071592</v>
      </c>
      <c r="P23" s="8" t="n">
        <f aca="true">NORMINV(RAND(),Assumptions!$B$14,Assumptions!$B$15)</f>
        <v>0.0589568475400136</v>
      </c>
      <c r="Q23" s="8" t="n">
        <f aca="true">NORMINV(RAND(),Assumptions!$B$14,Assumptions!$B$15)</f>
        <v>0.10802942795169</v>
      </c>
      <c r="R23" s="8" t="n">
        <f aca="true">NORMINV(RAND(),Assumptions!$B$14,Assumptions!$B$15)</f>
        <v>0.0504288221794646</v>
      </c>
      <c r="S23" s="8" t="n">
        <f aca="true">NORMINV(RAND(),Assumptions!$B$14,Assumptions!$B$15)</f>
        <v>0.024177014190314</v>
      </c>
      <c r="T23" s="8" t="n">
        <f aca="false">Assumptions!$B$19*H23+(1-Assumptions!$B$19)*N23</f>
        <v>0.176901325315984</v>
      </c>
      <c r="U23" s="8" t="n">
        <f aca="false">Assumptions!$B$20*I23+(1-Assumptions!$B$20)*O23</f>
        <v>0.102654408720046</v>
      </c>
      <c r="V23" s="8" t="n">
        <f aca="false">Assumptions!$B$21*J23+(1-Assumptions!$B$21)*P23</f>
        <v>0.289740602503988</v>
      </c>
      <c r="W23" s="8" t="n">
        <f aca="false">Assumptions!$B$22*K23+(1-Assumptions!$B$22)*Q23</f>
        <v>0.230091384509005</v>
      </c>
      <c r="X23" s="8" t="n">
        <f aca="false">Assumptions!$B$23*L23+(1-Assumptions!$B$23)*R23</f>
        <v>0.0450091375480306</v>
      </c>
      <c r="Y23" s="8" t="n">
        <f aca="false">Assumptions!$B$24*M23+(1-Assumptions!$B$24)*S23</f>
        <v>-0.178944891141927</v>
      </c>
      <c r="Z23" s="6" t="n">
        <f aca="false">Assumptions!$B$27*(1+T23)</f>
        <v>353070.397594795</v>
      </c>
      <c r="AA23" s="6" t="n">
        <f aca="false">(Z23+Assumptions!$B$28)*(1+U23)</f>
        <v>554712.791804448</v>
      </c>
      <c r="AB23" s="6" t="n">
        <f aca="false">AA23*(1+V23)</f>
        <v>715435.610318537</v>
      </c>
      <c r="AC23" s="6" t="n">
        <f aca="false">AB23*(1+W23)</f>
        <v>880051.180423775</v>
      </c>
      <c r="AD23" s="6" t="n">
        <f aca="false">AC23*(1+X23)</f>
        <v>919661.525052775</v>
      </c>
      <c r="AE23" s="6" t="n">
        <f aca="false">AD23*(1+Y23)</f>
        <v>755092.793564788</v>
      </c>
      <c r="AF23" s="6" t="n">
        <f aca="false">Z23</f>
        <v>353070.397594795</v>
      </c>
      <c r="AG23" s="6" t="n">
        <f aca="false">MAX(AF23,AA23)</f>
        <v>554712.791804448</v>
      </c>
      <c r="AH23" s="6" t="n">
        <f aca="false">MAX(AG23,AB23)</f>
        <v>715435.610318537</v>
      </c>
      <c r="AI23" s="6" t="n">
        <f aca="false">MAX(AH23,AC23)</f>
        <v>880051.180423775</v>
      </c>
      <c r="AJ23" s="6" t="n">
        <f aca="false">MAX(AI23,AD23)</f>
        <v>919661.525052775</v>
      </c>
      <c r="AK23" s="6" t="n">
        <f aca="false">MAX(AJ23,AE23)</f>
        <v>919661.525052775</v>
      </c>
      <c r="AL23" s="8" t="n">
        <f aca="false">MIN(Z23/AF23-1,AA23/AG23-1,AB23/AH23-1,AC23/AI23-1,AD23/AJ23-1,AE23/AK23-1)</f>
        <v>-0.178944891141927</v>
      </c>
      <c r="AM23" s="6" t="n">
        <f aca="false">AE23-Assumptions!$B$35</f>
        <v>313828.796902284</v>
      </c>
    </row>
    <row r="24" customFormat="false" ht="15" hidden="false" customHeight="false" outlineLevel="0" collapsed="false">
      <c r="A24" s="0" t="n">
        <f aca="false">ROW()-1</f>
        <v>23</v>
      </c>
      <c r="B24" s="0" t="str">
        <f aca="true">IF(RAND()&lt;Assumptions!$B$11,"Bull","Bear")</f>
        <v>Bull</v>
      </c>
      <c r="C24" s="0" t="str">
        <f aca="true">IF(B24="Bull",IF(RAND()&lt;Assumptions!$B$7,"Bull","Bear"),IF(RAND()&lt;Assumptions!$B$10,"Bear","Bull"))</f>
        <v>Bear</v>
      </c>
      <c r="D24" s="0" t="str">
        <f aca="true">IF(C24="Bull",IF(RAND()&lt;Assumptions!$B$7,"Bull","Bear"),IF(RAND()&lt;Assumptions!$B$10,"Bear","Bull"))</f>
        <v>Bear</v>
      </c>
      <c r="E24" s="0" t="str">
        <f aca="true">IF(D24="Bull",IF(RAND()&lt;Assumptions!$B$7,"Bull","Bear"),IF(RAND()&lt;Assumptions!$B$10,"Bear","Bull"))</f>
        <v>Bear</v>
      </c>
      <c r="F24" s="0" t="str">
        <f aca="true">IF(E24="Bull",IF(RAND()&lt;Assumptions!$B$7,"Bull","Bear"),IF(RAND()&lt;Assumptions!$B$10,"Bear","Bull"))</f>
        <v>Bear</v>
      </c>
      <c r="G24" s="0" t="str">
        <f aca="true">IF(F24="Bull",IF(RAND()&lt;Assumptions!$B$7,"Bull","Bear"),IF(RAND()&lt;Assumptions!$B$10,"Bear","Bull"))</f>
        <v>Bull</v>
      </c>
      <c r="H24" s="8" t="n">
        <f aca="true">IF(B24="Bull",NORMINV(RAND(),Assumptions!$B$5,Assumptions!$B$6),NORMINV(RAND(),Assumptions!$B$8,Assumptions!$B$9))</f>
        <v>0.215925607441221</v>
      </c>
      <c r="I24" s="8" t="n">
        <f aca="true">IF(C24="Bull",NORMINV(RAND(),Assumptions!$B$5,Assumptions!$B$6),NORMINV(RAND(),Assumptions!$B$8,Assumptions!$B$9))</f>
        <v>-0.396539863434986</v>
      </c>
      <c r="J24" s="8" t="n">
        <f aca="true">IF(D24="Bull",NORMINV(RAND(),Assumptions!$B$5,Assumptions!$B$6),NORMINV(RAND(),Assumptions!$B$8,Assumptions!$B$9))</f>
        <v>-0.143640221458312</v>
      </c>
      <c r="K24" s="8" t="n">
        <f aca="true">IF(E24="Bull",NORMINV(RAND(),Assumptions!$B$5,Assumptions!$B$6),NORMINV(RAND(),Assumptions!$B$8,Assumptions!$B$9))</f>
        <v>-0.256797169416048</v>
      </c>
      <c r="L24" s="8" t="n">
        <f aca="true">IF(F24="Bull",NORMINV(RAND(),Assumptions!$B$5,Assumptions!$B$6),NORMINV(RAND(),Assumptions!$B$8,Assumptions!$B$9))</f>
        <v>-0.0568833442182838</v>
      </c>
      <c r="M24" s="8" t="n">
        <f aca="true">IF(G24="Bull",NORMINV(RAND(),Assumptions!$B$5,Assumptions!$B$6),NORMINV(RAND(),Assumptions!$B$8,Assumptions!$B$9))</f>
        <v>-0.0653387823948511</v>
      </c>
      <c r="N24" s="8" t="n">
        <f aca="true">NORMINV(RAND(),Assumptions!$B$14,Assumptions!$B$15)</f>
        <v>0.104006440935374</v>
      </c>
      <c r="O24" s="8" t="n">
        <f aca="true">NORMINV(RAND(),Assumptions!$B$14,Assumptions!$B$15)</f>
        <v>0.0212530595167299</v>
      </c>
      <c r="P24" s="8" t="n">
        <f aca="true">NORMINV(RAND(),Assumptions!$B$14,Assumptions!$B$15)</f>
        <v>0.0839441791086905</v>
      </c>
      <c r="Q24" s="8" t="n">
        <f aca="true">NORMINV(RAND(),Assumptions!$B$14,Assumptions!$B$15)</f>
        <v>0.0249828075796202</v>
      </c>
      <c r="R24" s="8" t="n">
        <f aca="true">NORMINV(RAND(),Assumptions!$B$14,Assumptions!$B$15)</f>
        <v>0.0982066759577233</v>
      </c>
      <c r="S24" s="8" t="n">
        <f aca="true">NORMINV(RAND(),Assumptions!$B$14,Assumptions!$B$15)</f>
        <v>0.0634046158032652</v>
      </c>
      <c r="T24" s="8" t="n">
        <f aca="false">Assumptions!$B$19*H24+(1-Assumptions!$B$19)*N24</f>
        <v>0.215925607441221</v>
      </c>
      <c r="U24" s="8" t="n">
        <f aca="false">Assumptions!$B$20*I24+(1-Assumptions!$B$20)*O24</f>
        <v>-0.396539863434986</v>
      </c>
      <c r="V24" s="8" t="n">
        <f aca="false">Assumptions!$B$21*J24+(1-Assumptions!$B$21)*P24</f>
        <v>-0.143640221458312</v>
      </c>
      <c r="W24" s="8" t="n">
        <f aca="false">Assumptions!$B$22*K24+(1-Assumptions!$B$22)*Q24</f>
        <v>-0.256797169416048</v>
      </c>
      <c r="X24" s="8" t="n">
        <f aca="false">Assumptions!$B$23*L24+(1-Assumptions!$B$23)*R24</f>
        <v>-0.0258653401830824</v>
      </c>
      <c r="Y24" s="8" t="n">
        <f aca="false">Assumptions!$B$24*M24+(1-Assumptions!$B$24)*S24</f>
        <v>-0.0138414231156046</v>
      </c>
      <c r="Z24" s="6" t="n">
        <f aca="false">Assumptions!$B$27*(1+T24)</f>
        <v>364777.682232366</v>
      </c>
      <c r="AA24" s="6" t="n">
        <f aca="false">(Z24+Assumptions!$B$28)*(1+U24)</f>
        <v>310647.810420565</v>
      </c>
      <c r="AB24" s="6" t="n">
        <f aca="false">AA24*(1+V24)</f>
        <v>266026.290136215</v>
      </c>
      <c r="AC24" s="6" t="n">
        <f aca="false">AB24*(1+W24)</f>
        <v>197711.491838983</v>
      </c>
      <c r="AD24" s="6" t="n">
        <f aca="false">AC24*(1+X24)</f>
        <v>192597.616844463</v>
      </c>
      <c r="AE24" s="6" t="n">
        <f aca="false">AD24*(1+Y24)</f>
        <v>189931.791738662</v>
      </c>
      <c r="AF24" s="6" t="n">
        <f aca="false">Z24</f>
        <v>364777.682232366</v>
      </c>
      <c r="AG24" s="6" t="n">
        <f aca="false">MAX(AF24,AA24)</f>
        <v>364777.682232366</v>
      </c>
      <c r="AH24" s="6" t="n">
        <f aca="false">MAX(AG24,AB24)</f>
        <v>364777.682232366</v>
      </c>
      <c r="AI24" s="6" t="n">
        <f aca="false">MAX(AH24,AC24)</f>
        <v>364777.682232366</v>
      </c>
      <c r="AJ24" s="6" t="n">
        <f aca="false">MAX(AI24,AD24)</f>
        <v>364777.682232366</v>
      </c>
      <c r="AK24" s="6" t="n">
        <f aca="false">MAX(AJ24,AE24)</f>
        <v>364777.682232366</v>
      </c>
      <c r="AL24" s="8" t="n">
        <f aca="false">MIN(Z24/AF24-1,AA24/AG24-1,AB24/AH24-1,AC24/AI24-1,AD24/AJ24-1,AE24/AK24-1)</f>
        <v>-0.479321786968114</v>
      </c>
      <c r="AM24" s="6" t="n">
        <f aca="false">AE24-Assumptions!$B$35</f>
        <v>-251332.204923842</v>
      </c>
    </row>
    <row r="25" customFormat="false" ht="15" hidden="false" customHeight="false" outlineLevel="0" collapsed="false">
      <c r="A25" s="0" t="n">
        <f aca="false">ROW()-1</f>
        <v>24</v>
      </c>
      <c r="B25" s="0" t="str">
        <f aca="true">IF(RAND()&lt;Assumptions!$B$11,"Bull","Bear")</f>
        <v>Bull</v>
      </c>
      <c r="C25" s="0" t="str">
        <f aca="true">IF(B25="Bull",IF(RAND()&lt;Assumptions!$B$7,"Bull","Bear"),IF(RAND()&lt;Assumptions!$B$10,"Bear","Bull"))</f>
        <v>Bear</v>
      </c>
      <c r="D25" s="0" t="str">
        <f aca="true">IF(C25="Bull",IF(RAND()&lt;Assumptions!$B$7,"Bull","Bear"),IF(RAND()&lt;Assumptions!$B$10,"Bear","Bull"))</f>
        <v>Bull</v>
      </c>
      <c r="E25" s="0" t="str">
        <f aca="true">IF(D25="Bull",IF(RAND()&lt;Assumptions!$B$7,"Bull","Bear"),IF(RAND()&lt;Assumptions!$B$10,"Bear","Bull"))</f>
        <v>Bull</v>
      </c>
      <c r="F25" s="0" t="str">
        <f aca="true">IF(E25="Bull",IF(RAND()&lt;Assumptions!$B$7,"Bull","Bear"),IF(RAND()&lt;Assumptions!$B$10,"Bear","Bull"))</f>
        <v>Bull</v>
      </c>
      <c r="G25" s="0" t="str">
        <f aca="true">IF(F25="Bull",IF(RAND()&lt;Assumptions!$B$7,"Bull","Bear"),IF(RAND()&lt;Assumptions!$B$10,"Bear","Bull"))</f>
        <v>Bull</v>
      </c>
      <c r="H25" s="8" t="n">
        <f aca="true">IF(B25="Bull",NORMINV(RAND(),Assumptions!$B$5,Assumptions!$B$6),NORMINV(RAND(),Assumptions!$B$8,Assumptions!$B$9))</f>
        <v>0.328099672912609</v>
      </c>
      <c r="I25" s="8" t="n">
        <f aca="true">IF(C25="Bull",NORMINV(RAND(),Assumptions!$B$5,Assumptions!$B$6),NORMINV(RAND(),Assumptions!$B$8,Assumptions!$B$9))</f>
        <v>-0.165639014989002</v>
      </c>
      <c r="J25" s="8" t="n">
        <f aca="true">IF(D25="Bull",NORMINV(RAND(),Assumptions!$B$5,Assumptions!$B$6),NORMINV(RAND(),Assumptions!$B$8,Assumptions!$B$9))</f>
        <v>0.0389162613992971</v>
      </c>
      <c r="K25" s="8" t="n">
        <f aca="true">IF(E25="Bull",NORMINV(RAND(),Assumptions!$B$5,Assumptions!$B$6),NORMINV(RAND(),Assumptions!$B$8,Assumptions!$B$9))</f>
        <v>0.198554643700662</v>
      </c>
      <c r="L25" s="8" t="n">
        <f aca="true">IF(F25="Bull",NORMINV(RAND(),Assumptions!$B$5,Assumptions!$B$6),NORMINV(RAND(),Assumptions!$B$8,Assumptions!$B$9))</f>
        <v>0.249745185590032</v>
      </c>
      <c r="M25" s="8" t="n">
        <f aca="true">IF(G25="Bull",NORMINV(RAND(),Assumptions!$B$5,Assumptions!$B$6),NORMINV(RAND(),Assumptions!$B$8,Assumptions!$B$9))</f>
        <v>0.230347100732276</v>
      </c>
      <c r="N25" s="8" t="n">
        <f aca="true">NORMINV(RAND(),Assumptions!$B$14,Assumptions!$B$15)</f>
        <v>-0.00023883336040835</v>
      </c>
      <c r="O25" s="8" t="n">
        <f aca="true">NORMINV(RAND(),Assumptions!$B$14,Assumptions!$B$15)</f>
        <v>-0.0261908619111655</v>
      </c>
      <c r="P25" s="8" t="n">
        <f aca="true">NORMINV(RAND(),Assumptions!$B$14,Assumptions!$B$15)</f>
        <v>0.054128715346633</v>
      </c>
      <c r="Q25" s="8" t="n">
        <f aca="true">NORMINV(RAND(),Assumptions!$B$14,Assumptions!$B$15)</f>
        <v>0.0974802862286913</v>
      </c>
      <c r="R25" s="8" t="n">
        <f aca="true">NORMINV(RAND(),Assumptions!$B$14,Assumptions!$B$15)</f>
        <v>0.0343611674744569</v>
      </c>
      <c r="S25" s="8" t="n">
        <f aca="true">NORMINV(RAND(),Assumptions!$B$14,Assumptions!$B$15)</f>
        <v>0.0443072430075494</v>
      </c>
      <c r="T25" s="8" t="n">
        <f aca="false">Assumptions!$B$19*H25+(1-Assumptions!$B$19)*N25</f>
        <v>0.328099672912609</v>
      </c>
      <c r="U25" s="8" t="n">
        <f aca="false">Assumptions!$B$20*I25+(1-Assumptions!$B$20)*O25</f>
        <v>-0.165639014989002</v>
      </c>
      <c r="V25" s="8" t="n">
        <f aca="false">Assumptions!$B$21*J25+(1-Assumptions!$B$21)*P25</f>
        <v>0.0389162613992971</v>
      </c>
      <c r="W25" s="8" t="n">
        <f aca="false">Assumptions!$B$22*K25+(1-Assumptions!$B$22)*Q25</f>
        <v>0.198554643700662</v>
      </c>
      <c r="X25" s="8" t="n">
        <f aca="false">Assumptions!$B$23*L25+(1-Assumptions!$B$23)*R25</f>
        <v>0.206668381966917</v>
      </c>
      <c r="Y25" s="8" t="n">
        <f aca="false">Assumptions!$B$24*M25+(1-Assumptions!$B$24)*S25</f>
        <v>0.155931157642385</v>
      </c>
      <c r="Z25" s="6" t="n">
        <f aca="false">Assumptions!$B$27*(1+T25)</f>
        <v>398429.901873783</v>
      </c>
      <c r="AA25" s="6" t="n">
        <f aca="false">(Z25+Assumptions!$B$28)*(1+U25)</f>
        <v>457588.513136894</v>
      </c>
      <c r="AB25" s="6" t="n">
        <f aca="false">AA25*(1+V25)</f>
        <v>475396.147327445</v>
      </c>
      <c r="AC25" s="6" t="n">
        <f aca="false">AB25*(1+W25)</f>
        <v>569788.259976714</v>
      </c>
      <c r="AD25" s="6" t="n">
        <f aca="false">AC25*(1+X25)</f>
        <v>687545.477729846</v>
      </c>
      <c r="AE25" s="6" t="n">
        <f aca="false">AD25*(1+Y25)</f>
        <v>794755.240004048</v>
      </c>
      <c r="AF25" s="6" t="n">
        <f aca="false">Z25</f>
        <v>398429.901873783</v>
      </c>
      <c r="AG25" s="6" t="n">
        <f aca="false">MAX(AF25,AA25)</f>
        <v>457588.513136894</v>
      </c>
      <c r="AH25" s="6" t="n">
        <f aca="false">MAX(AG25,AB25)</f>
        <v>475396.147327445</v>
      </c>
      <c r="AI25" s="6" t="n">
        <f aca="false">MAX(AH25,AC25)</f>
        <v>569788.259976714</v>
      </c>
      <c r="AJ25" s="6" t="n">
        <f aca="false">MAX(AI25,AD25)</f>
        <v>687545.477729846</v>
      </c>
      <c r="AK25" s="6" t="n">
        <f aca="false">MAX(AJ25,AE25)</f>
        <v>794755.240004048</v>
      </c>
      <c r="AL25" s="8" t="n">
        <f aca="false">MIN(Z25/AF25-1,AA25/AG25-1,AB25/AH25-1,AC25/AI25-1,AD25/AJ25-1,AE25/AK25-1)</f>
        <v>0</v>
      </c>
      <c r="AM25" s="6" t="n">
        <f aca="false">AE25-Assumptions!$B$35</f>
        <v>353491.243341544</v>
      </c>
    </row>
    <row r="26" customFormat="false" ht="15" hidden="false" customHeight="false" outlineLevel="0" collapsed="false">
      <c r="A26" s="0" t="n">
        <f aca="false">ROW()-1</f>
        <v>25</v>
      </c>
      <c r="B26" s="0" t="str">
        <f aca="true">IF(RAND()&lt;Assumptions!$B$11,"Bull","Bear")</f>
        <v>Bull</v>
      </c>
      <c r="C26" s="0" t="str">
        <f aca="true">IF(B26="Bull",IF(RAND()&lt;Assumptions!$B$7,"Bull","Bear"),IF(RAND()&lt;Assumptions!$B$10,"Bear","Bull"))</f>
        <v>Bull</v>
      </c>
      <c r="D26" s="0" t="str">
        <f aca="true">IF(C26="Bull",IF(RAND()&lt;Assumptions!$B$7,"Bull","Bear"),IF(RAND()&lt;Assumptions!$B$10,"Bear","Bull"))</f>
        <v>Bull</v>
      </c>
      <c r="E26" s="0" t="str">
        <f aca="true">IF(D26="Bull",IF(RAND()&lt;Assumptions!$B$7,"Bull","Bear"),IF(RAND()&lt;Assumptions!$B$10,"Bear","Bull"))</f>
        <v>Bear</v>
      </c>
      <c r="F26" s="0" t="str">
        <f aca="true">IF(E26="Bull",IF(RAND()&lt;Assumptions!$B$7,"Bull","Bear"),IF(RAND()&lt;Assumptions!$B$10,"Bear","Bull"))</f>
        <v>Bull</v>
      </c>
      <c r="G26" s="0" t="str">
        <f aca="true">IF(F26="Bull",IF(RAND()&lt;Assumptions!$B$7,"Bull","Bear"),IF(RAND()&lt;Assumptions!$B$10,"Bear","Bull"))</f>
        <v>Bull</v>
      </c>
      <c r="H26" s="8" t="n">
        <f aca="true">IF(B26="Bull",NORMINV(RAND(),Assumptions!$B$5,Assumptions!$B$6),NORMINV(RAND(),Assumptions!$B$8,Assumptions!$B$9))</f>
        <v>0.294230763980749</v>
      </c>
      <c r="I26" s="8" t="n">
        <f aca="true">IF(C26="Bull",NORMINV(RAND(),Assumptions!$B$5,Assumptions!$B$6),NORMINV(RAND(),Assumptions!$B$8,Assumptions!$B$9))</f>
        <v>0.116462282580933</v>
      </c>
      <c r="J26" s="8" t="n">
        <f aca="true">IF(D26="Bull",NORMINV(RAND(),Assumptions!$B$5,Assumptions!$B$6),NORMINV(RAND(),Assumptions!$B$8,Assumptions!$B$9))</f>
        <v>0.163751072944277</v>
      </c>
      <c r="K26" s="8" t="n">
        <f aca="true">IF(E26="Bull",NORMINV(RAND(),Assumptions!$B$5,Assumptions!$B$6),NORMINV(RAND(),Assumptions!$B$8,Assumptions!$B$9))</f>
        <v>-0.0817759748705296</v>
      </c>
      <c r="L26" s="8" t="n">
        <f aca="true">IF(F26="Bull",NORMINV(RAND(),Assumptions!$B$5,Assumptions!$B$6),NORMINV(RAND(),Assumptions!$B$8,Assumptions!$B$9))</f>
        <v>0.166957245011326</v>
      </c>
      <c r="M26" s="8" t="n">
        <f aca="true">IF(G26="Bull",NORMINV(RAND(),Assumptions!$B$5,Assumptions!$B$6),NORMINV(RAND(),Assumptions!$B$8,Assumptions!$B$9))</f>
        <v>0.30110490816784</v>
      </c>
      <c r="N26" s="8" t="n">
        <f aca="true">NORMINV(RAND(),Assumptions!$B$14,Assumptions!$B$15)</f>
        <v>0.095067125584108</v>
      </c>
      <c r="O26" s="8" t="n">
        <f aca="true">NORMINV(RAND(),Assumptions!$B$14,Assumptions!$B$15)</f>
        <v>0.0553744441384208</v>
      </c>
      <c r="P26" s="8" t="n">
        <f aca="true">NORMINV(RAND(),Assumptions!$B$14,Assumptions!$B$15)</f>
        <v>0.0192369114532148</v>
      </c>
      <c r="Q26" s="8" t="n">
        <f aca="true">NORMINV(RAND(),Assumptions!$B$14,Assumptions!$B$15)</f>
        <v>0.0778407312129673</v>
      </c>
      <c r="R26" s="8" t="n">
        <f aca="true">NORMINV(RAND(),Assumptions!$B$14,Assumptions!$B$15)</f>
        <v>0.0447156080536687</v>
      </c>
      <c r="S26" s="8" t="n">
        <f aca="true">NORMINV(RAND(),Assumptions!$B$14,Assumptions!$B$15)</f>
        <v>0.078985439865823</v>
      </c>
      <c r="T26" s="8" t="n">
        <f aca="false">Assumptions!$B$19*H26+(1-Assumptions!$B$19)*N26</f>
        <v>0.294230763980749</v>
      </c>
      <c r="U26" s="8" t="n">
        <f aca="false">Assumptions!$B$20*I26+(1-Assumptions!$B$20)*O26</f>
        <v>0.116462282580933</v>
      </c>
      <c r="V26" s="8" t="n">
        <f aca="false">Assumptions!$B$21*J26+(1-Assumptions!$B$21)*P26</f>
        <v>0.163751072944277</v>
      </c>
      <c r="W26" s="8" t="n">
        <f aca="false">Assumptions!$B$22*K26+(1-Assumptions!$B$22)*Q26</f>
        <v>-0.0817759748705296</v>
      </c>
      <c r="X26" s="8" t="n">
        <f aca="false">Assumptions!$B$23*L26+(1-Assumptions!$B$23)*R26</f>
        <v>0.142508917619795</v>
      </c>
      <c r="Y26" s="8" t="n">
        <f aca="false">Assumptions!$B$24*M26+(1-Assumptions!$B$24)*S26</f>
        <v>0.212257120847033</v>
      </c>
      <c r="Z26" s="6" t="n">
        <f aca="false">Assumptions!$B$27*(1+T26)</f>
        <v>388269.229194225</v>
      </c>
      <c r="AA26" s="6" t="n">
        <f aca="false">(Z26+Assumptions!$B$28)*(1+U26)</f>
        <v>600957.292269263</v>
      </c>
      <c r="AB26" s="6" t="n">
        <f aca="false">AA26*(1+V26)</f>
        <v>699364.693672043</v>
      </c>
      <c r="AC26" s="6" t="n">
        <f aca="false">AB26*(1+W26)</f>
        <v>642173.464056982</v>
      </c>
      <c r="AD26" s="6" t="n">
        <f aca="false">AC26*(1+X26)</f>
        <v>733688.909343897</v>
      </c>
      <c r="AE26" s="6" t="n">
        <f aca="false">AD26*(1+Y26)</f>
        <v>889419.604838632</v>
      </c>
      <c r="AF26" s="6" t="n">
        <f aca="false">Z26</f>
        <v>388269.229194225</v>
      </c>
      <c r="AG26" s="6" t="n">
        <f aca="false">MAX(AF26,AA26)</f>
        <v>600957.292269263</v>
      </c>
      <c r="AH26" s="6" t="n">
        <f aca="false">MAX(AG26,AB26)</f>
        <v>699364.693672043</v>
      </c>
      <c r="AI26" s="6" t="n">
        <f aca="false">MAX(AH26,AC26)</f>
        <v>699364.693672043</v>
      </c>
      <c r="AJ26" s="6" t="n">
        <f aca="false">MAX(AI26,AD26)</f>
        <v>733688.909343897</v>
      </c>
      <c r="AK26" s="6" t="n">
        <f aca="false">MAX(AJ26,AE26)</f>
        <v>889419.604838632</v>
      </c>
      <c r="AL26" s="8" t="n">
        <f aca="false">MIN(Z26/AF26-1,AA26/AG26-1,AB26/AH26-1,AC26/AI26-1,AD26/AJ26-1,AE26/AK26-1)</f>
        <v>-0.0817759748705297</v>
      </c>
      <c r="AM26" s="6" t="n">
        <f aca="false">AE26-Assumptions!$B$35</f>
        <v>448155.608176129</v>
      </c>
    </row>
    <row r="27" customFormat="false" ht="15" hidden="false" customHeight="false" outlineLevel="0" collapsed="false">
      <c r="A27" s="0" t="n">
        <f aca="false">ROW()-1</f>
        <v>26</v>
      </c>
      <c r="B27" s="0" t="str">
        <f aca="true">IF(RAND()&lt;Assumptions!$B$11,"Bull","Bear")</f>
        <v>Bear</v>
      </c>
      <c r="C27" s="0" t="str">
        <f aca="true">IF(B27="Bull",IF(RAND()&lt;Assumptions!$B$7,"Bull","Bear"),IF(RAND()&lt;Assumptions!$B$10,"Bear","Bull"))</f>
        <v>Bear</v>
      </c>
      <c r="D27" s="0" t="str">
        <f aca="true">IF(C27="Bull",IF(RAND()&lt;Assumptions!$B$7,"Bull","Bear"),IF(RAND()&lt;Assumptions!$B$10,"Bear","Bull"))</f>
        <v>Bear</v>
      </c>
      <c r="E27" s="0" t="str">
        <f aca="true">IF(D27="Bull",IF(RAND()&lt;Assumptions!$B$7,"Bull","Bear"),IF(RAND()&lt;Assumptions!$B$10,"Bear","Bull"))</f>
        <v>Bear</v>
      </c>
      <c r="F27" s="0" t="str">
        <f aca="true">IF(E27="Bull",IF(RAND()&lt;Assumptions!$B$7,"Bull","Bear"),IF(RAND()&lt;Assumptions!$B$10,"Bear","Bull"))</f>
        <v>Bull</v>
      </c>
      <c r="G27" s="0" t="str">
        <f aca="true">IF(F27="Bull",IF(RAND()&lt;Assumptions!$B$7,"Bull","Bear"),IF(RAND()&lt;Assumptions!$B$10,"Bear","Bull"))</f>
        <v>Bull</v>
      </c>
      <c r="H27" s="8" t="n">
        <f aca="true">IF(B27="Bull",NORMINV(RAND(),Assumptions!$B$5,Assumptions!$B$6),NORMINV(RAND(),Assumptions!$B$8,Assumptions!$B$9))</f>
        <v>-0.275021244863434</v>
      </c>
      <c r="I27" s="8" t="n">
        <f aca="true">IF(C27="Bull",NORMINV(RAND(),Assumptions!$B$5,Assumptions!$B$6),NORMINV(RAND(),Assumptions!$B$8,Assumptions!$B$9))</f>
        <v>0.205481721884986</v>
      </c>
      <c r="J27" s="8" t="n">
        <f aca="true">IF(D27="Bull",NORMINV(RAND(),Assumptions!$B$5,Assumptions!$B$6),NORMINV(RAND(),Assumptions!$B$8,Assumptions!$B$9))</f>
        <v>-0.121212039735654</v>
      </c>
      <c r="K27" s="8" t="n">
        <f aca="true">IF(E27="Bull",NORMINV(RAND(),Assumptions!$B$5,Assumptions!$B$6),NORMINV(RAND(),Assumptions!$B$8,Assumptions!$B$9))</f>
        <v>-0.0952224590797174</v>
      </c>
      <c r="L27" s="8" t="n">
        <f aca="true">IF(F27="Bull",NORMINV(RAND(),Assumptions!$B$5,Assumptions!$B$6),NORMINV(RAND(),Assumptions!$B$8,Assumptions!$B$9))</f>
        <v>0.132448940960378</v>
      </c>
      <c r="M27" s="8" t="n">
        <f aca="true">IF(G27="Bull",NORMINV(RAND(),Assumptions!$B$5,Assumptions!$B$6),NORMINV(RAND(),Assumptions!$B$8,Assumptions!$B$9))</f>
        <v>0.103669054645619</v>
      </c>
      <c r="N27" s="8" t="n">
        <f aca="true">NORMINV(RAND(),Assumptions!$B$14,Assumptions!$B$15)</f>
        <v>0.0703873968670822</v>
      </c>
      <c r="O27" s="8" t="n">
        <f aca="true">NORMINV(RAND(),Assumptions!$B$14,Assumptions!$B$15)</f>
        <v>0.101984197426721</v>
      </c>
      <c r="P27" s="8" t="n">
        <f aca="true">NORMINV(RAND(),Assumptions!$B$14,Assumptions!$B$15)</f>
        <v>0.0362535940311851</v>
      </c>
      <c r="Q27" s="8" t="n">
        <f aca="true">NORMINV(RAND(),Assumptions!$B$14,Assumptions!$B$15)</f>
        <v>-0.00775498219055343</v>
      </c>
      <c r="R27" s="8" t="n">
        <f aca="true">NORMINV(RAND(),Assumptions!$B$14,Assumptions!$B$15)</f>
        <v>0.101335804573085</v>
      </c>
      <c r="S27" s="8" t="n">
        <f aca="true">NORMINV(RAND(),Assumptions!$B$14,Assumptions!$B$15)</f>
        <v>0.0310346269265171</v>
      </c>
      <c r="T27" s="8" t="n">
        <f aca="false">Assumptions!$B$19*H27+(1-Assumptions!$B$19)*N27</f>
        <v>-0.275021244863434</v>
      </c>
      <c r="U27" s="8" t="n">
        <f aca="false">Assumptions!$B$20*I27+(1-Assumptions!$B$20)*O27</f>
        <v>0.205481721884986</v>
      </c>
      <c r="V27" s="8" t="n">
        <f aca="false">Assumptions!$B$21*J27+(1-Assumptions!$B$21)*P27</f>
        <v>-0.121212039735654</v>
      </c>
      <c r="W27" s="8" t="n">
        <f aca="false">Assumptions!$B$22*K27+(1-Assumptions!$B$22)*Q27</f>
        <v>-0.0952224590797174</v>
      </c>
      <c r="X27" s="8" t="n">
        <f aca="false">Assumptions!$B$23*L27+(1-Assumptions!$B$23)*R27</f>
        <v>0.126226313682919</v>
      </c>
      <c r="Y27" s="8" t="n">
        <f aca="false">Assumptions!$B$24*M27+(1-Assumptions!$B$24)*S27</f>
        <v>0.0746152835579785</v>
      </c>
      <c r="Z27" s="6" t="n">
        <f aca="false">Assumptions!$B$27*(1+T27)</f>
        <v>217493.62654097</v>
      </c>
      <c r="AA27" s="6" t="n">
        <f aca="false">(Z27+Assumptions!$B$28)*(1+U27)</f>
        <v>443006.849704366</v>
      </c>
      <c r="AB27" s="6" t="n">
        <f aca="false">AA27*(1+V27)</f>
        <v>389309.085834834</v>
      </c>
      <c r="AC27" s="6" t="n">
        <f aca="false">AB27*(1+W27)</f>
        <v>352238.117339564</v>
      </c>
      <c r="AD27" s="6" t="n">
        <f aca="false">AC27*(1+X27)</f>
        <v>396699.836429949</v>
      </c>
      <c r="AE27" s="6" t="n">
        <f aca="false">AD27*(1+Y27)</f>
        <v>426299.707212574</v>
      </c>
      <c r="AF27" s="6" t="n">
        <f aca="false">Z27</f>
        <v>217493.62654097</v>
      </c>
      <c r="AG27" s="6" t="n">
        <f aca="false">MAX(AF27,AA27)</f>
        <v>443006.849704366</v>
      </c>
      <c r="AH27" s="6" t="n">
        <f aca="false">MAX(AG27,AB27)</f>
        <v>443006.849704366</v>
      </c>
      <c r="AI27" s="6" t="n">
        <f aca="false">MAX(AH27,AC27)</f>
        <v>443006.849704366</v>
      </c>
      <c r="AJ27" s="6" t="n">
        <f aca="false">MAX(AI27,AD27)</f>
        <v>443006.849704366</v>
      </c>
      <c r="AK27" s="6" t="n">
        <f aca="false">MAX(AJ27,AE27)</f>
        <v>443006.849704366</v>
      </c>
      <c r="AL27" s="8" t="n">
        <f aca="false">MIN(Z27/AF27-1,AA27/AG27-1,AB27/AH27-1,AC27/AI27-1,AD27/AJ27-1,AE27/AK27-1)</f>
        <v>-0.204892390321674</v>
      </c>
      <c r="AM27" s="6" t="n">
        <f aca="false">AE27-Assumptions!$B$35</f>
        <v>-14964.2894499299</v>
      </c>
    </row>
    <row r="28" customFormat="false" ht="15" hidden="false" customHeight="false" outlineLevel="0" collapsed="false">
      <c r="A28" s="0" t="n">
        <f aca="false">ROW()-1</f>
        <v>27</v>
      </c>
      <c r="B28" s="0" t="str">
        <f aca="true">IF(RAND()&lt;Assumptions!$B$11,"Bull","Bear")</f>
        <v>Bull</v>
      </c>
      <c r="C28" s="0" t="str">
        <f aca="true">IF(B28="Bull",IF(RAND()&lt;Assumptions!$B$7,"Bull","Bear"),IF(RAND()&lt;Assumptions!$B$10,"Bear","Bull"))</f>
        <v>Bull</v>
      </c>
      <c r="D28" s="0" t="str">
        <f aca="true">IF(C28="Bull",IF(RAND()&lt;Assumptions!$B$7,"Bull","Bear"),IF(RAND()&lt;Assumptions!$B$10,"Bear","Bull"))</f>
        <v>Bear</v>
      </c>
      <c r="E28" s="0" t="str">
        <f aca="true">IF(D28="Bull",IF(RAND()&lt;Assumptions!$B$7,"Bull","Bear"),IF(RAND()&lt;Assumptions!$B$10,"Bear","Bull"))</f>
        <v>Bear</v>
      </c>
      <c r="F28" s="0" t="str">
        <f aca="true">IF(E28="Bull",IF(RAND()&lt;Assumptions!$B$7,"Bull","Bear"),IF(RAND()&lt;Assumptions!$B$10,"Bear","Bull"))</f>
        <v>Bear</v>
      </c>
      <c r="G28" s="0" t="str">
        <f aca="true">IF(F28="Bull",IF(RAND()&lt;Assumptions!$B$7,"Bull","Bear"),IF(RAND()&lt;Assumptions!$B$10,"Bear","Bull"))</f>
        <v>Bear</v>
      </c>
      <c r="H28" s="8" t="n">
        <f aca="true">IF(B28="Bull",NORMINV(RAND(),Assumptions!$B$5,Assumptions!$B$6),NORMINV(RAND(),Assumptions!$B$8,Assumptions!$B$9))</f>
        <v>0.127649569743182</v>
      </c>
      <c r="I28" s="8" t="n">
        <f aca="true">IF(C28="Bull",NORMINV(RAND(),Assumptions!$B$5,Assumptions!$B$6),NORMINV(RAND(),Assumptions!$B$8,Assumptions!$B$9))</f>
        <v>0.251290476132601</v>
      </c>
      <c r="J28" s="8" t="n">
        <f aca="true">IF(D28="Bull",NORMINV(RAND(),Assumptions!$B$5,Assumptions!$B$6),NORMINV(RAND(),Assumptions!$B$8,Assumptions!$B$9))</f>
        <v>-0.416564006579877</v>
      </c>
      <c r="K28" s="8" t="n">
        <f aca="true">IF(E28="Bull",NORMINV(RAND(),Assumptions!$B$5,Assumptions!$B$6),NORMINV(RAND(),Assumptions!$B$8,Assumptions!$B$9))</f>
        <v>-0.242513016761472</v>
      </c>
      <c r="L28" s="8" t="n">
        <f aca="true">IF(F28="Bull",NORMINV(RAND(),Assumptions!$B$5,Assumptions!$B$6),NORMINV(RAND(),Assumptions!$B$8,Assumptions!$B$9))</f>
        <v>-0.195968245518172</v>
      </c>
      <c r="M28" s="8" t="n">
        <f aca="true">IF(G28="Bull",NORMINV(RAND(),Assumptions!$B$5,Assumptions!$B$6),NORMINV(RAND(),Assumptions!$B$8,Assumptions!$B$9))</f>
        <v>-0.299284059229359</v>
      </c>
      <c r="N28" s="8" t="n">
        <f aca="true">NORMINV(RAND(),Assumptions!$B$14,Assumptions!$B$15)</f>
        <v>0.0730176437551356</v>
      </c>
      <c r="O28" s="8" t="n">
        <f aca="true">NORMINV(RAND(),Assumptions!$B$14,Assumptions!$B$15)</f>
        <v>0.11864310578819</v>
      </c>
      <c r="P28" s="8" t="n">
        <f aca="true">NORMINV(RAND(),Assumptions!$B$14,Assumptions!$B$15)</f>
        <v>0.0703883812628147</v>
      </c>
      <c r="Q28" s="8" t="n">
        <f aca="true">NORMINV(RAND(),Assumptions!$B$14,Assumptions!$B$15)</f>
        <v>0.0487044310433481</v>
      </c>
      <c r="R28" s="8" t="n">
        <f aca="true">NORMINV(RAND(),Assumptions!$B$14,Assumptions!$B$15)</f>
        <v>0.0341836974757093</v>
      </c>
      <c r="S28" s="8" t="n">
        <f aca="true">NORMINV(RAND(),Assumptions!$B$14,Assumptions!$B$15)</f>
        <v>0.0720813560349014</v>
      </c>
      <c r="T28" s="8" t="n">
        <f aca="false">Assumptions!$B$19*H28+(1-Assumptions!$B$19)*N28</f>
        <v>0.127649569743182</v>
      </c>
      <c r="U28" s="8" t="n">
        <f aca="false">Assumptions!$B$20*I28+(1-Assumptions!$B$20)*O28</f>
        <v>0.251290476132601</v>
      </c>
      <c r="V28" s="8" t="n">
        <f aca="false">Assumptions!$B$21*J28+(1-Assumptions!$B$21)*P28</f>
        <v>-0.416564006579877</v>
      </c>
      <c r="W28" s="8" t="n">
        <f aca="false">Assumptions!$B$22*K28+(1-Assumptions!$B$22)*Q28</f>
        <v>-0.242513016761472</v>
      </c>
      <c r="X28" s="8" t="n">
        <f aca="false">Assumptions!$B$23*L28+(1-Assumptions!$B$23)*R28</f>
        <v>-0.149937856919396</v>
      </c>
      <c r="Y28" s="8" t="n">
        <f aca="false">Assumptions!$B$24*M28+(1-Assumptions!$B$24)*S28</f>
        <v>-0.150737893123655</v>
      </c>
      <c r="Z28" s="6" t="n">
        <f aca="false">Assumptions!$B$27*(1+T28)</f>
        <v>338294.870922955</v>
      </c>
      <c r="AA28" s="6" t="n">
        <f aca="false">(Z28+Assumptions!$B$28)*(1+U28)</f>
        <v>610998.721530291</v>
      </c>
      <c r="AB28" s="6" t="n">
        <f aca="false">AA28*(1+V28)</f>
        <v>356478.646074451</v>
      </c>
      <c r="AC28" s="6" t="n">
        <f aca="false">AB28*(1+W28)</f>
        <v>270027.934203891</v>
      </c>
      <c r="AD28" s="6" t="n">
        <f aca="false">AC28*(1+X28)</f>
        <v>229540.524440988</v>
      </c>
      <c r="AE28" s="6" t="n">
        <f aca="false">AD28*(1+Y28)</f>
        <v>194940.069400254</v>
      </c>
      <c r="AF28" s="6" t="n">
        <f aca="false">Z28</f>
        <v>338294.870922955</v>
      </c>
      <c r="AG28" s="6" t="n">
        <f aca="false">MAX(AF28,AA28)</f>
        <v>610998.721530291</v>
      </c>
      <c r="AH28" s="6" t="n">
        <f aca="false">MAX(AG28,AB28)</f>
        <v>610998.721530291</v>
      </c>
      <c r="AI28" s="6" t="n">
        <f aca="false">MAX(AH28,AC28)</f>
        <v>610998.721530291</v>
      </c>
      <c r="AJ28" s="6" t="n">
        <f aca="false">MAX(AI28,AD28)</f>
        <v>610998.721530291</v>
      </c>
      <c r="AK28" s="6" t="n">
        <f aca="false">MAX(AJ28,AE28)</f>
        <v>610998.721530291</v>
      </c>
      <c r="AL28" s="8" t="n">
        <f aca="false">MIN(Z28/AF28-1,AA28/AG28-1,AB28/AH28-1,AC28/AI28-1,AD28/AJ28-1,AE28/AK28-1)</f>
        <v>-0.680948482327405</v>
      </c>
      <c r="AM28" s="6" t="n">
        <f aca="false">AE28-Assumptions!$B$35</f>
        <v>-246323.927262249</v>
      </c>
    </row>
    <row r="29" customFormat="false" ht="15" hidden="false" customHeight="false" outlineLevel="0" collapsed="false">
      <c r="A29" s="0" t="n">
        <f aca="false">ROW()-1</f>
        <v>28</v>
      </c>
      <c r="B29" s="0" t="str">
        <f aca="true">IF(RAND()&lt;Assumptions!$B$11,"Bull","Bear")</f>
        <v>Bull</v>
      </c>
      <c r="C29" s="0" t="str">
        <f aca="true">IF(B29="Bull",IF(RAND()&lt;Assumptions!$B$7,"Bull","Bear"),IF(RAND()&lt;Assumptions!$B$10,"Bear","Bull"))</f>
        <v>Bull</v>
      </c>
      <c r="D29" s="0" t="str">
        <f aca="true">IF(C29="Bull",IF(RAND()&lt;Assumptions!$B$7,"Bull","Bear"),IF(RAND()&lt;Assumptions!$B$10,"Bear","Bull"))</f>
        <v>Bull</v>
      </c>
      <c r="E29" s="0" t="str">
        <f aca="true">IF(D29="Bull",IF(RAND()&lt;Assumptions!$B$7,"Bull","Bear"),IF(RAND()&lt;Assumptions!$B$10,"Bear","Bull"))</f>
        <v>Bear</v>
      </c>
      <c r="F29" s="0" t="str">
        <f aca="true">IF(E29="Bull",IF(RAND()&lt;Assumptions!$B$7,"Bull","Bear"),IF(RAND()&lt;Assumptions!$B$10,"Bear","Bull"))</f>
        <v>Bull</v>
      </c>
      <c r="G29" s="0" t="str">
        <f aca="true">IF(F29="Bull",IF(RAND()&lt;Assumptions!$B$7,"Bull","Bear"),IF(RAND()&lt;Assumptions!$B$10,"Bear","Bull"))</f>
        <v>Bear</v>
      </c>
      <c r="H29" s="8" t="n">
        <f aca="true">IF(B29="Bull",NORMINV(RAND(),Assumptions!$B$5,Assumptions!$B$6),NORMINV(RAND(),Assumptions!$B$8,Assumptions!$B$9))</f>
        <v>0.218846377062459</v>
      </c>
      <c r="I29" s="8" t="n">
        <f aca="true">IF(C29="Bull",NORMINV(RAND(),Assumptions!$B$5,Assumptions!$B$6),NORMINV(RAND(),Assumptions!$B$8,Assumptions!$B$9))</f>
        <v>0.21085257695362</v>
      </c>
      <c r="J29" s="8" t="n">
        <f aca="true">IF(D29="Bull",NORMINV(RAND(),Assumptions!$B$5,Assumptions!$B$6),NORMINV(RAND(),Assumptions!$B$8,Assumptions!$B$9))</f>
        <v>0.210786172098014</v>
      </c>
      <c r="K29" s="8" t="n">
        <f aca="true">IF(E29="Bull",NORMINV(RAND(),Assumptions!$B$5,Assumptions!$B$6),NORMINV(RAND(),Assumptions!$B$8,Assumptions!$B$9))</f>
        <v>-0.552914852307917</v>
      </c>
      <c r="L29" s="8" t="n">
        <f aca="true">IF(F29="Bull",NORMINV(RAND(),Assumptions!$B$5,Assumptions!$B$6),NORMINV(RAND(),Assumptions!$B$8,Assumptions!$B$9))</f>
        <v>0.145417632764658</v>
      </c>
      <c r="M29" s="8" t="n">
        <f aca="true">IF(G29="Bull",NORMINV(RAND(),Assumptions!$B$5,Assumptions!$B$6),NORMINV(RAND(),Assumptions!$B$8,Assumptions!$B$9))</f>
        <v>-0.236392219614033</v>
      </c>
      <c r="N29" s="8" t="n">
        <f aca="true">NORMINV(RAND(),Assumptions!$B$14,Assumptions!$B$15)</f>
        <v>-0.00105066144945921</v>
      </c>
      <c r="O29" s="8" t="n">
        <f aca="true">NORMINV(RAND(),Assumptions!$B$14,Assumptions!$B$15)</f>
        <v>0.0594493017140749</v>
      </c>
      <c r="P29" s="8" t="n">
        <f aca="true">NORMINV(RAND(),Assumptions!$B$14,Assumptions!$B$15)</f>
        <v>-0.0135975814530566</v>
      </c>
      <c r="Q29" s="8" t="n">
        <f aca="true">NORMINV(RAND(),Assumptions!$B$14,Assumptions!$B$15)</f>
        <v>0.0198334225686841</v>
      </c>
      <c r="R29" s="8" t="n">
        <f aca="true">NORMINV(RAND(),Assumptions!$B$14,Assumptions!$B$15)</f>
        <v>0.0288251317139816</v>
      </c>
      <c r="S29" s="8" t="n">
        <f aca="true">NORMINV(RAND(),Assumptions!$B$14,Assumptions!$B$15)</f>
        <v>0.070426021954168</v>
      </c>
      <c r="T29" s="8" t="n">
        <f aca="false">Assumptions!$B$19*H29+(1-Assumptions!$B$19)*N29</f>
        <v>0.218846377062459</v>
      </c>
      <c r="U29" s="8" t="n">
        <f aca="false">Assumptions!$B$20*I29+(1-Assumptions!$B$20)*O29</f>
        <v>0.21085257695362</v>
      </c>
      <c r="V29" s="8" t="n">
        <f aca="false">Assumptions!$B$21*J29+(1-Assumptions!$B$21)*P29</f>
        <v>0.210786172098014</v>
      </c>
      <c r="W29" s="8" t="n">
        <f aca="false">Assumptions!$B$22*K29+(1-Assumptions!$B$22)*Q29</f>
        <v>-0.552914852307917</v>
      </c>
      <c r="X29" s="8" t="n">
        <f aca="false">Assumptions!$B$23*L29+(1-Assumptions!$B$23)*R29</f>
        <v>0.122099132554523</v>
      </c>
      <c r="Y29" s="8" t="n">
        <f aca="false">Assumptions!$B$24*M29+(1-Assumptions!$B$24)*S29</f>
        <v>-0.113664922986753</v>
      </c>
      <c r="Z29" s="6" t="n">
        <f aca="false">Assumptions!$B$27*(1+T29)</f>
        <v>365653.913118738</v>
      </c>
      <c r="AA29" s="6" t="n">
        <f aca="false">(Z29+Assumptions!$B$28)*(1+U29)</f>
        <v>624380.869516042</v>
      </c>
      <c r="AB29" s="6" t="n">
        <f aca="false">AA29*(1+V29)</f>
        <v>755991.722932558</v>
      </c>
      <c r="AC29" s="6" t="n">
        <f aca="false">AB29*(1+W29)</f>
        <v>337992.671101295</v>
      </c>
      <c r="AD29" s="6" t="n">
        <f aca="false">AC29*(1+X29)</f>
        <v>379261.283052549</v>
      </c>
      <c r="AE29" s="6" t="n">
        <f aca="false">AD29*(1+Y29)</f>
        <v>336152.578522524</v>
      </c>
      <c r="AF29" s="6" t="n">
        <f aca="false">Z29</f>
        <v>365653.913118738</v>
      </c>
      <c r="AG29" s="6" t="n">
        <f aca="false">MAX(AF29,AA29)</f>
        <v>624380.869516042</v>
      </c>
      <c r="AH29" s="6" t="n">
        <f aca="false">MAX(AG29,AB29)</f>
        <v>755991.722932558</v>
      </c>
      <c r="AI29" s="6" t="n">
        <f aca="false">MAX(AH29,AC29)</f>
        <v>755991.722932558</v>
      </c>
      <c r="AJ29" s="6" t="n">
        <f aca="false">MAX(AI29,AD29)</f>
        <v>755991.722932558</v>
      </c>
      <c r="AK29" s="6" t="n">
        <f aca="false">MAX(AJ29,AE29)</f>
        <v>755991.722932558</v>
      </c>
      <c r="AL29" s="8" t="n">
        <f aca="false">MIN(Z29/AF29-1,AA29/AG29-1,AB29/AH29-1,AC29/AI29-1,AD29/AJ29-1,AE29/AK29-1)</f>
        <v>-0.555348863849251</v>
      </c>
      <c r="AM29" s="6" t="n">
        <f aca="false">AE29-Assumptions!$B$35</f>
        <v>-105111.41813998</v>
      </c>
    </row>
    <row r="30" customFormat="false" ht="15" hidden="false" customHeight="false" outlineLevel="0" collapsed="false">
      <c r="A30" s="0" t="n">
        <f aca="false">ROW()-1</f>
        <v>29</v>
      </c>
      <c r="B30" s="0" t="str">
        <f aca="true">IF(RAND()&lt;Assumptions!$B$11,"Bull","Bear")</f>
        <v>Bull</v>
      </c>
      <c r="C30" s="0" t="str">
        <f aca="true">IF(B30="Bull",IF(RAND()&lt;Assumptions!$B$7,"Bull","Bear"),IF(RAND()&lt;Assumptions!$B$10,"Bear","Bull"))</f>
        <v>Bull</v>
      </c>
      <c r="D30" s="0" t="str">
        <f aca="true">IF(C30="Bull",IF(RAND()&lt;Assumptions!$B$7,"Bull","Bear"),IF(RAND()&lt;Assumptions!$B$10,"Bear","Bull"))</f>
        <v>Bull</v>
      </c>
      <c r="E30" s="0" t="str">
        <f aca="true">IF(D30="Bull",IF(RAND()&lt;Assumptions!$B$7,"Bull","Bear"),IF(RAND()&lt;Assumptions!$B$10,"Bear","Bull"))</f>
        <v>Bear</v>
      </c>
      <c r="F30" s="0" t="str">
        <f aca="true">IF(E30="Bull",IF(RAND()&lt;Assumptions!$B$7,"Bull","Bear"),IF(RAND()&lt;Assumptions!$B$10,"Bear","Bull"))</f>
        <v>Bull</v>
      </c>
      <c r="G30" s="0" t="str">
        <f aca="true">IF(F30="Bull",IF(RAND()&lt;Assumptions!$B$7,"Bull","Bear"),IF(RAND()&lt;Assumptions!$B$10,"Bear","Bull"))</f>
        <v>Bull</v>
      </c>
      <c r="H30" s="8" t="n">
        <f aca="true">IF(B30="Bull",NORMINV(RAND(),Assumptions!$B$5,Assumptions!$B$6),NORMINV(RAND(),Assumptions!$B$8,Assumptions!$B$9))</f>
        <v>0.0760165862733216</v>
      </c>
      <c r="I30" s="8" t="n">
        <f aca="true">IF(C30="Bull",NORMINV(RAND(),Assumptions!$B$5,Assumptions!$B$6),NORMINV(RAND(),Assumptions!$B$8,Assumptions!$B$9))</f>
        <v>0.0390623843448744</v>
      </c>
      <c r="J30" s="8" t="n">
        <f aca="true">IF(D30="Bull",NORMINV(RAND(),Assumptions!$B$5,Assumptions!$B$6),NORMINV(RAND(),Assumptions!$B$8,Assumptions!$B$9))</f>
        <v>0.130810185182846</v>
      </c>
      <c r="K30" s="8" t="n">
        <f aca="true">IF(E30="Bull",NORMINV(RAND(),Assumptions!$B$5,Assumptions!$B$6),NORMINV(RAND(),Assumptions!$B$8,Assumptions!$B$9))</f>
        <v>-0.0361944473147067</v>
      </c>
      <c r="L30" s="8" t="n">
        <f aca="true">IF(F30="Bull",NORMINV(RAND(),Assumptions!$B$5,Assumptions!$B$6),NORMINV(RAND(),Assumptions!$B$8,Assumptions!$B$9))</f>
        <v>0.208869559345409</v>
      </c>
      <c r="M30" s="8" t="n">
        <f aca="true">IF(G30="Bull",NORMINV(RAND(),Assumptions!$B$5,Assumptions!$B$6),NORMINV(RAND(),Assumptions!$B$8,Assumptions!$B$9))</f>
        <v>0.0780413300017208</v>
      </c>
      <c r="N30" s="8" t="n">
        <f aca="true">NORMINV(RAND(),Assumptions!$B$14,Assumptions!$B$15)</f>
        <v>0.0478456955465473</v>
      </c>
      <c r="O30" s="8" t="n">
        <f aca="true">NORMINV(RAND(),Assumptions!$B$14,Assumptions!$B$15)</f>
        <v>0.0486531619747725</v>
      </c>
      <c r="P30" s="8" t="n">
        <f aca="true">NORMINV(RAND(),Assumptions!$B$14,Assumptions!$B$15)</f>
        <v>0.0606066588662774</v>
      </c>
      <c r="Q30" s="8" t="n">
        <f aca="true">NORMINV(RAND(),Assumptions!$B$14,Assumptions!$B$15)</f>
        <v>0.0795007486375081</v>
      </c>
      <c r="R30" s="8" t="n">
        <f aca="true">NORMINV(RAND(),Assumptions!$B$14,Assumptions!$B$15)</f>
        <v>0.0828191375368641</v>
      </c>
      <c r="S30" s="8" t="n">
        <f aca="true">NORMINV(RAND(),Assumptions!$B$14,Assumptions!$B$15)</f>
        <v>0.0470404985327816</v>
      </c>
      <c r="T30" s="8" t="n">
        <f aca="false">Assumptions!$B$19*H30+(1-Assumptions!$B$19)*N30</f>
        <v>0.0760165862733216</v>
      </c>
      <c r="U30" s="8" t="n">
        <f aca="false">Assumptions!$B$20*I30+(1-Assumptions!$B$20)*O30</f>
        <v>0.0390623843448744</v>
      </c>
      <c r="V30" s="8" t="n">
        <f aca="false">Assumptions!$B$21*J30+(1-Assumptions!$B$21)*P30</f>
        <v>0.130810185182846</v>
      </c>
      <c r="W30" s="8" t="n">
        <f aca="false">Assumptions!$B$22*K30+(1-Assumptions!$B$22)*Q30</f>
        <v>-0.0361944473147067</v>
      </c>
      <c r="X30" s="8" t="n">
        <f aca="false">Assumptions!$B$23*L30+(1-Assumptions!$B$23)*R30</f>
        <v>0.1836594749837</v>
      </c>
      <c r="Y30" s="8" t="n">
        <f aca="false">Assumptions!$B$24*M30+(1-Assumptions!$B$24)*S30</f>
        <v>0.0656409974141451</v>
      </c>
      <c r="Z30" s="6" t="n">
        <f aca="false">Assumptions!$B$27*(1+T30)</f>
        <v>322804.975881996</v>
      </c>
      <c r="AA30" s="6" t="n">
        <f aca="false">(Z30+Assumptions!$B$28)*(1+U30)</f>
        <v>491273.865570068</v>
      </c>
      <c r="AB30" s="6" t="n">
        <f aca="false">AA30*(1+V30)</f>
        <v>555537.490900781</v>
      </c>
      <c r="AC30" s="6" t="n">
        <f aca="false">AB30*(1+W30)</f>
        <v>535430.118455029</v>
      </c>
      <c r="AD30" s="6" t="n">
        <f aca="false">AC30*(1+X30)</f>
        <v>633766.93290094</v>
      </c>
      <c r="AE30" s="6" t="n">
        <f aca="false">AD30*(1+Y30)</f>
        <v>675368.026504661</v>
      </c>
      <c r="AF30" s="6" t="n">
        <f aca="false">Z30</f>
        <v>322804.975881996</v>
      </c>
      <c r="AG30" s="6" t="n">
        <f aca="false">MAX(AF30,AA30)</f>
        <v>491273.865570068</v>
      </c>
      <c r="AH30" s="6" t="n">
        <f aca="false">MAX(AG30,AB30)</f>
        <v>555537.490900781</v>
      </c>
      <c r="AI30" s="6" t="n">
        <f aca="false">MAX(AH30,AC30)</f>
        <v>555537.490900781</v>
      </c>
      <c r="AJ30" s="6" t="n">
        <f aca="false">MAX(AI30,AD30)</f>
        <v>633766.93290094</v>
      </c>
      <c r="AK30" s="6" t="n">
        <f aca="false">MAX(AJ30,AE30)</f>
        <v>675368.026504661</v>
      </c>
      <c r="AL30" s="8" t="n">
        <f aca="false">MIN(Z30/AF30-1,AA30/AG30-1,AB30/AH30-1,AC30/AI30-1,AD30/AJ30-1,AE30/AK30-1)</f>
        <v>-0.0361944473147066</v>
      </c>
      <c r="AM30" s="6" t="n">
        <f aca="false">AE30-Assumptions!$B$35</f>
        <v>234104.029842158</v>
      </c>
    </row>
    <row r="31" customFormat="false" ht="15" hidden="false" customHeight="false" outlineLevel="0" collapsed="false">
      <c r="A31" s="0" t="n">
        <f aca="false">ROW()-1</f>
        <v>30</v>
      </c>
      <c r="B31" s="0" t="str">
        <f aca="true">IF(RAND()&lt;Assumptions!$B$11,"Bull","Bear")</f>
        <v>Bull</v>
      </c>
      <c r="C31" s="0" t="str">
        <f aca="true">IF(B31="Bull",IF(RAND()&lt;Assumptions!$B$7,"Bull","Bear"),IF(RAND()&lt;Assumptions!$B$10,"Bear","Bull"))</f>
        <v>Bull</v>
      </c>
      <c r="D31" s="0" t="str">
        <f aca="true">IF(C31="Bull",IF(RAND()&lt;Assumptions!$B$7,"Bull","Bear"),IF(RAND()&lt;Assumptions!$B$10,"Bear","Bull"))</f>
        <v>Bull</v>
      </c>
      <c r="E31" s="0" t="str">
        <f aca="true">IF(D31="Bull",IF(RAND()&lt;Assumptions!$B$7,"Bull","Bear"),IF(RAND()&lt;Assumptions!$B$10,"Bear","Bull"))</f>
        <v>Bull</v>
      </c>
      <c r="F31" s="0" t="str">
        <f aca="true">IF(E31="Bull",IF(RAND()&lt;Assumptions!$B$7,"Bull","Bear"),IF(RAND()&lt;Assumptions!$B$10,"Bear","Bull"))</f>
        <v>Bull</v>
      </c>
      <c r="G31" s="0" t="str">
        <f aca="true">IF(F31="Bull",IF(RAND()&lt;Assumptions!$B$7,"Bull","Bear"),IF(RAND()&lt;Assumptions!$B$10,"Bear","Bull"))</f>
        <v>Bear</v>
      </c>
      <c r="H31" s="8" t="n">
        <f aca="true">IF(B31="Bull",NORMINV(RAND(),Assumptions!$B$5,Assumptions!$B$6),NORMINV(RAND(),Assumptions!$B$8,Assumptions!$B$9))</f>
        <v>0.126466836528659</v>
      </c>
      <c r="I31" s="8" t="n">
        <f aca="true">IF(C31="Bull",NORMINV(RAND(),Assumptions!$B$5,Assumptions!$B$6),NORMINV(RAND(),Assumptions!$B$8,Assumptions!$B$9))</f>
        <v>0.145566936031438</v>
      </c>
      <c r="J31" s="8" t="n">
        <f aca="true">IF(D31="Bull",NORMINV(RAND(),Assumptions!$B$5,Assumptions!$B$6),NORMINV(RAND(),Assumptions!$B$8,Assumptions!$B$9))</f>
        <v>0.18024718064356</v>
      </c>
      <c r="K31" s="8" t="n">
        <f aca="true">IF(E31="Bull",NORMINV(RAND(),Assumptions!$B$5,Assumptions!$B$6),NORMINV(RAND(),Assumptions!$B$8,Assumptions!$B$9))</f>
        <v>0.0402074289263066</v>
      </c>
      <c r="L31" s="8" t="n">
        <f aca="true">IF(F31="Bull",NORMINV(RAND(),Assumptions!$B$5,Assumptions!$B$6),NORMINV(RAND(),Assumptions!$B$8,Assumptions!$B$9))</f>
        <v>0.201211716608965</v>
      </c>
      <c r="M31" s="8" t="n">
        <f aca="true">IF(G31="Bull",NORMINV(RAND(),Assumptions!$B$5,Assumptions!$B$6),NORMINV(RAND(),Assumptions!$B$8,Assumptions!$B$9))</f>
        <v>-0.244445237739597</v>
      </c>
      <c r="N31" s="8" t="n">
        <f aca="true">NORMINV(RAND(),Assumptions!$B$14,Assumptions!$B$15)</f>
        <v>0.0378380249940861</v>
      </c>
      <c r="O31" s="8" t="n">
        <f aca="true">NORMINV(RAND(),Assumptions!$B$14,Assumptions!$B$15)</f>
        <v>0.070920977272258</v>
      </c>
      <c r="P31" s="8" t="n">
        <f aca="true">NORMINV(RAND(),Assumptions!$B$14,Assumptions!$B$15)</f>
        <v>-0.0139453724930624</v>
      </c>
      <c r="Q31" s="8" t="n">
        <f aca="true">NORMINV(RAND(),Assumptions!$B$14,Assumptions!$B$15)</f>
        <v>0.0581982479398027</v>
      </c>
      <c r="R31" s="8" t="n">
        <f aca="true">NORMINV(RAND(),Assumptions!$B$14,Assumptions!$B$15)</f>
        <v>0.0166778281580224</v>
      </c>
      <c r="S31" s="8" t="n">
        <f aca="true">NORMINV(RAND(),Assumptions!$B$14,Assumptions!$B$15)</f>
        <v>0.0577718474886072</v>
      </c>
      <c r="T31" s="8" t="n">
        <f aca="false">Assumptions!$B$19*H31+(1-Assumptions!$B$19)*N31</f>
        <v>0.126466836528659</v>
      </c>
      <c r="U31" s="8" t="n">
        <f aca="false">Assumptions!$B$20*I31+(1-Assumptions!$B$20)*O31</f>
        <v>0.145566936031438</v>
      </c>
      <c r="V31" s="8" t="n">
        <f aca="false">Assumptions!$B$21*J31+(1-Assumptions!$B$21)*P31</f>
        <v>0.18024718064356</v>
      </c>
      <c r="W31" s="8" t="n">
        <f aca="false">Assumptions!$B$22*K31+(1-Assumptions!$B$22)*Q31</f>
        <v>0.0402074289263066</v>
      </c>
      <c r="X31" s="8" t="n">
        <f aca="false">Assumptions!$B$23*L31+(1-Assumptions!$B$23)*R31</f>
        <v>0.164304938918776</v>
      </c>
      <c r="Y31" s="8" t="n">
        <f aca="false">Assumptions!$B$24*M31+(1-Assumptions!$B$24)*S31</f>
        <v>-0.123558403648316</v>
      </c>
      <c r="Z31" s="6" t="n">
        <f aca="false">Assumptions!$B$27*(1+T31)</f>
        <v>337940.050958598</v>
      </c>
      <c r="AA31" s="6" t="n">
        <f aca="false">(Z31+Assumptions!$B$28)*(1+U31)</f>
        <v>558967.989143664</v>
      </c>
      <c r="AB31" s="6" t="n">
        <f aca="false">AA31*(1+V31)</f>
        <v>659720.39325681</v>
      </c>
      <c r="AC31" s="6" t="n">
        <f aca="false">AB31*(1+W31)</f>
        <v>686246.054079918</v>
      </c>
      <c r="AD31" s="6" t="n">
        <f aca="false">AC31*(1+X31)</f>
        <v>798999.67007877</v>
      </c>
      <c r="AE31" s="6" t="n">
        <f aca="false">AD31*(1+Y31)</f>
        <v>700276.546328307</v>
      </c>
      <c r="AF31" s="6" t="n">
        <f aca="false">Z31</f>
        <v>337940.050958598</v>
      </c>
      <c r="AG31" s="6" t="n">
        <f aca="false">MAX(AF31,AA31)</f>
        <v>558967.989143664</v>
      </c>
      <c r="AH31" s="6" t="n">
        <f aca="false">MAX(AG31,AB31)</f>
        <v>659720.39325681</v>
      </c>
      <c r="AI31" s="6" t="n">
        <f aca="false">MAX(AH31,AC31)</f>
        <v>686246.054079918</v>
      </c>
      <c r="AJ31" s="6" t="n">
        <f aca="false">MAX(AI31,AD31)</f>
        <v>798999.67007877</v>
      </c>
      <c r="AK31" s="6" t="n">
        <f aca="false">MAX(AJ31,AE31)</f>
        <v>798999.67007877</v>
      </c>
      <c r="AL31" s="8" t="n">
        <f aca="false">MIN(Z31/AF31-1,AA31/AG31-1,AB31/AH31-1,AC31/AI31-1,AD31/AJ31-1,AE31/AK31-1)</f>
        <v>-0.123558403648316</v>
      </c>
      <c r="AM31" s="6" t="n">
        <f aca="false">AE31-Assumptions!$B$35</f>
        <v>259012.549665803</v>
      </c>
    </row>
    <row r="32" customFormat="false" ht="15" hidden="false" customHeight="false" outlineLevel="0" collapsed="false">
      <c r="A32" s="0" t="n">
        <f aca="false">ROW()-1</f>
        <v>31</v>
      </c>
      <c r="B32" s="0" t="str">
        <f aca="true">IF(RAND()&lt;Assumptions!$B$11,"Bull","Bear")</f>
        <v>Bear</v>
      </c>
      <c r="C32" s="0" t="str">
        <f aca="true">IF(B32="Bull",IF(RAND()&lt;Assumptions!$B$7,"Bull","Bear"),IF(RAND()&lt;Assumptions!$B$10,"Bear","Bull"))</f>
        <v>Bear</v>
      </c>
      <c r="D32" s="0" t="str">
        <f aca="true">IF(C32="Bull",IF(RAND()&lt;Assumptions!$B$7,"Bull","Bear"),IF(RAND()&lt;Assumptions!$B$10,"Bear","Bull"))</f>
        <v>Bear</v>
      </c>
      <c r="E32" s="0" t="str">
        <f aca="true">IF(D32="Bull",IF(RAND()&lt;Assumptions!$B$7,"Bull","Bear"),IF(RAND()&lt;Assumptions!$B$10,"Bear","Bull"))</f>
        <v>Bear</v>
      </c>
      <c r="F32" s="0" t="str">
        <f aca="true">IF(E32="Bull",IF(RAND()&lt;Assumptions!$B$7,"Bull","Bear"),IF(RAND()&lt;Assumptions!$B$10,"Bear","Bull"))</f>
        <v>Bull</v>
      </c>
      <c r="G32" s="0" t="str">
        <f aca="true">IF(F32="Bull",IF(RAND()&lt;Assumptions!$B$7,"Bull","Bear"),IF(RAND()&lt;Assumptions!$B$10,"Bear","Bull"))</f>
        <v>Bear</v>
      </c>
      <c r="H32" s="8" t="n">
        <f aca="true">IF(B32="Bull",NORMINV(RAND(),Assumptions!$B$5,Assumptions!$B$6),NORMINV(RAND(),Assumptions!$B$8,Assumptions!$B$9))</f>
        <v>0.034802352190006</v>
      </c>
      <c r="I32" s="8" t="n">
        <f aca="true">IF(C32="Bull",NORMINV(RAND(),Assumptions!$B$5,Assumptions!$B$6),NORMINV(RAND(),Assumptions!$B$8,Assumptions!$B$9))</f>
        <v>0.0337044926996103</v>
      </c>
      <c r="J32" s="8" t="n">
        <f aca="true">IF(D32="Bull",NORMINV(RAND(),Assumptions!$B$5,Assumptions!$B$6),NORMINV(RAND(),Assumptions!$B$8,Assumptions!$B$9))</f>
        <v>-0.165082098871053</v>
      </c>
      <c r="K32" s="8" t="n">
        <f aca="true">IF(E32="Bull",NORMINV(RAND(),Assumptions!$B$5,Assumptions!$B$6),NORMINV(RAND(),Assumptions!$B$8,Assumptions!$B$9))</f>
        <v>-0.136489758383118</v>
      </c>
      <c r="L32" s="8" t="n">
        <f aca="true">IF(F32="Bull",NORMINV(RAND(),Assumptions!$B$5,Assumptions!$B$6),NORMINV(RAND(),Assumptions!$B$8,Assumptions!$B$9))</f>
        <v>0.128800839358295</v>
      </c>
      <c r="M32" s="8" t="n">
        <f aca="true">IF(G32="Bull",NORMINV(RAND(),Assumptions!$B$5,Assumptions!$B$6),NORMINV(RAND(),Assumptions!$B$8,Assumptions!$B$9))</f>
        <v>0.224008988927483</v>
      </c>
      <c r="N32" s="8" t="n">
        <f aca="true">NORMINV(RAND(),Assumptions!$B$14,Assumptions!$B$15)</f>
        <v>0.0594681083045678</v>
      </c>
      <c r="O32" s="8" t="n">
        <f aca="true">NORMINV(RAND(),Assumptions!$B$14,Assumptions!$B$15)</f>
        <v>0.0694516003368243</v>
      </c>
      <c r="P32" s="8" t="n">
        <f aca="true">NORMINV(RAND(),Assumptions!$B$14,Assumptions!$B$15)</f>
        <v>0.0784271991082764</v>
      </c>
      <c r="Q32" s="8" t="n">
        <f aca="true">NORMINV(RAND(),Assumptions!$B$14,Assumptions!$B$15)</f>
        <v>0.0254283037731487</v>
      </c>
      <c r="R32" s="8" t="n">
        <f aca="true">NORMINV(RAND(),Assumptions!$B$14,Assumptions!$B$15)</f>
        <v>0.0148203888128555</v>
      </c>
      <c r="S32" s="8" t="n">
        <f aca="true">NORMINV(RAND(),Assumptions!$B$14,Assumptions!$B$15)</f>
        <v>0.0366093172614916</v>
      </c>
      <c r="T32" s="8" t="n">
        <f aca="false">Assumptions!$B$19*H32+(1-Assumptions!$B$19)*N32</f>
        <v>0.034802352190006</v>
      </c>
      <c r="U32" s="8" t="n">
        <f aca="false">Assumptions!$B$20*I32+(1-Assumptions!$B$20)*O32</f>
        <v>0.0337044926996103</v>
      </c>
      <c r="V32" s="8" t="n">
        <f aca="false">Assumptions!$B$21*J32+(1-Assumptions!$B$21)*P32</f>
        <v>-0.165082098871053</v>
      </c>
      <c r="W32" s="8" t="n">
        <f aca="false">Assumptions!$B$22*K32+(1-Assumptions!$B$22)*Q32</f>
        <v>-0.136489758383118</v>
      </c>
      <c r="X32" s="8" t="n">
        <f aca="false">Assumptions!$B$23*L32+(1-Assumptions!$B$23)*R32</f>
        <v>0.106004749249207</v>
      </c>
      <c r="Y32" s="8" t="n">
        <f aca="false">Assumptions!$B$24*M32+(1-Assumptions!$B$24)*S32</f>
        <v>0.149049120261086</v>
      </c>
      <c r="Z32" s="6" t="n">
        <f aca="false">Assumptions!$B$27*(1+T32)</f>
        <v>310440.705657002</v>
      </c>
      <c r="AA32" s="6" t="n">
        <f aca="false">(Z32+Assumptions!$B$28)*(1+U32)</f>
        <v>475959.626059422</v>
      </c>
      <c r="AB32" s="6" t="n">
        <f aca="false">AA32*(1+V32)</f>
        <v>397387.212011651</v>
      </c>
      <c r="AC32" s="6" t="n">
        <f aca="false">AB32*(1+W32)</f>
        <v>343147.92745964</v>
      </c>
      <c r="AD32" s="6" t="n">
        <f aca="false">AC32*(1+X32)</f>
        <v>379523.237465384</v>
      </c>
      <c r="AE32" s="6" t="n">
        <f aca="false">AD32*(1+Y32)</f>
        <v>436090.842128239</v>
      </c>
      <c r="AF32" s="6" t="n">
        <f aca="false">Z32</f>
        <v>310440.705657002</v>
      </c>
      <c r="AG32" s="6" t="n">
        <f aca="false">MAX(AF32,AA32)</f>
        <v>475959.626059422</v>
      </c>
      <c r="AH32" s="6" t="n">
        <f aca="false">MAX(AG32,AB32)</f>
        <v>475959.626059422</v>
      </c>
      <c r="AI32" s="6" t="n">
        <f aca="false">MAX(AH32,AC32)</f>
        <v>475959.626059422</v>
      </c>
      <c r="AJ32" s="6" t="n">
        <f aca="false">MAX(AI32,AD32)</f>
        <v>475959.626059422</v>
      </c>
      <c r="AK32" s="6" t="n">
        <f aca="false">MAX(AJ32,AE32)</f>
        <v>475959.626059422</v>
      </c>
      <c r="AL32" s="8" t="n">
        <f aca="false">MIN(Z32/AF32-1,AA32/AG32-1,AB32/AH32-1,AC32/AI32-1,AD32/AJ32-1,AE32/AK32-1)</f>
        <v>-0.279039841465883</v>
      </c>
      <c r="AM32" s="6" t="n">
        <f aca="false">AE32-Assumptions!$B$35</f>
        <v>-5173.15453426488</v>
      </c>
    </row>
    <row r="33" customFormat="false" ht="15" hidden="false" customHeight="false" outlineLevel="0" collapsed="false">
      <c r="A33" s="0" t="n">
        <f aca="false">ROW()-1</f>
        <v>32</v>
      </c>
      <c r="B33" s="0" t="str">
        <f aca="true">IF(RAND()&lt;Assumptions!$B$11,"Bull","Bear")</f>
        <v>Bull</v>
      </c>
      <c r="C33" s="0" t="str">
        <f aca="true">IF(B33="Bull",IF(RAND()&lt;Assumptions!$B$7,"Bull","Bear"),IF(RAND()&lt;Assumptions!$B$10,"Bear","Bull"))</f>
        <v>Bull</v>
      </c>
      <c r="D33" s="0" t="str">
        <f aca="true">IF(C33="Bull",IF(RAND()&lt;Assumptions!$B$7,"Bull","Bear"),IF(RAND()&lt;Assumptions!$B$10,"Bear","Bull"))</f>
        <v>Bull</v>
      </c>
      <c r="E33" s="0" t="str">
        <f aca="true">IF(D33="Bull",IF(RAND()&lt;Assumptions!$B$7,"Bull","Bear"),IF(RAND()&lt;Assumptions!$B$10,"Bear","Bull"))</f>
        <v>Bull</v>
      </c>
      <c r="F33" s="0" t="str">
        <f aca="true">IF(E33="Bull",IF(RAND()&lt;Assumptions!$B$7,"Bull","Bear"),IF(RAND()&lt;Assumptions!$B$10,"Bear","Bull"))</f>
        <v>Bull</v>
      </c>
      <c r="G33" s="0" t="str">
        <f aca="true">IF(F33="Bull",IF(RAND()&lt;Assumptions!$B$7,"Bull","Bear"),IF(RAND()&lt;Assumptions!$B$10,"Bear","Bull"))</f>
        <v>Bull</v>
      </c>
      <c r="H33" s="8" t="n">
        <f aca="true">IF(B33="Bull",NORMINV(RAND(),Assumptions!$B$5,Assumptions!$B$6),NORMINV(RAND(),Assumptions!$B$8,Assumptions!$B$9))</f>
        <v>0.154063828980884</v>
      </c>
      <c r="I33" s="8" t="n">
        <f aca="true">IF(C33="Bull",NORMINV(RAND(),Assumptions!$B$5,Assumptions!$B$6),NORMINV(RAND(),Assumptions!$B$8,Assumptions!$B$9))</f>
        <v>0.181255208455029</v>
      </c>
      <c r="J33" s="8" t="n">
        <f aca="true">IF(D33="Bull",NORMINV(RAND(),Assumptions!$B$5,Assumptions!$B$6),NORMINV(RAND(),Assumptions!$B$8,Assumptions!$B$9))</f>
        <v>0.171794965817587</v>
      </c>
      <c r="K33" s="8" t="n">
        <f aca="true">IF(E33="Bull",NORMINV(RAND(),Assumptions!$B$5,Assumptions!$B$6),NORMINV(RAND(),Assumptions!$B$8,Assumptions!$B$9))</f>
        <v>0.0603199453494327</v>
      </c>
      <c r="L33" s="8" t="n">
        <f aca="true">IF(F33="Bull",NORMINV(RAND(),Assumptions!$B$5,Assumptions!$B$6),NORMINV(RAND(),Assumptions!$B$8,Assumptions!$B$9))</f>
        <v>0.298319440067069</v>
      </c>
      <c r="M33" s="8" t="n">
        <f aca="true">IF(G33="Bull",NORMINV(RAND(),Assumptions!$B$5,Assumptions!$B$6),NORMINV(RAND(),Assumptions!$B$8,Assumptions!$B$9))</f>
        <v>0.113276174117568</v>
      </c>
      <c r="N33" s="8" t="n">
        <f aca="true">NORMINV(RAND(),Assumptions!$B$14,Assumptions!$B$15)</f>
        <v>0.0681666133532759</v>
      </c>
      <c r="O33" s="8" t="n">
        <f aca="true">NORMINV(RAND(),Assumptions!$B$14,Assumptions!$B$15)</f>
        <v>0.0426832026039703</v>
      </c>
      <c r="P33" s="8" t="n">
        <f aca="true">NORMINV(RAND(),Assumptions!$B$14,Assumptions!$B$15)</f>
        <v>0.0516450637095952</v>
      </c>
      <c r="Q33" s="8" t="n">
        <f aca="true">NORMINV(RAND(),Assumptions!$B$14,Assumptions!$B$15)</f>
        <v>0.00342109084710483</v>
      </c>
      <c r="R33" s="8" t="n">
        <f aca="true">NORMINV(RAND(),Assumptions!$B$14,Assumptions!$B$15)</f>
        <v>0.0209523060385435</v>
      </c>
      <c r="S33" s="8" t="n">
        <f aca="true">NORMINV(RAND(),Assumptions!$B$14,Assumptions!$B$15)</f>
        <v>0.0509247700351278</v>
      </c>
      <c r="T33" s="8" t="n">
        <f aca="false">Assumptions!$B$19*H33+(1-Assumptions!$B$19)*N33</f>
        <v>0.154063828980884</v>
      </c>
      <c r="U33" s="8" t="n">
        <f aca="false">Assumptions!$B$20*I33+(1-Assumptions!$B$20)*O33</f>
        <v>0.181255208455029</v>
      </c>
      <c r="V33" s="8" t="n">
        <f aca="false">Assumptions!$B$21*J33+(1-Assumptions!$B$21)*P33</f>
        <v>0.171794965817587</v>
      </c>
      <c r="W33" s="8" t="n">
        <f aca="false">Assumptions!$B$22*K33+(1-Assumptions!$B$22)*Q33</f>
        <v>0.0603199453494327</v>
      </c>
      <c r="X33" s="8" t="n">
        <f aca="false">Assumptions!$B$23*L33+(1-Assumptions!$B$23)*R33</f>
        <v>0.242846013261364</v>
      </c>
      <c r="Y33" s="8" t="n">
        <f aca="false">Assumptions!$B$24*M33+(1-Assumptions!$B$24)*S33</f>
        <v>0.0883356124845917</v>
      </c>
      <c r="Z33" s="6" t="n">
        <f aca="false">Assumptions!$B$27*(1+T33)</f>
        <v>346219.148694265</v>
      </c>
      <c r="AA33" s="6" t="n">
        <f aca="false">(Z33+Assumptions!$B$28)*(1+U33)</f>
        <v>586161.453930222</v>
      </c>
      <c r="AB33" s="6" t="n">
        <f aca="false">AA33*(1+V33)</f>
        <v>686861.040871751</v>
      </c>
      <c r="AC33" s="6" t="n">
        <f aca="false">AB33*(1+W33)</f>
        <v>728292.461319789</v>
      </c>
      <c r="AD33" s="6" t="n">
        <f aca="false">AC33*(1+X33)</f>
        <v>905155.382039606</v>
      </c>
      <c r="AE33" s="6" t="n">
        <f aca="false">AD33*(1+Y33)</f>
        <v>985112.8371058</v>
      </c>
      <c r="AF33" s="6" t="n">
        <f aca="false">Z33</f>
        <v>346219.148694265</v>
      </c>
      <c r="AG33" s="6" t="n">
        <f aca="false">MAX(AF33,AA33)</f>
        <v>586161.453930222</v>
      </c>
      <c r="AH33" s="6" t="n">
        <f aca="false">MAX(AG33,AB33)</f>
        <v>686861.040871751</v>
      </c>
      <c r="AI33" s="6" t="n">
        <f aca="false">MAX(AH33,AC33)</f>
        <v>728292.461319789</v>
      </c>
      <c r="AJ33" s="6" t="n">
        <f aca="false">MAX(AI33,AD33)</f>
        <v>905155.382039606</v>
      </c>
      <c r="AK33" s="6" t="n">
        <f aca="false">MAX(AJ33,AE33)</f>
        <v>985112.8371058</v>
      </c>
      <c r="AL33" s="8" t="n">
        <f aca="false">MIN(Z33/AF33-1,AA33/AG33-1,AB33/AH33-1,AC33/AI33-1,AD33/AJ33-1,AE33/AK33-1)</f>
        <v>0</v>
      </c>
      <c r="AM33" s="6" t="n">
        <f aca="false">AE33-Assumptions!$B$35</f>
        <v>543848.840443296</v>
      </c>
    </row>
    <row r="34" customFormat="false" ht="15" hidden="false" customHeight="false" outlineLevel="0" collapsed="false">
      <c r="A34" s="0" t="n">
        <f aca="false">ROW()-1</f>
        <v>33</v>
      </c>
      <c r="B34" s="0" t="str">
        <f aca="true">IF(RAND()&lt;Assumptions!$B$11,"Bull","Bear")</f>
        <v>Bear</v>
      </c>
      <c r="C34" s="0" t="str">
        <f aca="true">IF(B34="Bull",IF(RAND()&lt;Assumptions!$B$7,"Bull","Bear"),IF(RAND()&lt;Assumptions!$B$10,"Bear","Bull"))</f>
        <v>Bear</v>
      </c>
      <c r="D34" s="0" t="str">
        <f aca="true">IF(C34="Bull",IF(RAND()&lt;Assumptions!$B$7,"Bull","Bear"),IF(RAND()&lt;Assumptions!$B$10,"Bear","Bull"))</f>
        <v>Bear</v>
      </c>
      <c r="E34" s="0" t="str">
        <f aca="true">IF(D34="Bull",IF(RAND()&lt;Assumptions!$B$7,"Bull","Bear"),IF(RAND()&lt;Assumptions!$B$10,"Bear","Bull"))</f>
        <v>Bull</v>
      </c>
      <c r="F34" s="0" t="str">
        <f aca="true">IF(E34="Bull",IF(RAND()&lt;Assumptions!$B$7,"Bull","Bear"),IF(RAND()&lt;Assumptions!$B$10,"Bear","Bull"))</f>
        <v>Bull</v>
      </c>
      <c r="G34" s="0" t="str">
        <f aca="true">IF(F34="Bull",IF(RAND()&lt;Assumptions!$B$7,"Bull","Bear"),IF(RAND()&lt;Assumptions!$B$10,"Bear","Bull"))</f>
        <v>Bull</v>
      </c>
      <c r="H34" s="8" t="n">
        <f aca="true">IF(B34="Bull",NORMINV(RAND(),Assumptions!$B$5,Assumptions!$B$6),NORMINV(RAND(),Assumptions!$B$8,Assumptions!$B$9))</f>
        <v>0.109937376299232</v>
      </c>
      <c r="I34" s="8" t="n">
        <f aca="true">IF(C34="Bull",NORMINV(RAND(),Assumptions!$B$5,Assumptions!$B$6),NORMINV(RAND(),Assumptions!$B$8,Assumptions!$B$9))</f>
        <v>0.0580038165211296</v>
      </c>
      <c r="J34" s="8" t="n">
        <f aca="true">IF(D34="Bull",NORMINV(RAND(),Assumptions!$B$5,Assumptions!$B$6),NORMINV(RAND(),Assumptions!$B$8,Assumptions!$B$9))</f>
        <v>0.477931732169149</v>
      </c>
      <c r="K34" s="8" t="n">
        <f aca="true">IF(E34="Bull",NORMINV(RAND(),Assumptions!$B$5,Assumptions!$B$6),NORMINV(RAND(),Assumptions!$B$8,Assumptions!$B$9))</f>
        <v>0.0940636093521761</v>
      </c>
      <c r="L34" s="8" t="n">
        <f aca="true">IF(F34="Bull",NORMINV(RAND(),Assumptions!$B$5,Assumptions!$B$6),NORMINV(RAND(),Assumptions!$B$8,Assumptions!$B$9))</f>
        <v>0.0348783288383946</v>
      </c>
      <c r="M34" s="8" t="n">
        <f aca="true">IF(G34="Bull",NORMINV(RAND(),Assumptions!$B$5,Assumptions!$B$6),NORMINV(RAND(),Assumptions!$B$8,Assumptions!$B$9))</f>
        <v>0.209655237617666</v>
      </c>
      <c r="N34" s="8" t="n">
        <f aca="true">NORMINV(RAND(),Assumptions!$B$14,Assumptions!$B$15)</f>
        <v>-0.00256969740102221</v>
      </c>
      <c r="O34" s="8" t="n">
        <f aca="true">NORMINV(RAND(),Assumptions!$B$14,Assumptions!$B$15)</f>
        <v>0.0520675095122111</v>
      </c>
      <c r="P34" s="8" t="n">
        <f aca="true">NORMINV(RAND(),Assumptions!$B$14,Assumptions!$B$15)</f>
        <v>0.0651039211922598</v>
      </c>
      <c r="Q34" s="8" t="n">
        <f aca="true">NORMINV(RAND(),Assumptions!$B$14,Assumptions!$B$15)</f>
        <v>0.0450450430756042</v>
      </c>
      <c r="R34" s="8" t="n">
        <f aca="true">NORMINV(RAND(),Assumptions!$B$14,Assumptions!$B$15)</f>
        <v>-0.0183999719748668</v>
      </c>
      <c r="S34" s="8" t="n">
        <f aca="true">NORMINV(RAND(),Assumptions!$B$14,Assumptions!$B$15)</f>
        <v>0.0644927344641981</v>
      </c>
      <c r="T34" s="8" t="n">
        <f aca="false">Assumptions!$B$19*H34+(1-Assumptions!$B$19)*N34</f>
        <v>0.109937376299232</v>
      </c>
      <c r="U34" s="8" t="n">
        <f aca="false">Assumptions!$B$20*I34+(1-Assumptions!$B$20)*O34</f>
        <v>0.0580038165211296</v>
      </c>
      <c r="V34" s="8" t="n">
        <f aca="false">Assumptions!$B$21*J34+(1-Assumptions!$B$21)*P34</f>
        <v>0.477931732169149</v>
      </c>
      <c r="W34" s="8" t="n">
        <f aca="false">Assumptions!$B$22*K34+(1-Assumptions!$B$22)*Q34</f>
        <v>0.0940636093521761</v>
      </c>
      <c r="X34" s="8" t="n">
        <f aca="false">Assumptions!$B$23*L34+(1-Assumptions!$B$23)*R34</f>
        <v>0.0242226686757424</v>
      </c>
      <c r="Y34" s="8" t="n">
        <f aca="false">Assumptions!$B$24*M34+(1-Assumptions!$B$24)*S34</f>
        <v>0.151590236356279</v>
      </c>
      <c r="Z34" s="6" t="n">
        <f aca="false">Assumptions!$B$27*(1+T34)</f>
        <v>332981.21288977</v>
      </c>
      <c r="AA34" s="6" t="n">
        <f aca="false">(Z34+Assumptions!$B$28)*(1+U34)</f>
        <v>510995.966545381</v>
      </c>
      <c r="AB34" s="6" t="n">
        <f aca="false">AA34*(1+V34)</f>
        <v>755217.153967863</v>
      </c>
      <c r="AC34" s="6" t="n">
        <f aca="false">AB34*(1+W34)</f>
        <v>826255.605314758</v>
      </c>
      <c r="AD34" s="6" t="n">
        <f aca="false">AC34*(1+X34)</f>
        <v>846269.721083772</v>
      </c>
      <c r="AE34" s="6" t="n">
        <f aca="false">AD34*(1+Y34)</f>
        <v>974555.948124023</v>
      </c>
      <c r="AF34" s="6" t="n">
        <f aca="false">Z34</f>
        <v>332981.21288977</v>
      </c>
      <c r="AG34" s="6" t="n">
        <f aca="false">MAX(AF34,AA34)</f>
        <v>510995.966545381</v>
      </c>
      <c r="AH34" s="6" t="n">
        <f aca="false">MAX(AG34,AB34)</f>
        <v>755217.153967863</v>
      </c>
      <c r="AI34" s="6" t="n">
        <f aca="false">MAX(AH34,AC34)</f>
        <v>826255.605314758</v>
      </c>
      <c r="AJ34" s="6" t="n">
        <f aca="false">MAX(AI34,AD34)</f>
        <v>846269.721083772</v>
      </c>
      <c r="AK34" s="6" t="n">
        <f aca="false">MAX(AJ34,AE34)</f>
        <v>974555.948124023</v>
      </c>
      <c r="AL34" s="8" t="n">
        <f aca="false">MIN(Z34/AF34-1,AA34/AG34-1,AB34/AH34-1,AC34/AI34-1,AD34/AJ34-1,AE34/AK34-1)</f>
        <v>0</v>
      </c>
      <c r="AM34" s="6" t="n">
        <f aca="false">AE34-Assumptions!$B$35</f>
        <v>533291.95146152</v>
      </c>
    </row>
    <row r="35" customFormat="false" ht="15" hidden="false" customHeight="false" outlineLevel="0" collapsed="false">
      <c r="A35" s="0" t="n">
        <f aca="false">ROW()-1</f>
        <v>34</v>
      </c>
      <c r="B35" s="0" t="str">
        <f aca="true">IF(RAND()&lt;Assumptions!$B$11,"Bull","Bear")</f>
        <v>Bear</v>
      </c>
      <c r="C35" s="0" t="str">
        <f aca="true">IF(B35="Bull",IF(RAND()&lt;Assumptions!$B$7,"Bull","Bear"),IF(RAND()&lt;Assumptions!$B$10,"Bear","Bull"))</f>
        <v>Bear</v>
      </c>
      <c r="D35" s="0" t="str">
        <f aca="true">IF(C35="Bull",IF(RAND()&lt;Assumptions!$B$7,"Bull","Bear"),IF(RAND()&lt;Assumptions!$B$10,"Bear","Bull"))</f>
        <v>Bull</v>
      </c>
      <c r="E35" s="0" t="str">
        <f aca="true">IF(D35="Bull",IF(RAND()&lt;Assumptions!$B$7,"Bull","Bear"),IF(RAND()&lt;Assumptions!$B$10,"Bear","Bull"))</f>
        <v>Bear</v>
      </c>
      <c r="F35" s="0" t="str">
        <f aca="true">IF(E35="Bull",IF(RAND()&lt;Assumptions!$B$7,"Bull","Bear"),IF(RAND()&lt;Assumptions!$B$10,"Bear","Bull"))</f>
        <v>Bull</v>
      </c>
      <c r="G35" s="0" t="str">
        <f aca="true">IF(F35="Bull",IF(RAND()&lt;Assumptions!$B$7,"Bull","Bear"),IF(RAND()&lt;Assumptions!$B$10,"Bear","Bull"))</f>
        <v>Bull</v>
      </c>
      <c r="H35" s="8" t="n">
        <f aca="true">IF(B35="Bull",NORMINV(RAND(),Assumptions!$B$5,Assumptions!$B$6),NORMINV(RAND(),Assumptions!$B$8,Assumptions!$B$9))</f>
        <v>0.043372638042058</v>
      </c>
      <c r="I35" s="8" t="n">
        <f aca="true">IF(C35="Bull",NORMINV(RAND(),Assumptions!$B$5,Assumptions!$B$6),NORMINV(RAND(),Assumptions!$B$8,Assumptions!$B$9))</f>
        <v>0.14740360496317</v>
      </c>
      <c r="J35" s="8" t="n">
        <f aca="true">IF(D35="Bull",NORMINV(RAND(),Assumptions!$B$5,Assumptions!$B$6),NORMINV(RAND(),Assumptions!$B$8,Assumptions!$B$9))</f>
        <v>0.120937002990812</v>
      </c>
      <c r="K35" s="8" t="n">
        <f aca="true">IF(E35="Bull",NORMINV(RAND(),Assumptions!$B$5,Assumptions!$B$6),NORMINV(RAND(),Assumptions!$B$8,Assumptions!$B$9))</f>
        <v>-0.190177106199832</v>
      </c>
      <c r="L35" s="8" t="n">
        <f aca="true">IF(F35="Bull",NORMINV(RAND(),Assumptions!$B$5,Assumptions!$B$6),NORMINV(RAND(),Assumptions!$B$8,Assumptions!$B$9))</f>
        <v>0.238060104012814</v>
      </c>
      <c r="M35" s="8" t="n">
        <f aca="true">IF(G35="Bull",NORMINV(RAND(),Assumptions!$B$5,Assumptions!$B$6),NORMINV(RAND(),Assumptions!$B$8,Assumptions!$B$9))</f>
        <v>0.304994333058414</v>
      </c>
      <c r="N35" s="8" t="n">
        <f aca="true">NORMINV(RAND(),Assumptions!$B$14,Assumptions!$B$15)</f>
        <v>0.0524627475453149</v>
      </c>
      <c r="O35" s="8" t="n">
        <f aca="true">NORMINV(RAND(),Assumptions!$B$14,Assumptions!$B$15)</f>
        <v>0.114439642025151</v>
      </c>
      <c r="P35" s="8" t="n">
        <f aca="true">NORMINV(RAND(),Assumptions!$B$14,Assumptions!$B$15)</f>
        <v>0.0105168022441726</v>
      </c>
      <c r="Q35" s="8" t="n">
        <f aca="true">NORMINV(RAND(),Assumptions!$B$14,Assumptions!$B$15)</f>
        <v>-0.00397072443846611</v>
      </c>
      <c r="R35" s="8" t="n">
        <f aca="true">NORMINV(RAND(),Assumptions!$B$14,Assumptions!$B$15)</f>
        <v>0.073138780589342</v>
      </c>
      <c r="S35" s="8" t="n">
        <f aca="true">NORMINV(RAND(),Assumptions!$B$14,Assumptions!$B$15)</f>
        <v>0.04531114099568</v>
      </c>
      <c r="T35" s="8" t="n">
        <f aca="false">Assumptions!$B$19*H35+(1-Assumptions!$B$19)*N35</f>
        <v>0.043372638042058</v>
      </c>
      <c r="U35" s="8" t="n">
        <f aca="false">Assumptions!$B$20*I35+(1-Assumptions!$B$20)*O35</f>
        <v>0.14740360496317</v>
      </c>
      <c r="V35" s="8" t="n">
        <f aca="false">Assumptions!$B$21*J35+(1-Assumptions!$B$21)*P35</f>
        <v>0.120937002990812</v>
      </c>
      <c r="W35" s="8" t="n">
        <f aca="false">Assumptions!$B$22*K35+(1-Assumptions!$B$22)*Q35</f>
        <v>-0.190177106199832</v>
      </c>
      <c r="X35" s="8" t="n">
        <f aca="false">Assumptions!$B$23*L35+(1-Assumptions!$B$23)*R35</f>
        <v>0.20507583932812</v>
      </c>
      <c r="Y35" s="8" t="n">
        <f aca="false">Assumptions!$B$24*M35+(1-Assumptions!$B$24)*S35</f>
        <v>0.20112105623332</v>
      </c>
      <c r="Z35" s="6" t="n">
        <f aca="false">Assumptions!$B$27*(1+T35)</f>
        <v>313011.791412617</v>
      </c>
      <c r="AA35" s="6" t="n">
        <f aca="false">(Z35+Assumptions!$B$28)*(1+U35)</f>
        <v>531261.398607293</v>
      </c>
      <c r="AB35" s="6" t="n">
        <f aca="false">AA35*(1+V35)</f>
        <v>595510.559959566</v>
      </c>
      <c r="AC35" s="6" t="n">
        <f aca="false">AB35*(1+W35)</f>
        <v>482258.084955014</v>
      </c>
      <c r="AD35" s="6" t="n">
        <f aca="false">AC35*(1+X35)</f>
        <v>581157.566499935</v>
      </c>
      <c r="AE35" s="6" t="n">
        <f aca="false">AD35*(1+Y35)</f>
        <v>698040.590112388</v>
      </c>
      <c r="AF35" s="6" t="n">
        <f aca="false">Z35</f>
        <v>313011.791412617</v>
      </c>
      <c r="AG35" s="6" t="n">
        <f aca="false">MAX(AF35,AA35)</f>
        <v>531261.398607293</v>
      </c>
      <c r="AH35" s="6" t="n">
        <f aca="false">MAX(AG35,AB35)</f>
        <v>595510.559959566</v>
      </c>
      <c r="AI35" s="6" t="n">
        <f aca="false">MAX(AH35,AC35)</f>
        <v>595510.559959566</v>
      </c>
      <c r="AJ35" s="6" t="n">
        <f aca="false">MAX(AI35,AD35)</f>
        <v>595510.559959566</v>
      </c>
      <c r="AK35" s="6" t="n">
        <f aca="false">MAX(AJ35,AE35)</f>
        <v>698040.590112388</v>
      </c>
      <c r="AL35" s="8" t="n">
        <f aca="false">MIN(Z35/AF35-1,AA35/AG35-1,AB35/AH35-1,AC35/AI35-1,AD35/AJ35-1,AE35/AK35-1)</f>
        <v>-0.190177106199832</v>
      </c>
      <c r="AM35" s="6" t="n">
        <f aca="false">AE35-Assumptions!$B$35</f>
        <v>256776.593449885</v>
      </c>
    </row>
    <row r="36" customFormat="false" ht="15" hidden="false" customHeight="false" outlineLevel="0" collapsed="false">
      <c r="A36" s="0" t="n">
        <f aca="false">ROW()-1</f>
        <v>35</v>
      </c>
      <c r="B36" s="0" t="str">
        <f aca="true">IF(RAND()&lt;Assumptions!$B$11,"Bull","Bear")</f>
        <v>Bull</v>
      </c>
      <c r="C36" s="0" t="str">
        <f aca="true">IF(B36="Bull",IF(RAND()&lt;Assumptions!$B$7,"Bull","Bear"),IF(RAND()&lt;Assumptions!$B$10,"Bear","Bull"))</f>
        <v>Bull</v>
      </c>
      <c r="D36" s="0" t="str">
        <f aca="true">IF(C36="Bull",IF(RAND()&lt;Assumptions!$B$7,"Bull","Bear"),IF(RAND()&lt;Assumptions!$B$10,"Bear","Bull"))</f>
        <v>Bear</v>
      </c>
      <c r="E36" s="0" t="str">
        <f aca="true">IF(D36="Bull",IF(RAND()&lt;Assumptions!$B$7,"Bull","Bear"),IF(RAND()&lt;Assumptions!$B$10,"Bear","Bull"))</f>
        <v>Bear</v>
      </c>
      <c r="F36" s="0" t="str">
        <f aca="true">IF(E36="Bull",IF(RAND()&lt;Assumptions!$B$7,"Bull","Bear"),IF(RAND()&lt;Assumptions!$B$10,"Bear","Bull"))</f>
        <v>Bull</v>
      </c>
      <c r="G36" s="0" t="str">
        <f aca="true">IF(F36="Bull",IF(RAND()&lt;Assumptions!$B$7,"Bull","Bear"),IF(RAND()&lt;Assumptions!$B$10,"Bear","Bull"))</f>
        <v>Bull</v>
      </c>
      <c r="H36" s="8" t="n">
        <f aca="true">IF(B36="Bull",NORMINV(RAND(),Assumptions!$B$5,Assumptions!$B$6),NORMINV(RAND(),Assumptions!$B$8,Assumptions!$B$9))</f>
        <v>0.332605209602214</v>
      </c>
      <c r="I36" s="8" t="n">
        <f aca="true">IF(C36="Bull",NORMINV(RAND(),Assumptions!$B$5,Assumptions!$B$6),NORMINV(RAND(),Assumptions!$B$8,Assumptions!$B$9))</f>
        <v>0.133532370540531</v>
      </c>
      <c r="J36" s="8" t="n">
        <f aca="true">IF(D36="Bull",NORMINV(RAND(),Assumptions!$B$5,Assumptions!$B$6),NORMINV(RAND(),Assumptions!$B$8,Assumptions!$B$9))</f>
        <v>-0.178198357487623</v>
      </c>
      <c r="K36" s="8" t="n">
        <f aca="true">IF(E36="Bull",NORMINV(RAND(),Assumptions!$B$5,Assumptions!$B$6),NORMINV(RAND(),Assumptions!$B$8,Assumptions!$B$9))</f>
        <v>-0.362345108850842</v>
      </c>
      <c r="L36" s="8" t="n">
        <f aca="true">IF(F36="Bull",NORMINV(RAND(),Assumptions!$B$5,Assumptions!$B$6),NORMINV(RAND(),Assumptions!$B$8,Assumptions!$B$9))</f>
        <v>-0.0198698734394434</v>
      </c>
      <c r="M36" s="8" t="n">
        <f aca="true">IF(G36="Bull",NORMINV(RAND(),Assumptions!$B$5,Assumptions!$B$6),NORMINV(RAND(),Assumptions!$B$8,Assumptions!$B$9))</f>
        <v>0.231686949919904</v>
      </c>
      <c r="N36" s="8" t="n">
        <f aca="true">NORMINV(RAND(),Assumptions!$B$14,Assumptions!$B$15)</f>
        <v>0.0416313792009545</v>
      </c>
      <c r="O36" s="8" t="n">
        <f aca="true">NORMINV(RAND(),Assumptions!$B$14,Assumptions!$B$15)</f>
        <v>0.0498241041596844</v>
      </c>
      <c r="P36" s="8" t="n">
        <f aca="true">NORMINV(RAND(),Assumptions!$B$14,Assumptions!$B$15)</f>
        <v>0.00297570516308468</v>
      </c>
      <c r="Q36" s="8" t="n">
        <f aca="true">NORMINV(RAND(),Assumptions!$B$14,Assumptions!$B$15)</f>
        <v>0.0369474358898899</v>
      </c>
      <c r="R36" s="8" t="n">
        <f aca="true">NORMINV(RAND(),Assumptions!$B$14,Assumptions!$B$15)</f>
        <v>0.0798430144597463</v>
      </c>
      <c r="S36" s="8" t="n">
        <f aca="true">NORMINV(RAND(),Assumptions!$B$14,Assumptions!$B$15)</f>
        <v>0.0618332364331815</v>
      </c>
      <c r="T36" s="8" t="n">
        <f aca="false">Assumptions!$B$19*H36+(1-Assumptions!$B$19)*N36</f>
        <v>0.332605209602214</v>
      </c>
      <c r="U36" s="8" t="n">
        <f aca="false">Assumptions!$B$20*I36+(1-Assumptions!$B$20)*O36</f>
        <v>0.133532370540531</v>
      </c>
      <c r="V36" s="8" t="n">
        <f aca="false">Assumptions!$B$21*J36+(1-Assumptions!$B$21)*P36</f>
        <v>-0.178198357487623</v>
      </c>
      <c r="W36" s="8" t="n">
        <f aca="false">Assumptions!$B$22*K36+(1-Assumptions!$B$22)*Q36</f>
        <v>-0.362345108850842</v>
      </c>
      <c r="X36" s="8" t="n">
        <f aca="false">Assumptions!$B$23*L36+(1-Assumptions!$B$23)*R36</f>
        <v>7.2704140394543E-005</v>
      </c>
      <c r="Y36" s="8" t="n">
        <f aca="false">Assumptions!$B$24*M36+(1-Assumptions!$B$24)*S36</f>
        <v>0.163745464525215</v>
      </c>
      <c r="Z36" s="6" t="n">
        <f aca="false">Assumptions!$B$27*(1+T36)</f>
        <v>399781.562880664</v>
      </c>
      <c r="AA36" s="6" t="n">
        <f aca="false">(Z36+Assumptions!$B$28)*(1+U36)</f>
        <v>623195.198251598</v>
      </c>
      <c r="AB36" s="6" t="n">
        <f aca="false">AA36*(1+V36)</f>
        <v>512142.837528989</v>
      </c>
      <c r="AC36" s="6" t="n">
        <f aca="false">AB36*(1+W36)</f>
        <v>326570.385317369</v>
      </c>
      <c r="AD36" s="6" t="n">
        <f aca="false">AC36*(1+X36)</f>
        <v>326594.128336511</v>
      </c>
      <c r="AE36" s="6" t="n">
        <f aca="false">AD36*(1+Y36)</f>
        <v>380072.435592181</v>
      </c>
      <c r="AF36" s="6" t="n">
        <f aca="false">Z36</f>
        <v>399781.562880664</v>
      </c>
      <c r="AG36" s="6" t="n">
        <f aca="false">MAX(AF36,AA36)</f>
        <v>623195.198251598</v>
      </c>
      <c r="AH36" s="6" t="n">
        <f aca="false">MAX(AG36,AB36)</f>
        <v>623195.198251598</v>
      </c>
      <c r="AI36" s="6" t="n">
        <f aca="false">MAX(AH36,AC36)</f>
        <v>623195.198251598</v>
      </c>
      <c r="AJ36" s="6" t="n">
        <f aca="false">MAX(AI36,AD36)</f>
        <v>623195.198251598</v>
      </c>
      <c r="AK36" s="6" t="n">
        <f aca="false">MAX(AJ36,AE36)</f>
        <v>623195.198251598</v>
      </c>
      <c r="AL36" s="8" t="n">
        <f aca="false">MIN(Z36/AF36-1,AA36/AG36-1,AB36/AH36-1,AC36/AI36-1,AD36/AJ36-1,AE36/AK36-1)</f>
        <v>-0.475974163097571</v>
      </c>
      <c r="AM36" s="6" t="n">
        <f aca="false">AE36-Assumptions!$B$35</f>
        <v>-61191.5610703225</v>
      </c>
    </row>
    <row r="37" customFormat="false" ht="15" hidden="false" customHeight="false" outlineLevel="0" collapsed="false">
      <c r="A37" s="0" t="n">
        <f aca="false">ROW()-1</f>
        <v>36</v>
      </c>
      <c r="B37" s="0" t="str">
        <f aca="true">IF(RAND()&lt;Assumptions!$B$11,"Bull","Bear")</f>
        <v>Bear</v>
      </c>
      <c r="C37" s="0" t="str">
        <f aca="true">IF(B37="Bull",IF(RAND()&lt;Assumptions!$B$7,"Bull","Bear"),IF(RAND()&lt;Assumptions!$B$10,"Bear","Bull"))</f>
        <v>Bear</v>
      </c>
      <c r="D37" s="0" t="str">
        <f aca="true">IF(C37="Bull",IF(RAND()&lt;Assumptions!$B$7,"Bull","Bear"),IF(RAND()&lt;Assumptions!$B$10,"Bear","Bull"))</f>
        <v>Bear</v>
      </c>
      <c r="E37" s="0" t="str">
        <f aca="true">IF(D37="Bull",IF(RAND()&lt;Assumptions!$B$7,"Bull","Bear"),IF(RAND()&lt;Assumptions!$B$10,"Bear","Bull"))</f>
        <v>Bear</v>
      </c>
      <c r="F37" s="0" t="str">
        <f aca="true">IF(E37="Bull",IF(RAND()&lt;Assumptions!$B$7,"Bull","Bear"),IF(RAND()&lt;Assumptions!$B$10,"Bear","Bull"))</f>
        <v>Bear</v>
      </c>
      <c r="G37" s="0" t="str">
        <f aca="true">IF(F37="Bull",IF(RAND()&lt;Assumptions!$B$7,"Bull","Bear"),IF(RAND()&lt;Assumptions!$B$10,"Bear","Bull"))</f>
        <v>Bull</v>
      </c>
      <c r="H37" s="8" t="n">
        <f aca="true">IF(B37="Bull",NORMINV(RAND(),Assumptions!$B$5,Assumptions!$B$6),NORMINV(RAND(),Assumptions!$B$8,Assumptions!$B$9))</f>
        <v>-0.343604750474692</v>
      </c>
      <c r="I37" s="8" t="n">
        <f aca="true">IF(C37="Bull",NORMINV(RAND(),Assumptions!$B$5,Assumptions!$B$6),NORMINV(RAND(),Assumptions!$B$8,Assumptions!$B$9))</f>
        <v>0.118341620126864</v>
      </c>
      <c r="J37" s="8" t="n">
        <f aca="true">IF(D37="Bull",NORMINV(RAND(),Assumptions!$B$5,Assumptions!$B$6),NORMINV(RAND(),Assumptions!$B$8,Assumptions!$B$9))</f>
        <v>-0.101209381755233</v>
      </c>
      <c r="K37" s="8" t="n">
        <f aca="true">IF(E37="Bull",NORMINV(RAND(),Assumptions!$B$5,Assumptions!$B$6),NORMINV(RAND(),Assumptions!$B$8,Assumptions!$B$9))</f>
        <v>0.00641668332928758</v>
      </c>
      <c r="L37" s="8" t="n">
        <f aca="true">IF(F37="Bull",NORMINV(RAND(),Assumptions!$B$5,Assumptions!$B$6),NORMINV(RAND(),Assumptions!$B$8,Assumptions!$B$9))</f>
        <v>-0.243294356280577</v>
      </c>
      <c r="M37" s="8" t="n">
        <f aca="true">IF(G37="Bull",NORMINV(RAND(),Assumptions!$B$5,Assumptions!$B$6),NORMINV(RAND(),Assumptions!$B$8,Assumptions!$B$9))</f>
        <v>0.149053523943533</v>
      </c>
      <c r="N37" s="8" t="n">
        <f aca="true">NORMINV(RAND(),Assumptions!$B$14,Assumptions!$B$15)</f>
        <v>0.0558586219804319</v>
      </c>
      <c r="O37" s="8" t="n">
        <f aca="true">NORMINV(RAND(),Assumptions!$B$14,Assumptions!$B$15)</f>
        <v>0.0637096023734027</v>
      </c>
      <c r="P37" s="8" t="n">
        <f aca="true">NORMINV(RAND(),Assumptions!$B$14,Assumptions!$B$15)</f>
        <v>0.0746368711480694</v>
      </c>
      <c r="Q37" s="8" t="n">
        <f aca="true">NORMINV(RAND(),Assumptions!$B$14,Assumptions!$B$15)</f>
        <v>0.126515022418891</v>
      </c>
      <c r="R37" s="8" t="n">
        <f aca="true">NORMINV(RAND(),Assumptions!$B$14,Assumptions!$B$15)</f>
        <v>0.0117800083187179</v>
      </c>
      <c r="S37" s="8" t="n">
        <f aca="true">NORMINV(RAND(),Assumptions!$B$14,Assumptions!$B$15)</f>
        <v>0.0458107728458776</v>
      </c>
      <c r="T37" s="8" t="n">
        <f aca="false">Assumptions!$B$19*H37+(1-Assumptions!$B$19)*N37</f>
        <v>-0.343604750474692</v>
      </c>
      <c r="U37" s="8" t="n">
        <f aca="false">Assumptions!$B$20*I37+(1-Assumptions!$B$20)*O37</f>
        <v>0.118341620126864</v>
      </c>
      <c r="V37" s="8" t="n">
        <f aca="false">Assumptions!$B$21*J37+(1-Assumptions!$B$21)*P37</f>
        <v>-0.101209381755233</v>
      </c>
      <c r="W37" s="8" t="n">
        <f aca="false">Assumptions!$B$22*K37+(1-Assumptions!$B$22)*Q37</f>
        <v>0.00641668332928758</v>
      </c>
      <c r="X37" s="8" t="n">
        <f aca="false">Assumptions!$B$23*L37+(1-Assumptions!$B$23)*R37</f>
        <v>-0.192279483360718</v>
      </c>
      <c r="Y37" s="8" t="n">
        <f aca="false">Assumptions!$B$24*M37+(1-Assumptions!$B$24)*S37</f>
        <v>0.107756423504471</v>
      </c>
      <c r="Z37" s="6" t="n">
        <f aca="false">Assumptions!$B$27*(1+T37)</f>
        <v>196918.574857592</v>
      </c>
      <c r="AA37" s="6" t="n">
        <f aca="false">(Z37+Assumptions!$B$28)*(1+U37)</f>
        <v>387973.481058343</v>
      </c>
      <c r="AB37" s="6" t="n">
        <f aca="false">AA37*(1+V37)</f>
        <v>348706.924903002</v>
      </c>
      <c r="AC37" s="6" t="n">
        <f aca="false">AB37*(1+W37)</f>
        <v>350944.466814834</v>
      </c>
      <c r="AD37" s="6" t="n">
        <f aca="false">AC37*(1+X37)</f>
        <v>283465.046047375</v>
      </c>
      <c r="AE37" s="6" t="n">
        <f aca="false">AD37*(1+Y37)</f>
        <v>314010.225597971</v>
      </c>
      <c r="AF37" s="6" t="n">
        <f aca="false">Z37</f>
        <v>196918.574857592</v>
      </c>
      <c r="AG37" s="6" t="n">
        <f aca="false">MAX(AF37,AA37)</f>
        <v>387973.481058343</v>
      </c>
      <c r="AH37" s="6" t="n">
        <f aca="false">MAX(AG37,AB37)</f>
        <v>387973.481058343</v>
      </c>
      <c r="AI37" s="6" t="n">
        <f aca="false">MAX(AH37,AC37)</f>
        <v>387973.481058343</v>
      </c>
      <c r="AJ37" s="6" t="n">
        <f aca="false">MAX(AI37,AD37)</f>
        <v>387973.481058343</v>
      </c>
      <c r="AK37" s="6" t="n">
        <f aca="false">MAX(AJ37,AE37)</f>
        <v>387973.481058343</v>
      </c>
      <c r="AL37" s="8" t="n">
        <f aca="false">MIN(Z37/AF37-1,AA37/AG37-1,AB37/AH37-1,AC37/AI37-1,AD37/AJ37-1,AE37/AK37-1)</f>
        <v>-0.269370047473043</v>
      </c>
      <c r="AM37" s="6" t="n">
        <f aca="false">AE37-Assumptions!$B$35</f>
        <v>-127253.771064533</v>
      </c>
    </row>
    <row r="38" customFormat="false" ht="15" hidden="false" customHeight="false" outlineLevel="0" collapsed="false">
      <c r="A38" s="0" t="n">
        <f aca="false">ROW()-1</f>
        <v>37</v>
      </c>
      <c r="B38" s="0" t="str">
        <f aca="true">IF(RAND()&lt;Assumptions!$B$11,"Bull","Bear")</f>
        <v>Bull</v>
      </c>
      <c r="C38" s="0" t="str">
        <f aca="true">IF(B38="Bull",IF(RAND()&lt;Assumptions!$B$7,"Bull","Bear"),IF(RAND()&lt;Assumptions!$B$10,"Bear","Bull"))</f>
        <v>Bull</v>
      </c>
      <c r="D38" s="0" t="str">
        <f aca="true">IF(C38="Bull",IF(RAND()&lt;Assumptions!$B$7,"Bull","Bear"),IF(RAND()&lt;Assumptions!$B$10,"Bear","Bull"))</f>
        <v>Bull</v>
      </c>
      <c r="E38" s="0" t="str">
        <f aca="true">IF(D38="Bull",IF(RAND()&lt;Assumptions!$B$7,"Bull","Bear"),IF(RAND()&lt;Assumptions!$B$10,"Bear","Bull"))</f>
        <v>Bull</v>
      </c>
      <c r="F38" s="0" t="str">
        <f aca="true">IF(E38="Bull",IF(RAND()&lt;Assumptions!$B$7,"Bull","Bear"),IF(RAND()&lt;Assumptions!$B$10,"Bear","Bull"))</f>
        <v>Bull</v>
      </c>
      <c r="G38" s="0" t="str">
        <f aca="true">IF(F38="Bull",IF(RAND()&lt;Assumptions!$B$7,"Bull","Bear"),IF(RAND()&lt;Assumptions!$B$10,"Bear","Bull"))</f>
        <v>Bear</v>
      </c>
      <c r="H38" s="8" t="n">
        <f aca="true">IF(B38="Bull",NORMINV(RAND(),Assumptions!$B$5,Assumptions!$B$6),NORMINV(RAND(),Assumptions!$B$8,Assumptions!$B$9))</f>
        <v>0.0316241096995022</v>
      </c>
      <c r="I38" s="8" t="n">
        <f aca="true">IF(C38="Bull",NORMINV(RAND(),Assumptions!$B$5,Assumptions!$B$6),NORMINV(RAND(),Assumptions!$B$8,Assumptions!$B$9))</f>
        <v>0.194161375868824</v>
      </c>
      <c r="J38" s="8" t="n">
        <f aca="true">IF(D38="Bull",NORMINV(RAND(),Assumptions!$B$5,Assumptions!$B$6),NORMINV(RAND(),Assumptions!$B$8,Assumptions!$B$9))</f>
        <v>0.00864215716023317</v>
      </c>
      <c r="K38" s="8" t="n">
        <f aca="true">IF(E38="Bull",NORMINV(RAND(),Assumptions!$B$5,Assumptions!$B$6),NORMINV(RAND(),Assumptions!$B$8,Assumptions!$B$9))</f>
        <v>0.144973885940688</v>
      </c>
      <c r="L38" s="8" t="n">
        <f aca="true">IF(F38="Bull",NORMINV(RAND(),Assumptions!$B$5,Assumptions!$B$6),NORMINV(RAND(),Assumptions!$B$8,Assumptions!$B$9))</f>
        <v>0.215403058134528</v>
      </c>
      <c r="M38" s="8" t="n">
        <f aca="true">IF(G38="Bull",NORMINV(RAND(),Assumptions!$B$5,Assumptions!$B$6),NORMINV(RAND(),Assumptions!$B$8,Assumptions!$B$9))</f>
        <v>-0.167583059600241</v>
      </c>
      <c r="N38" s="8" t="n">
        <f aca="true">NORMINV(RAND(),Assumptions!$B$14,Assumptions!$B$15)</f>
        <v>0.0378270588018344</v>
      </c>
      <c r="O38" s="8" t="n">
        <f aca="true">NORMINV(RAND(),Assumptions!$B$14,Assumptions!$B$15)</f>
        <v>0.0900411225549262</v>
      </c>
      <c r="P38" s="8" t="n">
        <f aca="true">NORMINV(RAND(),Assumptions!$B$14,Assumptions!$B$15)</f>
        <v>0.0451641742106822</v>
      </c>
      <c r="Q38" s="8" t="n">
        <f aca="true">NORMINV(RAND(),Assumptions!$B$14,Assumptions!$B$15)</f>
        <v>0.039504846284963</v>
      </c>
      <c r="R38" s="8" t="n">
        <f aca="true">NORMINV(RAND(),Assumptions!$B$14,Assumptions!$B$15)</f>
        <v>0.0708452012725433</v>
      </c>
      <c r="S38" s="8" t="n">
        <f aca="true">NORMINV(RAND(),Assumptions!$B$14,Assumptions!$B$15)</f>
        <v>0.0445057005374517</v>
      </c>
      <c r="T38" s="8" t="n">
        <f aca="false">Assumptions!$B$19*H38+(1-Assumptions!$B$19)*N38</f>
        <v>0.0316241096995022</v>
      </c>
      <c r="U38" s="8" t="n">
        <f aca="false">Assumptions!$B$20*I38+(1-Assumptions!$B$20)*O38</f>
        <v>0.194161375868824</v>
      </c>
      <c r="V38" s="8" t="n">
        <f aca="false">Assumptions!$B$21*J38+(1-Assumptions!$B$21)*P38</f>
        <v>0.00864215716023317</v>
      </c>
      <c r="W38" s="8" t="n">
        <f aca="false">Assumptions!$B$22*K38+(1-Assumptions!$B$22)*Q38</f>
        <v>0.144973885940688</v>
      </c>
      <c r="X38" s="8" t="n">
        <f aca="false">Assumptions!$B$23*L38+(1-Assumptions!$B$23)*R38</f>
        <v>0.186491486762131</v>
      </c>
      <c r="Y38" s="8" t="n">
        <f aca="false">Assumptions!$B$24*M38+(1-Assumptions!$B$24)*S38</f>
        <v>-0.0827475555451641</v>
      </c>
      <c r="Z38" s="6" t="n">
        <f aca="false">Assumptions!$B$27*(1+T38)</f>
        <v>309487.232909851</v>
      </c>
      <c r="AA38" s="6" t="n">
        <f aca="false">(Z38+Assumptions!$B$28)*(1+U38)</f>
        <v>548701.906245786</v>
      </c>
      <c r="AB38" s="6" t="n">
        <f aca="false">AA38*(1+V38)</f>
        <v>553443.874353682</v>
      </c>
      <c r="AC38" s="6" t="n">
        <f aca="false">AB38*(1+W38)</f>
        <v>633678.783468805</v>
      </c>
      <c r="AD38" s="6" t="n">
        <f aca="false">AC38*(1+X38)</f>
        <v>751854.48192752</v>
      </c>
      <c r="AE38" s="6" t="n">
        <f aca="false">AD38*(1+Y38)</f>
        <v>689640.361422342</v>
      </c>
      <c r="AF38" s="6" t="n">
        <f aca="false">Z38</f>
        <v>309487.232909851</v>
      </c>
      <c r="AG38" s="6" t="n">
        <f aca="false">MAX(AF38,AA38)</f>
        <v>548701.906245786</v>
      </c>
      <c r="AH38" s="6" t="n">
        <f aca="false">MAX(AG38,AB38)</f>
        <v>553443.874353682</v>
      </c>
      <c r="AI38" s="6" t="n">
        <f aca="false">MAX(AH38,AC38)</f>
        <v>633678.783468805</v>
      </c>
      <c r="AJ38" s="6" t="n">
        <f aca="false">MAX(AI38,AD38)</f>
        <v>751854.48192752</v>
      </c>
      <c r="AK38" s="6" t="n">
        <f aca="false">MAX(AJ38,AE38)</f>
        <v>751854.48192752</v>
      </c>
      <c r="AL38" s="8" t="n">
        <f aca="false">MIN(Z38/AF38-1,AA38/AG38-1,AB38/AH38-1,AC38/AI38-1,AD38/AJ38-1,AE38/AK38-1)</f>
        <v>-0.0827475555451641</v>
      </c>
      <c r="AM38" s="6" t="n">
        <f aca="false">AE38-Assumptions!$B$35</f>
        <v>248376.364759839</v>
      </c>
    </row>
    <row r="39" customFormat="false" ht="15" hidden="false" customHeight="false" outlineLevel="0" collapsed="false">
      <c r="A39" s="0" t="n">
        <f aca="false">ROW()-1</f>
        <v>38</v>
      </c>
      <c r="B39" s="0" t="str">
        <f aca="true">IF(RAND()&lt;Assumptions!$B$11,"Bull","Bear")</f>
        <v>Bull</v>
      </c>
      <c r="C39" s="0" t="str">
        <f aca="true">IF(B39="Bull",IF(RAND()&lt;Assumptions!$B$7,"Bull","Bear"),IF(RAND()&lt;Assumptions!$B$10,"Bear","Bull"))</f>
        <v>Bull</v>
      </c>
      <c r="D39" s="0" t="str">
        <f aca="true">IF(C39="Bull",IF(RAND()&lt;Assumptions!$B$7,"Bull","Bear"),IF(RAND()&lt;Assumptions!$B$10,"Bear","Bull"))</f>
        <v>Bull</v>
      </c>
      <c r="E39" s="0" t="str">
        <f aca="true">IF(D39="Bull",IF(RAND()&lt;Assumptions!$B$7,"Bull","Bear"),IF(RAND()&lt;Assumptions!$B$10,"Bear","Bull"))</f>
        <v>Bull</v>
      </c>
      <c r="F39" s="0" t="str">
        <f aca="true">IF(E39="Bull",IF(RAND()&lt;Assumptions!$B$7,"Bull","Bear"),IF(RAND()&lt;Assumptions!$B$10,"Bear","Bull"))</f>
        <v>Bull</v>
      </c>
      <c r="G39" s="0" t="str">
        <f aca="true">IF(F39="Bull",IF(RAND()&lt;Assumptions!$B$7,"Bull","Bear"),IF(RAND()&lt;Assumptions!$B$10,"Bear","Bull"))</f>
        <v>Bull</v>
      </c>
      <c r="H39" s="8" t="n">
        <f aca="true">IF(B39="Bull",NORMINV(RAND(),Assumptions!$B$5,Assumptions!$B$6),NORMINV(RAND(),Assumptions!$B$8,Assumptions!$B$9))</f>
        <v>0.231107997804594</v>
      </c>
      <c r="I39" s="8" t="n">
        <f aca="true">IF(C39="Bull",NORMINV(RAND(),Assumptions!$B$5,Assumptions!$B$6),NORMINV(RAND(),Assumptions!$B$8,Assumptions!$B$9))</f>
        <v>0.172758879941135</v>
      </c>
      <c r="J39" s="8" t="n">
        <f aca="true">IF(D39="Bull",NORMINV(RAND(),Assumptions!$B$5,Assumptions!$B$6),NORMINV(RAND(),Assumptions!$B$8,Assumptions!$B$9))</f>
        <v>0.175517457312851</v>
      </c>
      <c r="K39" s="8" t="n">
        <f aca="true">IF(E39="Bull",NORMINV(RAND(),Assumptions!$B$5,Assumptions!$B$6),NORMINV(RAND(),Assumptions!$B$8,Assumptions!$B$9))</f>
        <v>0.215084189863719</v>
      </c>
      <c r="L39" s="8" t="n">
        <f aca="true">IF(F39="Bull",NORMINV(RAND(),Assumptions!$B$5,Assumptions!$B$6),NORMINV(RAND(),Assumptions!$B$8,Assumptions!$B$9))</f>
        <v>0.191595478439312</v>
      </c>
      <c r="M39" s="8" t="n">
        <f aca="true">IF(G39="Bull",NORMINV(RAND(),Assumptions!$B$5,Assumptions!$B$6),NORMINV(RAND(),Assumptions!$B$8,Assumptions!$B$9))</f>
        <v>0.283213365711939</v>
      </c>
      <c r="N39" s="8" t="n">
        <f aca="true">NORMINV(RAND(),Assumptions!$B$14,Assumptions!$B$15)</f>
        <v>0.0484947809803746</v>
      </c>
      <c r="O39" s="8" t="n">
        <f aca="true">NORMINV(RAND(),Assumptions!$B$14,Assumptions!$B$15)</f>
        <v>0.0567276123324039</v>
      </c>
      <c r="P39" s="8" t="n">
        <f aca="true">NORMINV(RAND(),Assumptions!$B$14,Assumptions!$B$15)</f>
        <v>0.0386733750293287</v>
      </c>
      <c r="Q39" s="8" t="n">
        <f aca="true">NORMINV(RAND(),Assumptions!$B$14,Assumptions!$B$15)</f>
        <v>0.020136474548271</v>
      </c>
      <c r="R39" s="8" t="n">
        <f aca="true">NORMINV(RAND(),Assumptions!$B$14,Assumptions!$B$15)</f>
        <v>0.0592122805920068</v>
      </c>
      <c r="S39" s="8" t="n">
        <f aca="true">NORMINV(RAND(),Assumptions!$B$14,Assumptions!$B$15)</f>
        <v>0.0400746025671864</v>
      </c>
      <c r="T39" s="8" t="n">
        <f aca="false">Assumptions!$B$19*H39+(1-Assumptions!$B$19)*N39</f>
        <v>0.231107997804594</v>
      </c>
      <c r="U39" s="8" t="n">
        <f aca="false">Assumptions!$B$20*I39+(1-Assumptions!$B$20)*O39</f>
        <v>0.172758879941135</v>
      </c>
      <c r="V39" s="8" t="n">
        <f aca="false">Assumptions!$B$21*J39+(1-Assumptions!$B$21)*P39</f>
        <v>0.175517457312851</v>
      </c>
      <c r="W39" s="8" t="n">
        <f aca="false">Assumptions!$B$22*K39+(1-Assumptions!$B$22)*Q39</f>
        <v>0.215084189863719</v>
      </c>
      <c r="X39" s="8" t="n">
        <f aca="false">Assumptions!$B$23*L39+(1-Assumptions!$B$23)*R39</f>
        <v>0.165118838869851</v>
      </c>
      <c r="Y39" s="8" t="n">
        <f aca="false">Assumptions!$B$24*M39+(1-Assumptions!$B$24)*S39</f>
        <v>0.185957860454038</v>
      </c>
      <c r="Z39" s="6" t="n">
        <f aca="false">Assumptions!$B$27*(1+T39)</f>
        <v>369332.399341378</v>
      </c>
      <c r="AA39" s="6" t="n">
        <f aca="false">(Z39+Assumptions!$B$28)*(1+U39)</f>
        <v>609051.682968737</v>
      </c>
      <c r="AB39" s="6" t="n">
        <f aca="false">AA39*(1+V39)</f>
        <v>715950.885735522</v>
      </c>
      <c r="AC39" s="6" t="n">
        <f aca="false">AB39*(1+W39)</f>
        <v>869940.601976159</v>
      </c>
      <c r="AD39" s="6" t="n">
        <f aca="false">AC39*(1+X39)</f>
        <v>1013584.1840602</v>
      </c>
      <c r="AE39" s="6" t="n">
        <f aca="false">AD39*(1+Y39)</f>
        <v>1202068.13031809</v>
      </c>
      <c r="AF39" s="6" t="n">
        <f aca="false">Z39</f>
        <v>369332.399341378</v>
      </c>
      <c r="AG39" s="6" t="n">
        <f aca="false">MAX(AF39,AA39)</f>
        <v>609051.682968737</v>
      </c>
      <c r="AH39" s="6" t="n">
        <f aca="false">MAX(AG39,AB39)</f>
        <v>715950.885735522</v>
      </c>
      <c r="AI39" s="6" t="n">
        <f aca="false">MAX(AH39,AC39)</f>
        <v>869940.601976159</v>
      </c>
      <c r="AJ39" s="6" t="n">
        <f aca="false">MAX(AI39,AD39)</f>
        <v>1013584.1840602</v>
      </c>
      <c r="AK39" s="6" t="n">
        <f aca="false">MAX(AJ39,AE39)</f>
        <v>1202068.13031809</v>
      </c>
      <c r="AL39" s="8" t="n">
        <f aca="false">MIN(Z39/AF39-1,AA39/AG39-1,AB39/AH39-1,AC39/AI39-1,AD39/AJ39-1,AE39/AK39-1)</f>
        <v>0</v>
      </c>
      <c r="AM39" s="6" t="n">
        <f aca="false">AE39-Assumptions!$B$35</f>
        <v>760804.133655585</v>
      </c>
    </row>
    <row r="40" customFormat="false" ht="15" hidden="false" customHeight="false" outlineLevel="0" collapsed="false">
      <c r="A40" s="0" t="n">
        <f aca="false">ROW()-1</f>
        <v>39</v>
      </c>
      <c r="B40" s="0" t="str">
        <f aca="true">IF(RAND()&lt;Assumptions!$B$11,"Bull","Bear")</f>
        <v>Bull</v>
      </c>
      <c r="C40" s="0" t="str">
        <f aca="true">IF(B40="Bull",IF(RAND()&lt;Assumptions!$B$7,"Bull","Bear"),IF(RAND()&lt;Assumptions!$B$10,"Bear","Bull"))</f>
        <v>Bear</v>
      </c>
      <c r="D40" s="0" t="str">
        <f aca="true">IF(C40="Bull",IF(RAND()&lt;Assumptions!$B$7,"Bull","Bear"),IF(RAND()&lt;Assumptions!$B$10,"Bear","Bull"))</f>
        <v>Bull</v>
      </c>
      <c r="E40" s="0" t="str">
        <f aca="true">IF(D40="Bull",IF(RAND()&lt;Assumptions!$B$7,"Bull","Bear"),IF(RAND()&lt;Assumptions!$B$10,"Bear","Bull"))</f>
        <v>Bull</v>
      </c>
      <c r="F40" s="0" t="str">
        <f aca="true">IF(E40="Bull",IF(RAND()&lt;Assumptions!$B$7,"Bull","Bear"),IF(RAND()&lt;Assumptions!$B$10,"Bear","Bull"))</f>
        <v>Bull</v>
      </c>
      <c r="G40" s="0" t="str">
        <f aca="true">IF(F40="Bull",IF(RAND()&lt;Assumptions!$B$7,"Bull","Bear"),IF(RAND()&lt;Assumptions!$B$10,"Bear","Bull"))</f>
        <v>Bull</v>
      </c>
      <c r="H40" s="8" t="n">
        <f aca="true">IF(B40="Bull",NORMINV(RAND(),Assumptions!$B$5,Assumptions!$B$6),NORMINV(RAND(),Assumptions!$B$8,Assumptions!$B$9))</f>
        <v>0.128033502563069</v>
      </c>
      <c r="I40" s="8" t="n">
        <f aca="true">IF(C40="Bull",NORMINV(RAND(),Assumptions!$B$5,Assumptions!$B$6),NORMINV(RAND(),Assumptions!$B$8,Assumptions!$B$9))</f>
        <v>-0.24530054504845</v>
      </c>
      <c r="J40" s="8" t="n">
        <f aca="true">IF(D40="Bull",NORMINV(RAND(),Assumptions!$B$5,Assumptions!$B$6),NORMINV(RAND(),Assumptions!$B$8,Assumptions!$B$9))</f>
        <v>0.21840905001251</v>
      </c>
      <c r="K40" s="8" t="n">
        <f aca="true">IF(E40="Bull",NORMINV(RAND(),Assumptions!$B$5,Assumptions!$B$6),NORMINV(RAND(),Assumptions!$B$8,Assumptions!$B$9))</f>
        <v>0.274476023726223</v>
      </c>
      <c r="L40" s="8" t="n">
        <f aca="true">IF(F40="Bull",NORMINV(RAND(),Assumptions!$B$5,Assumptions!$B$6),NORMINV(RAND(),Assumptions!$B$8,Assumptions!$B$9))</f>
        <v>0.454013912732875</v>
      </c>
      <c r="M40" s="8" t="n">
        <f aca="true">IF(G40="Bull",NORMINV(RAND(),Assumptions!$B$5,Assumptions!$B$6),NORMINV(RAND(),Assumptions!$B$8,Assumptions!$B$9))</f>
        <v>0.0648067582858036</v>
      </c>
      <c r="N40" s="8" t="n">
        <f aca="true">NORMINV(RAND(),Assumptions!$B$14,Assumptions!$B$15)</f>
        <v>0.0970182816309166</v>
      </c>
      <c r="O40" s="8" t="n">
        <f aca="true">NORMINV(RAND(),Assumptions!$B$14,Assumptions!$B$15)</f>
        <v>0.0638002217138381</v>
      </c>
      <c r="P40" s="8" t="n">
        <f aca="true">NORMINV(RAND(),Assumptions!$B$14,Assumptions!$B$15)</f>
        <v>0.0636959386249171</v>
      </c>
      <c r="Q40" s="8" t="n">
        <f aca="true">NORMINV(RAND(),Assumptions!$B$14,Assumptions!$B$15)</f>
        <v>0.07750012346585</v>
      </c>
      <c r="R40" s="8" t="n">
        <f aca="true">NORMINV(RAND(),Assumptions!$B$14,Assumptions!$B$15)</f>
        <v>0.0777864266904544</v>
      </c>
      <c r="S40" s="8" t="n">
        <f aca="true">NORMINV(RAND(),Assumptions!$B$14,Assumptions!$B$15)</f>
        <v>0.0418337178816746</v>
      </c>
      <c r="T40" s="8" t="n">
        <f aca="false">Assumptions!$B$19*H40+(1-Assumptions!$B$19)*N40</f>
        <v>0.128033502563069</v>
      </c>
      <c r="U40" s="8" t="n">
        <f aca="false">Assumptions!$B$20*I40+(1-Assumptions!$B$20)*O40</f>
        <v>-0.24530054504845</v>
      </c>
      <c r="V40" s="8" t="n">
        <f aca="false">Assumptions!$B$21*J40+(1-Assumptions!$B$21)*P40</f>
        <v>0.21840905001251</v>
      </c>
      <c r="W40" s="8" t="n">
        <f aca="false">Assumptions!$B$22*K40+(1-Assumptions!$B$22)*Q40</f>
        <v>0.274476023726223</v>
      </c>
      <c r="X40" s="8" t="n">
        <f aca="false">Assumptions!$B$23*L40+(1-Assumptions!$B$23)*R40</f>
        <v>0.378768415524391</v>
      </c>
      <c r="Y40" s="8" t="n">
        <f aca="false">Assumptions!$B$24*M40+(1-Assumptions!$B$24)*S40</f>
        <v>0.055617542124152</v>
      </c>
      <c r="Z40" s="6" t="n">
        <f aca="false">Assumptions!$B$27*(1+T40)</f>
        <v>338410.050768921</v>
      </c>
      <c r="AA40" s="6" t="n">
        <f aca="false">(Z40+Assumptions!$B$28)*(1+U40)</f>
        <v>368602.799108163</v>
      </c>
      <c r="AB40" s="6" t="n">
        <f aca="false">AA40*(1+V40)</f>
        <v>449108.986293329</v>
      </c>
      <c r="AC40" s="6" t="n">
        <f aca="false">AB40*(1+W40)</f>
        <v>572378.635070837</v>
      </c>
      <c r="AD40" s="6" t="n">
        <f aca="false">AC40*(1+X40)</f>
        <v>789177.583756632</v>
      </c>
      <c r="AE40" s="6" t="n">
        <f aca="false">AD40*(1+Y40)</f>
        <v>833069.701264653</v>
      </c>
      <c r="AF40" s="6" t="n">
        <f aca="false">Z40</f>
        <v>338410.050768921</v>
      </c>
      <c r="AG40" s="6" t="n">
        <f aca="false">MAX(AF40,AA40)</f>
        <v>368602.799108163</v>
      </c>
      <c r="AH40" s="6" t="n">
        <f aca="false">MAX(AG40,AB40)</f>
        <v>449108.986293329</v>
      </c>
      <c r="AI40" s="6" t="n">
        <f aca="false">MAX(AH40,AC40)</f>
        <v>572378.635070837</v>
      </c>
      <c r="AJ40" s="6" t="n">
        <f aca="false">MAX(AI40,AD40)</f>
        <v>789177.583756632</v>
      </c>
      <c r="AK40" s="6" t="n">
        <f aca="false">MAX(AJ40,AE40)</f>
        <v>833069.701264653</v>
      </c>
      <c r="AL40" s="8" t="n">
        <f aca="false">MIN(Z40/AF40-1,AA40/AG40-1,AB40/AH40-1,AC40/AI40-1,AD40/AJ40-1,AE40/AK40-1)</f>
        <v>0</v>
      </c>
      <c r="AM40" s="6" t="n">
        <f aca="false">AE40-Assumptions!$B$35</f>
        <v>391805.704602149</v>
      </c>
    </row>
    <row r="41" customFormat="false" ht="15" hidden="false" customHeight="false" outlineLevel="0" collapsed="false">
      <c r="A41" s="0" t="n">
        <f aca="false">ROW()-1</f>
        <v>40</v>
      </c>
      <c r="B41" s="0" t="str">
        <f aca="true">IF(RAND()&lt;Assumptions!$B$11,"Bull","Bear")</f>
        <v>Bull</v>
      </c>
      <c r="C41" s="0" t="str">
        <f aca="true">IF(B41="Bull",IF(RAND()&lt;Assumptions!$B$7,"Bull","Bear"),IF(RAND()&lt;Assumptions!$B$10,"Bear","Bull"))</f>
        <v>Bull</v>
      </c>
      <c r="D41" s="0" t="str">
        <f aca="true">IF(C41="Bull",IF(RAND()&lt;Assumptions!$B$7,"Bull","Bear"),IF(RAND()&lt;Assumptions!$B$10,"Bear","Bull"))</f>
        <v>Bull</v>
      </c>
      <c r="E41" s="0" t="str">
        <f aca="true">IF(D41="Bull",IF(RAND()&lt;Assumptions!$B$7,"Bull","Bear"),IF(RAND()&lt;Assumptions!$B$10,"Bear","Bull"))</f>
        <v>Bear</v>
      </c>
      <c r="F41" s="0" t="str">
        <f aca="true">IF(E41="Bull",IF(RAND()&lt;Assumptions!$B$7,"Bull","Bear"),IF(RAND()&lt;Assumptions!$B$10,"Bear","Bull"))</f>
        <v>Bull</v>
      </c>
      <c r="G41" s="0" t="str">
        <f aca="true">IF(F41="Bull",IF(RAND()&lt;Assumptions!$B$7,"Bull","Bear"),IF(RAND()&lt;Assumptions!$B$10,"Bear","Bull"))</f>
        <v>Bear</v>
      </c>
      <c r="H41" s="8" t="n">
        <f aca="true">IF(B41="Bull",NORMINV(RAND(),Assumptions!$B$5,Assumptions!$B$6),NORMINV(RAND(),Assumptions!$B$8,Assumptions!$B$9))</f>
        <v>-0.0241805696263182</v>
      </c>
      <c r="I41" s="8" t="n">
        <f aca="true">IF(C41="Bull",NORMINV(RAND(),Assumptions!$B$5,Assumptions!$B$6),NORMINV(RAND(),Assumptions!$B$8,Assumptions!$B$9))</f>
        <v>0.126488228373045</v>
      </c>
      <c r="J41" s="8" t="n">
        <f aca="true">IF(D41="Bull",NORMINV(RAND(),Assumptions!$B$5,Assumptions!$B$6),NORMINV(RAND(),Assumptions!$B$8,Assumptions!$B$9))</f>
        <v>0.471472112147142</v>
      </c>
      <c r="K41" s="8" t="n">
        <f aca="true">IF(E41="Bull",NORMINV(RAND(),Assumptions!$B$5,Assumptions!$B$6),NORMINV(RAND(),Assumptions!$B$8,Assumptions!$B$9))</f>
        <v>-0.214031071117466</v>
      </c>
      <c r="L41" s="8" t="n">
        <f aca="true">IF(F41="Bull",NORMINV(RAND(),Assumptions!$B$5,Assumptions!$B$6),NORMINV(RAND(),Assumptions!$B$8,Assumptions!$B$9))</f>
        <v>0.152319994043904</v>
      </c>
      <c r="M41" s="8" t="n">
        <f aca="true">IF(G41="Bull",NORMINV(RAND(),Assumptions!$B$5,Assumptions!$B$6),NORMINV(RAND(),Assumptions!$B$8,Assumptions!$B$9))</f>
        <v>-0.0964728628454224</v>
      </c>
      <c r="N41" s="8" t="n">
        <f aca="true">NORMINV(RAND(),Assumptions!$B$14,Assumptions!$B$15)</f>
        <v>0.0707206006947373</v>
      </c>
      <c r="O41" s="8" t="n">
        <f aca="true">NORMINV(RAND(),Assumptions!$B$14,Assumptions!$B$15)</f>
        <v>0.0227172456727384</v>
      </c>
      <c r="P41" s="8" t="n">
        <f aca="true">NORMINV(RAND(),Assumptions!$B$14,Assumptions!$B$15)</f>
        <v>0.0594115787374919</v>
      </c>
      <c r="Q41" s="8" t="n">
        <f aca="true">NORMINV(RAND(),Assumptions!$B$14,Assumptions!$B$15)</f>
        <v>-0.00573471618109081</v>
      </c>
      <c r="R41" s="8" t="n">
        <f aca="true">NORMINV(RAND(),Assumptions!$B$14,Assumptions!$B$15)</f>
        <v>0.0780030318204497</v>
      </c>
      <c r="S41" s="8" t="n">
        <f aca="true">NORMINV(RAND(),Assumptions!$B$14,Assumptions!$B$15)</f>
        <v>0.026940496965533</v>
      </c>
      <c r="T41" s="8" t="n">
        <f aca="false">Assumptions!$B$19*H41+(1-Assumptions!$B$19)*N41</f>
        <v>-0.0241805696263182</v>
      </c>
      <c r="U41" s="8" t="n">
        <f aca="false">Assumptions!$B$20*I41+(1-Assumptions!$B$20)*O41</f>
        <v>0.126488228373045</v>
      </c>
      <c r="V41" s="8" t="n">
        <f aca="false">Assumptions!$B$21*J41+(1-Assumptions!$B$21)*P41</f>
        <v>0.471472112147142</v>
      </c>
      <c r="W41" s="8" t="n">
        <f aca="false">Assumptions!$B$22*K41+(1-Assumptions!$B$22)*Q41</f>
        <v>-0.214031071117466</v>
      </c>
      <c r="X41" s="8" t="n">
        <f aca="false">Assumptions!$B$23*L41+(1-Assumptions!$B$23)*R41</f>
        <v>0.137456601599213</v>
      </c>
      <c r="Y41" s="8" t="n">
        <f aca="false">Assumptions!$B$24*M41+(1-Assumptions!$B$24)*S41</f>
        <v>-0.0471075189210402</v>
      </c>
      <c r="Z41" s="6" t="n">
        <f aca="false">Assumptions!$B$27*(1+T41)</f>
        <v>292745.829112105</v>
      </c>
      <c r="AA41" s="6" t="n">
        <f aca="false">(Z41+Assumptions!$B$28)*(1+U41)</f>
        <v>498747.96465605</v>
      </c>
      <c r="AB41" s="6" t="n">
        <f aca="false">AA41*(1+V41)</f>
        <v>733893.720981525</v>
      </c>
      <c r="AC41" s="6" t="n">
        <f aca="false">AB41*(1+W41)</f>
        <v>576817.661793467</v>
      </c>
      <c r="AD41" s="6" t="n">
        <f aca="false">AC41*(1+X41)</f>
        <v>656105.057326001</v>
      </c>
      <c r="AE41" s="6" t="n">
        <f aca="false">AD41*(1+Y41)</f>
        <v>625197.575923826</v>
      </c>
      <c r="AF41" s="6" t="n">
        <f aca="false">Z41</f>
        <v>292745.829112105</v>
      </c>
      <c r="AG41" s="6" t="n">
        <f aca="false">MAX(AF41,AA41)</f>
        <v>498747.96465605</v>
      </c>
      <c r="AH41" s="6" t="n">
        <f aca="false">MAX(AG41,AB41)</f>
        <v>733893.720981525</v>
      </c>
      <c r="AI41" s="6" t="n">
        <f aca="false">MAX(AH41,AC41)</f>
        <v>733893.720981525</v>
      </c>
      <c r="AJ41" s="6" t="n">
        <f aca="false">MAX(AI41,AD41)</f>
        <v>733893.720981525</v>
      </c>
      <c r="AK41" s="6" t="n">
        <f aca="false">MAX(AJ41,AE41)</f>
        <v>733893.720981525</v>
      </c>
      <c r="AL41" s="8" t="n">
        <f aca="false">MIN(Z41/AF41-1,AA41/AG41-1,AB41/AH41-1,AC41/AI41-1,AD41/AJ41-1,AE41/AK41-1)</f>
        <v>-0.214031071117466</v>
      </c>
      <c r="AM41" s="6" t="n">
        <f aca="false">AE41-Assumptions!$B$35</f>
        <v>183933.579261323</v>
      </c>
    </row>
    <row r="42" customFormat="false" ht="15" hidden="false" customHeight="false" outlineLevel="0" collapsed="false">
      <c r="A42" s="0" t="n">
        <f aca="false">ROW()-1</f>
        <v>41</v>
      </c>
      <c r="B42" s="0" t="str">
        <f aca="true">IF(RAND()&lt;Assumptions!$B$11,"Bull","Bear")</f>
        <v>Bull</v>
      </c>
      <c r="C42" s="0" t="str">
        <f aca="true">IF(B42="Bull",IF(RAND()&lt;Assumptions!$B$7,"Bull","Bear"),IF(RAND()&lt;Assumptions!$B$10,"Bear","Bull"))</f>
        <v>Bull</v>
      </c>
      <c r="D42" s="0" t="str">
        <f aca="true">IF(C42="Bull",IF(RAND()&lt;Assumptions!$B$7,"Bull","Bear"),IF(RAND()&lt;Assumptions!$B$10,"Bear","Bull"))</f>
        <v>Bull</v>
      </c>
      <c r="E42" s="0" t="str">
        <f aca="true">IF(D42="Bull",IF(RAND()&lt;Assumptions!$B$7,"Bull","Bear"),IF(RAND()&lt;Assumptions!$B$10,"Bear","Bull"))</f>
        <v>Bear</v>
      </c>
      <c r="F42" s="0" t="str">
        <f aca="true">IF(E42="Bull",IF(RAND()&lt;Assumptions!$B$7,"Bull","Bear"),IF(RAND()&lt;Assumptions!$B$10,"Bear","Bull"))</f>
        <v>Bull</v>
      </c>
      <c r="G42" s="0" t="str">
        <f aca="true">IF(F42="Bull",IF(RAND()&lt;Assumptions!$B$7,"Bull","Bear"),IF(RAND()&lt;Assumptions!$B$10,"Bear","Bull"))</f>
        <v>Bull</v>
      </c>
      <c r="H42" s="8" t="n">
        <f aca="true">IF(B42="Bull",NORMINV(RAND(),Assumptions!$B$5,Assumptions!$B$6),NORMINV(RAND(),Assumptions!$B$8,Assumptions!$B$9))</f>
        <v>-0.0231193263081681</v>
      </c>
      <c r="I42" s="8" t="n">
        <f aca="true">IF(C42="Bull",NORMINV(RAND(),Assumptions!$B$5,Assumptions!$B$6),NORMINV(RAND(),Assumptions!$B$8,Assumptions!$B$9))</f>
        <v>0.0729394460945808</v>
      </c>
      <c r="J42" s="8" t="n">
        <f aca="true">IF(D42="Bull",NORMINV(RAND(),Assumptions!$B$5,Assumptions!$B$6),NORMINV(RAND(),Assumptions!$B$8,Assumptions!$B$9))</f>
        <v>0.220530965644664</v>
      </c>
      <c r="K42" s="8" t="n">
        <f aca="true">IF(E42="Bull",NORMINV(RAND(),Assumptions!$B$5,Assumptions!$B$6),NORMINV(RAND(),Assumptions!$B$8,Assumptions!$B$9))</f>
        <v>-0.0246547904614221</v>
      </c>
      <c r="L42" s="8" t="n">
        <f aca="true">IF(F42="Bull",NORMINV(RAND(),Assumptions!$B$5,Assumptions!$B$6),NORMINV(RAND(),Assumptions!$B$8,Assumptions!$B$9))</f>
        <v>0.035553884426178</v>
      </c>
      <c r="M42" s="8" t="n">
        <f aca="true">IF(G42="Bull",NORMINV(RAND(),Assumptions!$B$5,Assumptions!$B$6),NORMINV(RAND(),Assumptions!$B$8,Assumptions!$B$9))</f>
        <v>0.313050060871112</v>
      </c>
      <c r="N42" s="8" t="n">
        <f aca="true">NORMINV(RAND(),Assumptions!$B$14,Assumptions!$B$15)</f>
        <v>0.0525683551350764</v>
      </c>
      <c r="O42" s="8" t="n">
        <f aca="true">NORMINV(RAND(),Assumptions!$B$14,Assumptions!$B$15)</f>
        <v>0.0156403280280077</v>
      </c>
      <c r="P42" s="8" t="n">
        <f aca="true">NORMINV(RAND(),Assumptions!$B$14,Assumptions!$B$15)</f>
        <v>0.0428990740098611</v>
      </c>
      <c r="Q42" s="8" t="n">
        <f aca="true">NORMINV(RAND(),Assumptions!$B$14,Assumptions!$B$15)</f>
        <v>0.0179692861950585</v>
      </c>
      <c r="R42" s="8" t="n">
        <f aca="true">NORMINV(RAND(),Assumptions!$B$14,Assumptions!$B$15)</f>
        <v>0.0934198670250876</v>
      </c>
      <c r="S42" s="8" t="n">
        <f aca="true">NORMINV(RAND(),Assumptions!$B$14,Assumptions!$B$15)</f>
        <v>0.00495909236635956</v>
      </c>
      <c r="T42" s="8" t="n">
        <f aca="false">Assumptions!$B$19*H42+(1-Assumptions!$B$19)*N42</f>
        <v>-0.0231193263081681</v>
      </c>
      <c r="U42" s="8" t="n">
        <f aca="false">Assumptions!$B$20*I42+(1-Assumptions!$B$20)*O42</f>
        <v>0.0729394460945808</v>
      </c>
      <c r="V42" s="8" t="n">
        <f aca="false">Assumptions!$B$21*J42+(1-Assumptions!$B$21)*P42</f>
        <v>0.220530965644664</v>
      </c>
      <c r="W42" s="8" t="n">
        <f aca="false">Assumptions!$B$22*K42+(1-Assumptions!$B$22)*Q42</f>
        <v>-0.0246547904614221</v>
      </c>
      <c r="X42" s="8" t="n">
        <f aca="false">Assumptions!$B$23*L42+(1-Assumptions!$B$23)*R42</f>
        <v>0.0471270809459599</v>
      </c>
      <c r="Y42" s="8" t="n">
        <f aca="false">Assumptions!$B$24*M42+(1-Assumptions!$B$24)*S42</f>
        <v>0.189813673469211</v>
      </c>
      <c r="Z42" s="6" t="n">
        <f aca="false">Assumptions!$B$27*(1+T42)</f>
        <v>293064.20210755</v>
      </c>
      <c r="AA42" s="6" t="n">
        <f aca="false">(Z42+Assumptions!$B$28)*(1+U42)</f>
        <v>475381.059593612</v>
      </c>
      <c r="AB42" s="6" t="n">
        <f aca="false">AA42*(1+V42)</f>
        <v>580217.303714974</v>
      </c>
      <c r="AC42" s="6" t="n">
        <f aca="false">AB42*(1+W42)</f>
        <v>565912.16766979</v>
      </c>
      <c r="AD42" s="6" t="n">
        <f aca="false">AC42*(1+X42)</f>
        <v>592581.956203868</v>
      </c>
      <c r="AE42" s="6" t="n">
        <f aca="false">AD42*(1+Y42)</f>
        <v>705062.114142495</v>
      </c>
      <c r="AF42" s="6" t="n">
        <f aca="false">Z42</f>
        <v>293064.20210755</v>
      </c>
      <c r="AG42" s="6" t="n">
        <f aca="false">MAX(AF42,AA42)</f>
        <v>475381.059593612</v>
      </c>
      <c r="AH42" s="6" t="n">
        <f aca="false">MAX(AG42,AB42)</f>
        <v>580217.303714974</v>
      </c>
      <c r="AI42" s="6" t="n">
        <f aca="false">MAX(AH42,AC42)</f>
        <v>580217.303714974</v>
      </c>
      <c r="AJ42" s="6" t="n">
        <f aca="false">MAX(AI42,AD42)</f>
        <v>592581.956203868</v>
      </c>
      <c r="AK42" s="6" t="n">
        <f aca="false">MAX(AJ42,AE42)</f>
        <v>705062.114142495</v>
      </c>
      <c r="AL42" s="8" t="n">
        <f aca="false">MIN(Z42/AF42-1,AA42/AG42-1,AB42/AH42-1,AC42/AI42-1,AD42/AJ42-1,AE42/AK42-1)</f>
        <v>-0.0246547904614221</v>
      </c>
      <c r="AM42" s="6" t="n">
        <f aca="false">AE42-Assumptions!$B$35</f>
        <v>263798.117479992</v>
      </c>
    </row>
    <row r="43" customFormat="false" ht="15" hidden="false" customHeight="false" outlineLevel="0" collapsed="false">
      <c r="A43" s="0" t="n">
        <f aca="false">ROW()-1</f>
        <v>42</v>
      </c>
      <c r="B43" s="0" t="str">
        <f aca="true">IF(RAND()&lt;Assumptions!$B$11,"Bull","Bear")</f>
        <v>Bull</v>
      </c>
      <c r="C43" s="0" t="str">
        <f aca="true">IF(B43="Bull",IF(RAND()&lt;Assumptions!$B$7,"Bull","Bear"),IF(RAND()&lt;Assumptions!$B$10,"Bear","Bull"))</f>
        <v>Bull</v>
      </c>
      <c r="D43" s="0" t="str">
        <f aca="true">IF(C43="Bull",IF(RAND()&lt;Assumptions!$B$7,"Bull","Bear"),IF(RAND()&lt;Assumptions!$B$10,"Bear","Bull"))</f>
        <v>Bear</v>
      </c>
      <c r="E43" s="0" t="str">
        <f aca="true">IF(D43="Bull",IF(RAND()&lt;Assumptions!$B$7,"Bull","Bear"),IF(RAND()&lt;Assumptions!$B$10,"Bear","Bull"))</f>
        <v>Bull</v>
      </c>
      <c r="F43" s="0" t="str">
        <f aca="true">IF(E43="Bull",IF(RAND()&lt;Assumptions!$B$7,"Bull","Bear"),IF(RAND()&lt;Assumptions!$B$10,"Bear","Bull"))</f>
        <v>Bull</v>
      </c>
      <c r="G43" s="0" t="str">
        <f aca="true">IF(F43="Bull",IF(RAND()&lt;Assumptions!$B$7,"Bull","Bear"),IF(RAND()&lt;Assumptions!$B$10,"Bear","Bull"))</f>
        <v>Bull</v>
      </c>
      <c r="H43" s="8" t="n">
        <f aca="true">IF(B43="Bull",NORMINV(RAND(),Assumptions!$B$5,Assumptions!$B$6),NORMINV(RAND(),Assumptions!$B$8,Assumptions!$B$9))</f>
        <v>0.245041807146714</v>
      </c>
      <c r="I43" s="8" t="n">
        <f aca="true">IF(C43="Bull",NORMINV(RAND(),Assumptions!$B$5,Assumptions!$B$6),NORMINV(RAND(),Assumptions!$B$8,Assumptions!$B$9))</f>
        <v>-0.14057649080868</v>
      </c>
      <c r="J43" s="8" t="n">
        <f aca="true">IF(D43="Bull",NORMINV(RAND(),Assumptions!$B$5,Assumptions!$B$6),NORMINV(RAND(),Assumptions!$B$8,Assumptions!$B$9))</f>
        <v>-0.415616538193456</v>
      </c>
      <c r="K43" s="8" t="n">
        <f aca="true">IF(E43="Bull",NORMINV(RAND(),Assumptions!$B$5,Assumptions!$B$6),NORMINV(RAND(),Assumptions!$B$8,Assumptions!$B$9))</f>
        <v>0.108598888700469</v>
      </c>
      <c r="L43" s="8" t="n">
        <f aca="true">IF(F43="Bull",NORMINV(RAND(),Assumptions!$B$5,Assumptions!$B$6),NORMINV(RAND(),Assumptions!$B$8,Assumptions!$B$9))</f>
        <v>0.19227934124169</v>
      </c>
      <c r="M43" s="8" t="n">
        <f aca="true">IF(G43="Bull",NORMINV(RAND(),Assumptions!$B$5,Assumptions!$B$6),NORMINV(RAND(),Assumptions!$B$8,Assumptions!$B$9))</f>
        <v>0.0616477858642748</v>
      </c>
      <c r="N43" s="8" t="n">
        <f aca="true">NORMINV(RAND(),Assumptions!$B$14,Assumptions!$B$15)</f>
        <v>0.0786876671941515</v>
      </c>
      <c r="O43" s="8" t="n">
        <f aca="true">NORMINV(RAND(),Assumptions!$B$14,Assumptions!$B$15)</f>
        <v>0.0562884648913283</v>
      </c>
      <c r="P43" s="8" t="n">
        <f aca="true">NORMINV(RAND(),Assumptions!$B$14,Assumptions!$B$15)</f>
        <v>0.0281237266458879</v>
      </c>
      <c r="Q43" s="8" t="n">
        <f aca="true">NORMINV(RAND(),Assumptions!$B$14,Assumptions!$B$15)</f>
        <v>0.105413545465483</v>
      </c>
      <c r="R43" s="8" t="n">
        <f aca="true">NORMINV(RAND(),Assumptions!$B$14,Assumptions!$B$15)</f>
        <v>0.0807759150825231</v>
      </c>
      <c r="S43" s="8" t="n">
        <f aca="true">NORMINV(RAND(),Assumptions!$B$14,Assumptions!$B$15)</f>
        <v>0.0363124354999608</v>
      </c>
      <c r="T43" s="8" t="n">
        <f aca="false">Assumptions!$B$19*H43+(1-Assumptions!$B$19)*N43</f>
        <v>0.245041807146714</v>
      </c>
      <c r="U43" s="8" t="n">
        <f aca="false">Assumptions!$B$20*I43+(1-Assumptions!$B$20)*O43</f>
        <v>-0.14057649080868</v>
      </c>
      <c r="V43" s="8" t="n">
        <f aca="false">Assumptions!$B$21*J43+(1-Assumptions!$B$21)*P43</f>
        <v>-0.415616538193456</v>
      </c>
      <c r="W43" s="8" t="n">
        <f aca="false">Assumptions!$B$22*K43+(1-Assumptions!$B$22)*Q43</f>
        <v>0.108598888700469</v>
      </c>
      <c r="X43" s="8" t="n">
        <f aca="false">Assumptions!$B$23*L43+(1-Assumptions!$B$23)*R43</f>
        <v>0.169978656009857</v>
      </c>
      <c r="Y43" s="8" t="n">
        <f aca="false">Assumptions!$B$24*M43+(1-Assumptions!$B$24)*S43</f>
        <v>0.0515136457185492</v>
      </c>
      <c r="Z43" s="6" t="n">
        <f aca="false">Assumptions!$B$27*(1+T43)</f>
        <v>373512.542144014</v>
      </c>
      <c r="AA43" s="6" t="n">
        <f aca="false">(Z43+Assumptions!$B$28)*(1+U43)</f>
        <v>449918.986075077</v>
      </c>
      <c r="AB43" s="6" t="n">
        <f aca="false">AA43*(1+V43)</f>
        <v>262925.214615044</v>
      </c>
      <c r="AC43" s="6" t="n">
        <f aca="false">AB43*(1+W43)</f>
        <v>291478.60073357</v>
      </c>
      <c r="AD43" s="6" t="n">
        <f aca="false">AC43*(1+X43)</f>
        <v>341023.741541896</v>
      </c>
      <c r="AE43" s="6" t="n">
        <f aca="false">AD43*(1+Y43)</f>
        <v>358591.1177453</v>
      </c>
      <c r="AF43" s="6" t="n">
        <f aca="false">Z43</f>
        <v>373512.542144014</v>
      </c>
      <c r="AG43" s="6" t="n">
        <f aca="false">MAX(AF43,AA43)</f>
        <v>449918.986075077</v>
      </c>
      <c r="AH43" s="6" t="n">
        <f aca="false">MAX(AG43,AB43)</f>
        <v>449918.986075077</v>
      </c>
      <c r="AI43" s="6" t="n">
        <f aca="false">MAX(AH43,AC43)</f>
        <v>449918.986075077</v>
      </c>
      <c r="AJ43" s="6" t="n">
        <f aca="false">MAX(AI43,AD43)</f>
        <v>449918.986075077</v>
      </c>
      <c r="AK43" s="6" t="n">
        <f aca="false">MAX(AJ43,AE43)</f>
        <v>449918.986075077</v>
      </c>
      <c r="AL43" s="8" t="n">
        <f aca="false">MIN(Z43/AF43-1,AA43/AG43-1,AB43/AH43-1,AC43/AI43-1,AD43/AJ43-1,AE43/AK43-1)</f>
        <v>-0.415616538193456</v>
      </c>
      <c r="AM43" s="6" t="n">
        <f aca="false">AE43-Assumptions!$B$35</f>
        <v>-82672.878917204</v>
      </c>
    </row>
    <row r="44" customFormat="false" ht="15" hidden="false" customHeight="false" outlineLevel="0" collapsed="false">
      <c r="A44" s="0" t="n">
        <f aca="false">ROW()-1</f>
        <v>43</v>
      </c>
      <c r="B44" s="0" t="str">
        <f aca="true">IF(RAND()&lt;Assumptions!$B$11,"Bull","Bear")</f>
        <v>Bull</v>
      </c>
      <c r="C44" s="0" t="str">
        <f aca="true">IF(B44="Bull",IF(RAND()&lt;Assumptions!$B$7,"Bull","Bear"),IF(RAND()&lt;Assumptions!$B$10,"Bear","Bull"))</f>
        <v>Bull</v>
      </c>
      <c r="D44" s="0" t="str">
        <f aca="true">IF(C44="Bull",IF(RAND()&lt;Assumptions!$B$7,"Bull","Bear"),IF(RAND()&lt;Assumptions!$B$10,"Bear","Bull"))</f>
        <v>Bull</v>
      </c>
      <c r="E44" s="0" t="str">
        <f aca="true">IF(D44="Bull",IF(RAND()&lt;Assumptions!$B$7,"Bull","Bear"),IF(RAND()&lt;Assumptions!$B$10,"Bear","Bull"))</f>
        <v>Bull</v>
      </c>
      <c r="F44" s="0" t="str">
        <f aca="true">IF(E44="Bull",IF(RAND()&lt;Assumptions!$B$7,"Bull","Bear"),IF(RAND()&lt;Assumptions!$B$10,"Bear","Bull"))</f>
        <v>Bull</v>
      </c>
      <c r="G44" s="0" t="str">
        <f aca="true">IF(F44="Bull",IF(RAND()&lt;Assumptions!$B$7,"Bull","Bear"),IF(RAND()&lt;Assumptions!$B$10,"Bear","Bull"))</f>
        <v>Bull</v>
      </c>
      <c r="H44" s="8" t="n">
        <f aca="true">IF(B44="Bull",NORMINV(RAND(),Assumptions!$B$5,Assumptions!$B$6),NORMINV(RAND(),Assumptions!$B$8,Assumptions!$B$9))</f>
        <v>-0.0136840277665194</v>
      </c>
      <c r="I44" s="8" t="n">
        <f aca="true">IF(C44="Bull",NORMINV(RAND(),Assumptions!$B$5,Assumptions!$B$6),NORMINV(RAND(),Assumptions!$B$8,Assumptions!$B$9))</f>
        <v>0.200920902247606</v>
      </c>
      <c r="J44" s="8" t="n">
        <f aca="true">IF(D44="Bull",NORMINV(RAND(),Assumptions!$B$5,Assumptions!$B$6),NORMINV(RAND(),Assumptions!$B$8,Assumptions!$B$9))</f>
        <v>0.101440458780447</v>
      </c>
      <c r="K44" s="8" t="n">
        <f aca="true">IF(E44="Bull",NORMINV(RAND(),Assumptions!$B$5,Assumptions!$B$6),NORMINV(RAND(),Assumptions!$B$8,Assumptions!$B$9))</f>
        <v>0.130162756736009</v>
      </c>
      <c r="L44" s="8" t="n">
        <f aca="true">IF(F44="Bull",NORMINV(RAND(),Assumptions!$B$5,Assumptions!$B$6),NORMINV(RAND(),Assumptions!$B$8,Assumptions!$B$9))</f>
        <v>0.264729693416046</v>
      </c>
      <c r="M44" s="8" t="n">
        <f aca="true">IF(G44="Bull",NORMINV(RAND(),Assumptions!$B$5,Assumptions!$B$6),NORMINV(RAND(),Assumptions!$B$8,Assumptions!$B$9))</f>
        <v>0.0269340084933475</v>
      </c>
      <c r="N44" s="8" t="n">
        <f aca="true">NORMINV(RAND(),Assumptions!$B$14,Assumptions!$B$15)</f>
        <v>0.0472200440790652</v>
      </c>
      <c r="O44" s="8" t="n">
        <f aca="true">NORMINV(RAND(),Assumptions!$B$14,Assumptions!$B$15)</f>
        <v>0.0384736579111532</v>
      </c>
      <c r="P44" s="8" t="n">
        <f aca="true">NORMINV(RAND(),Assumptions!$B$14,Assumptions!$B$15)</f>
        <v>0.0275998108235243</v>
      </c>
      <c r="Q44" s="8" t="n">
        <f aca="true">NORMINV(RAND(),Assumptions!$B$14,Assumptions!$B$15)</f>
        <v>0.0708793370695076</v>
      </c>
      <c r="R44" s="8" t="n">
        <f aca="true">NORMINV(RAND(),Assumptions!$B$14,Assumptions!$B$15)</f>
        <v>0.0509993245617109</v>
      </c>
      <c r="S44" s="8" t="n">
        <f aca="true">NORMINV(RAND(),Assumptions!$B$14,Assumptions!$B$15)</f>
        <v>0.0261000923201688</v>
      </c>
      <c r="T44" s="8" t="n">
        <f aca="false">Assumptions!$B$19*H44+(1-Assumptions!$B$19)*N44</f>
        <v>-0.0136840277665194</v>
      </c>
      <c r="U44" s="8" t="n">
        <f aca="false">Assumptions!$B$20*I44+(1-Assumptions!$B$20)*O44</f>
        <v>0.200920902247606</v>
      </c>
      <c r="V44" s="8" t="n">
        <f aca="false">Assumptions!$B$21*J44+(1-Assumptions!$B$21)*P44</f>
        <v>0.101440458780447</v>
      </c>
      <c r="W44" s="8" t="n">
        <f aca="false">Assumptions!$B$22*K44+(1-Assumptions!$B$22)*Q44</f>
        <v>0.130162756736009</v>
      </c>
      <c r="X44" s="8" t="n">
        <f aca="false">Assumptions!$B$23*L44+(1-Assumptions!$B$23)*R44</f>
        <v>0.221983619645179</v>
      </c>
      <c r="Y44" s="8" t="n">
        <f aca="false">Assumptions!$B$24*M44+(1-Assumptions!$B$24)*S44</f>
        <v>0.026600442024076</v>
      </c>
      <c r="Z44" s="6" t="n">
        <f aca="false">Assumptions!$B$27*(1+T44)</f>
        <v>295894.791670044</v>
      </c>
      <c r="AA44" s="6" t="n">
        <f aca="false">(Z44+Assumptions!$B$28)*(1+U44)</f>
        <v>535484.375519898</v>
      </c>
      <c r="AB44" s="6" t="n">
        <f aca="false">AA44*(1+V44)</f>
        <v>589804.156242398</v>
      </c>
      <c r="AC44" s="6" t="n">
        <f aca="false">AB44*(1+W44)</f>
        <v>666574.691153264</v>
      </c>
      <c r="AD44" s="6" t="n">
        <f aca="false">AC44*(1+X44)</f>
        <v>814543.353859333</v>
      </c>
      <c r="AE44" s="6" t="n">
        <f aca="false">AD44*(1+Y44)</f>
        <v>836210.567119765</v>
      </c>
      <c r="AF44" s="6" t="n">
        <f aca="false">Z44</f>
        <v>295894.791670044</v>
      </c>
      <c r="AG44" s="6" t="n">
        <f aca="false">MAX(AF44,AA44)</f>
        <v>535484.375519898</v>
      </c>
      <c r="AH44" s="6" t="n">
        <f aca="false">MAX(AG44,AB44)</f>
        <v>589804.156242398</v>
      </c>
      <c r="AI44" s="6" t="n">
        <f aca="false">MAX(AH44,AC44)</f>
        <v>666574.691153264</v>
      </c>
      <c r="AJ44" s="6" t="n">
        <f aca="false">MAX(AI44,AD44)</f>
        <v>814543.353859333</v>
      </c>
      <c r="AK44" s="6" t="n">
        <f aca="false">MAX(AJ44,AE44)</f>
        <v>836210.567119765</v>
      </c>
      <c r="AL44" s="8" t="n">
        <f aca="false">MIN(Z44/AF44-1,AA44/AG44-1,AB44/AH44-1,AC44/AI44-1,AD44/AJ44-1,AE44/AK44-1)</f>
        <v>0</v>
      </c>
      <c r="AM44" s="6" t="n">
        <f aca="false">AE44-Assumptions!$B$35</f>
        <v>394946.570457261</v>
      </c>
    </row>
    <row r="45" customFormat="false" ht="15" hidden="false" customHeight="false" outlineLevel="0" collapsed="false">
      <c r="A45" s="0" t="n">
        <f aca="false">ROW()-1</f>
        <v>44</v>
      </c>
      <c r="B45" s="0" t="str">
        <f aca="true">IF(RAND()&lt;Assumptions!$B$11,"Bull","Bear")</f>
        <v>Bull</v>
      </c>
      <c r="C45" s="0" t="str">
        <f aca="true">IF(B45="Bull",IF(RAND()&lt;Assumptions!$B$7,"Bull","Bear"),IF(RAND()&lt;Assumptions!$B$10,"Bear","Bull"))</f>
        <v>Bull</v>
      </c>
      <c r="D45" s="0" t="str">
        <f aca="true">IF(C45="Bull",IF(RAND()&lt;Assumptions!$B$7,"Bull","Bear"),IF(RAND()&lt;Assumptions!$B$10,"Bear","Bull"))</f>
        <v>Bull</v>
      </c>
      <c r="E45" s="0" t="str">
        <f aca="true">IF(D45="Bull",IF(RAND()&lt;Assumptions!$B$7,"Bull","Bear"),IF(RAND()&lt;Assumptions!$B$10,"Bear","Bull"))</f>
        <v>Bull</v>
      </c>
      <c r="F45" s="0" t="str">
        <f aca="true">IF(E45="Bull",IF(RAND()&lt;Assumptions!$B$7,"Bull","Bear"),IF(RAND()&lt;Assumptions!$B$10,"Bear","Bull"))</f>
        <v>Bull</v>
      </c>
      <c r="G45" s="0" t="str">
        <f aca="true">IF(F45="Bull",IF(RAND()&lt;Assumptions!$B$7,"Bull","Bear"),IF(RAND()&lt;Assumptions!$B$10,"Bear","Bull"))</f>
        <v>Bull</v>
      </c>
      <c r="H45" s="8" t="n">
        <f aca="true">IF(B45="Bull",NORMINV(RAND(),Assumptions!$B$5,Assumptions!$B$6),NORMINV(RAND(),Assumptions!$B$8,Assumptions!$B$9))</f>
        <v>0.271966252998214</v>
      </c>
      <c r="I45" s="8" t="n">
        <f aca="true">IF(C45="Bull",NORMINV(RAND(),Assumptions!$B$5,Assumptions!$B$6),NORMINV(RAND(),Assumptions!$B$8,Assumptions!$B$9))</f>
        <v>0.215871999940219</v>
      </c>
      <c r="J45" s="8" t="n">
        <f aca="true">IF(D45="Bull",NORMINV(RAND(),Assumptions!$B$5,Assumptions!$B$6),NORMINV(RAND(),Assumptions!$B$8,Assumptions!$B$9))</f>
        <v>0.231112699058033</v>
      </c>
      <c r="K45" s="8" t="n">
        <f aca="true">IF(E45="Bull",NORMINV(RAND(),Assumptions!$B$5,Assumptions!$B$6),NORMINV(RAND(),Assumptions!$B$8,Assumptions!$B$9))</f>
        <v>0.0813642422560133</v>
      </c>
      <c r="L45" s="8" t="n">
        <f aca="true">IF(F45="Bull",NORMINV(RAND(),Assumptions!$B$5,Assumptions!$B$6),NORMINV(RAND(),Assumptions!$B$8,Assumptions!$B$9))</f>
        <v>0.221354114019846</v>
      </c>
      <c r="M45" s="8" t="n">
        <f aca="true">IF(G45="Bull",NORMINV(RAND(),Assumptions!$B$5,Assumptions!$B$6),NORMINV(RAND(),Assumptions!$B$8,Assumptions!$B$9))</f>
        <v>0.173878225477677</v>
      </c>
      <c r="N45" s="8" t="n">
        <f aca="true">NORMINV(RAND(),Assumptions!$B$14,Assumptions!$B$15)</f>
        <v>0.0865796198403787</v>
      </c>
      <c r="O45" s="8" t="n">
        <f aca="true">NORMINV(RAND(),Assumptions!$B$14,Assumptions!$B$15)</f>
        <v>0.0457989451181426</v>
      </c>
      <c r="P45" s="8" t="n">
        <f aca="true">NORMINV(RAND(),Assumptions!$B$14,Assumptions!$B$15)</f>
        <v>0.0536844260874443</v>
      </c>
      <c r="Q45" s="8" t="n">
        <f aca="true">NORMINV(RAND(),Assumptions!$B$14,Assumptions!$B$15)</f>
        <v>0.0251498379270417</v>
      </c>
      <c r="R45" s="8" t="n">
        <f aca="true">NORMINV(RAND(),Assumptions!$B$14,Assumptions!$B$15)</f>
        <v>0.0490442517819369</v>
      </c>
      <c r="S45" s="8" t="n">
        <f aca="true">NORMINV(RAND(),Assumptions!$B$14,Assumptions!$B$15)</f>
        <v>0.015009470927402</v>
      </c>
      <c r="T45" s="8" t="n">
        <f aca="false">Assumptions!$B$19*H45+(1-Assumptions!$B$19)*N45</f>
        <v>0.271966252998214</v>
      </c>
      <c r="U45" s="8" t="n">
        <f aca="false">Assumptions!$B$20*I45+(1-Assumptions!$B$20)*O45</f>
        <v>0.215871999940219</v>
      </c>
      <c r="V45" s="8" t="n">
        <f aca="false">Assumptions!$B$21*J45+(1-Assumptions!$B$21)*P45</f>
        <v>0.231112699058033</v>
      </c>
      <c r="W45" s="8" t="n">
        <f aca="false">Assumptions!$B$22*K45+(1-Assumptions!$B$22)*Q45</f>
        <v>0.0813642422560133</v>
      </c>
      <c r="X45" s="8" t="n">
        <f aca="false">Assumptions!$B$23*L45+(1-Assumptions!$B$23)*R45</f>
        <v>0.186892141572264</v>
      </c>
      <c r="Y45" s="8" t="n">
        <f aca="false">Assumptions!$B$24*M45+(1-Assumptions!$B$24)*S45</f>
        <v>0.110330723657567</v>
      </c>
      <c r="Z45" s="6" t="n">
        <f aca="false">Assumptions!$B$27*(1+T45)</f>
        <v>381589.875899464</v>
      </c>
      <c r="AA45" s="6" t="n">
        <f aca="false">(Z45+Assumptions!$B$28)*(1+U45)</f>
        <v>646345.245557855</v>
      </c>
      <c r="AB45" s="6" t="n">
        <f aca="false">AA45*(1+V45)</f>
        <v>795723.839782057</v>
      </c>
      <c r="AC45" s="6" t="n">
        <f aca="false">AB45*(1+W45)</f>
        <v>860467.30705097</v>
      </c>
      <c r="AD45" s="6" t="n">
        <f aca="false">AC45*(1+X45)</f>
        <v>1021281.88481864</v>
      </c>
      <c r="AE45" s="6" t="n">
        <f aca="false">AD45*(1+Y45)</f>
        <v>1133960.65422905</v>
      </c>
      <c r="AF45" s="6" t="n">
        <f aca="false">Z45</f>
        <v>381589.875899464</v>
      </c>
      <c r="AG45" s="6" t="n">
        <f aca="false">MAX(AF45,AA45)</f>
        <v>646345.245557855</v>
      </c>
      <c r="AH45" s="6" t="n">
        <f aca="false">MAX(AG45,AB45)</f>
        <v>795723.839782057</v>
      </c>
      <c r="AI45" s="6" t="n">
        <f aca="false">MAX(AH45,AC45)</f>
        <v>860467.30705097</v>
      </c>
      <c r="AJ45" s="6" t="n">
        <f aca="false">MAX(AI45,AD45)</f>
        <v>1021281.88481864</v>
      </c>
      <c r="AK45" s="6" t="n">
        <f aca="false">MAX(AJ45,AE45)</f>
        <v>1133960.65422905</v>
      </c>
      <c r="AL45" s="8" t="n">
        <f aca="false">MIN(Z45/AF45-1,AA45/AG45-1,AB45/AH45-1,AC45/AI45-1,AD45/AJ45-1,AE45/AK45-1)</f>
        <v>0</v>
      </c>
      <c r="AM45" s="6" t="n">
        <f aca="false">AE45-Assumptions!$B$35</f>
        <v>692696.657566546</v>
      </c>
    </row>
    <row r="46" customFormat="false" ht="15" hidden="false" customHeight="false" outlineLevel="0" collapsed="false">
      <c r="A46" s="0" t="n">
        <f aca="false">ROW()-1</f>
        <v>45</v>
      </c>
      <c r="B46" s="0" t="str">
        <f aca="true">IF(RAND()&lt;Assumptions!$B$11,"Bull","Bear")</f>
        <v>Bull</v>
      </c>
      <c r="C46" s="0" t="str">
        <f aca="true">IF(B46="Bull",IF(RAND()&lt;Assumptions!$B$7,"Bull","Bear"),IF(RAND()&lt;Assumptions!$B$10,"Bear","Bull"))</f>
        <v>Bull</v>
      </c>
      <c r="D46" s="0" t="str">
        <f aca="true">IF(C46="Bull",IF(RAND()&lt;Assumptions!$B$7,"Bull","Bear"),IF(RAND()&lt;Assumptions!$B$10,"Bear","Bull"))</f>
        <v>Bull</v>
      </c>
      <c r="E46" s="0" t="str">
        <f aca="true">IF(D46="Bull",IF(RAND()&lt;Assumptions!$B$7,"Bull","Bear"),IF(RAND()&lt;Assumptions!$B$10,"Bear","Bull"))</f>
        <v>Bull</v>
      </c>
      <c r="F46" s="0" t="str">
        <f aca="true">IF(E46="Bull",IF(RAND()&lt;Assumptions!$B$7,"Bull","Bear"),IF(RAND()&lt;Assumptions!$B$10,"Bear","Bull"))</f>
        <v>Bull</v>
      </c>
      <c r="G46" s="0" t="str">
        <f aca="true">IF(F46="Bull",IF(RAND()&lt;Assumptions!$B$7,"Bull","Bear"),IF(RAND()&lt;Assumptions!$B$10,"Bear","Bull"))</f>
        <v>Bull</v>
      </c>
      <c r="H46" s="8" t="n">
        <f aca="true">IF(B46="Bull",NORMINV(RAND(),Assumptions!$B$5,Assumptions!$B$6),NORMINV(RAND(),Assumptions!$B$8,Assumptions!$B$9))</f>
        <v>0.231126173570548</v>
      </c>
      <c r="I46" s="8" t="n">
        <f aca="true">IF(C46="Bull",NORMINV(RAND(),Assumptions!$B$5,Assumptions!$B$6),NORMINV(RAND(),Assumptions!$B$8,Assumptions!$B$9))</f>
        <v>0.0186691809533443</v>
      </c>
      <c r="J46" s="8" t="n">
        <f aca="true">IF(D46="Bull",NORMINV(RAND(),Assumptions!$B$5,Assumptions!$B$6),NORMINV(RAND(),Assumptions!$B$8,Assumptions!$B$9))</f>
        <v>0.268563661270282</v>
      </c>
      <c r="K46" s="8" t="n">
        <f aca="true">IF(E46="Bull",NORMINV(RAND(),Assumptions!$B$5,Assumptions!$B$6),NORMINV(RAND(),Assumptions!$B$8,Assumptions!$B$9))</f>
        <v>0.131891479623098</v>
      </c>
      <c r="L46" s="8" t="n">
        <f aca="true">IF(F46="Bull",NORMINV(RAND(),Assumptions!$B$5,Assumptions!$B$6),NORMINV(RAND(),Assumptions!$B$8,Assumptions!$B$9))</f>
        <v>-0.0407053116303631</v>
      </c>
      <c r="M46" s="8" t="n">
        <f aca="true">IF(G46="Bull",NORMINV(RAND(),Assumptions!$B$5,Assumptions!$B$6),NORMINV(RAND(),Assumptions!$B$8,Assumptions!$B$9))</f>
        <v>0.105347450390783</v>
      </c>
      <c r="N46" s="8" t="n">
        <f aca="true">NORMINV(RAND(),Assumptions!$B$14,Assumptions!$B$15)</f>
        <v>0.0261242616514747</v>
      </c>
      <c r="O46" s="8" t="n">
        <f aca="true">NORMINV(RAND(),Assumptions!$B$14,Assumptions!$B$15)</f>
        <v>0.0485971862802152</v>
      </c>
      <c r="P46" s="8" t="n">
        <f aca="true">NORMINV(RAND(),Assumptions!$B$14,Assumptions!$B$15)</f>
        <v>0.055449740633648</v>
      </c>
      <c r="Q46" s="8" t="n">
        <f aca="true">NORMINV(RAND(),Assumptions!$B$14,Assumptions!$B$15)</f>
        <v>0.0619301677851941</v>
      </c>
      <c r="R46" s="8" t="n">
        <f aca="true">NORMINV(RAND(),Assumptions!$B$14,Assumptions!$B$15)</f>
        <v>0.0664177719948602</v>
      </c>
      <c r="S46" s="8" t="n">
        <f aca="true">NORMINV(RAND(),Assumptions!$B$14,Assumptions!$B$15)</f>
        <v>0.0581490439613936</v>
      </c>
      <c r="T46" s="8" t="n">
        <f aca="false">Assumptions!$B$19*H46+(1-Assumptions!$B$19)*N46</f>
        <v>0.231126173570548</v>
      </c>
      <c r="U46" s="8" t="n">
        <f aca="false">Assumptions!$B$20*I46+(1-Assumptions!$B$20)*O46</f>
        <v>0.0186691809533443</v>
      </c>
      <c r="V46" s="8" t="n">
        <f aca="false">Assumptions!$B$21*J46+(1-Assumptions!$B$21)*P46</f>
        <v>0.268563661270282</v>
      </c>
      <c r="W46" s="8" t="n">
        <f aca="false">Assumptions!$B$22*K46+(1-Assumptions!$B$22)*Q46</f>
        <v>0.131891479623098</v>
      </c>
      <c r="X46" s="8" t="n">
        <f aca="false">Assumptions!$B$23*L46+(1-Assumptions!$B$23)*R46</f>
        <v>-0.0192806949053185</v>
      </c>
      <c r="Y46" s="8" t="n">
        <f aca="false">Assumptions!$B$24*M46+(1-Assumptions!$B$24)*S46</f>
        <v>0.0864680878190269</v>
      </c>
      <c r="Z46" s="6" t="n">
        <f aca="false">Assumptions!$B$27*(1+T46)</f>
        <v>369337.852071164</v>
      </c>
      <c r="AA46" s="6" t="n">
        <f aca="false">(Z46+Assumptions!$B$28)*(1+U46)</f>
        <v>529033.464407402</v>
      </c>
      <c r="AB46" s="6" t="n">
        <f aca="false">AA46*(1+V46)</f>
        <v>671112.628543156</v>
      </c>
      <c r="AC46" s="6" t="n">
        <f aca="false">AB46*(1+W46)</f>
        <v>759626.666115459</v>
      </c>
      <c r="AD46" s="6" t="n">
        <f aca="false">AC46*(1+X46)</f>
        <v>744980.536124143</v>
      </c>
      <c r="AE46" s="6" t="n">
        <f aca="false">AD46*(1+Y46)</f>
        <v>809397.578545191</v>
      </c>
      <c r="AF46" s="6" t="n">
        <f aca="false">Z46</f>
        <v>369337.852071164</v>
      </c>
      <c r="AG46" s="6" t="n">
        <f aca="false">MAX(AF46,AA46)</f>
        <v>529033.464407402</v>
      </c>
      <c r="AH46" s="6" t="n">
        <f aca="false">MAX(AG46,AB46)</f>
        <v>671112.628543156</v>
      </c>
      <c r="AI46" s="6" t="n">
        <f aca="false">MAX(AH46,AC46)</f>
        <v>759626.666115459</v>
      </c>
      <c r="AJ46" s="6" t="n">
        <f aca="false">MAX(AI46,AD46)</f>
        <v>759626.666115459</v>
      </c>
      <c r="AK46" s="6" t="n">
        <f aca="false">MAX(AJ46,AE46)</f>
        <v>809397.578545191</v>
      </c>
      <c r="AL46" s="8" t="n">
        <f aca="false">MIN(Z46/AF46-1,AA46/AG46-1,AB46/AH46-1,AC46/AI46-1,AD46/AJ46-1,AE46/AK46-1)</f>
        <v>-0.0192806949053185</v>
      </c>
      <c r="AM46" s="6" t="n">
        <f aca="false">AE46-Assumptions!$B$35</f>
        <v>368133.581882687</v>
      </c>
    </row>
    <row r="47" customFormat="false" ht="15" hidden="false" customHeight="false" outlineLevel="0" collapsed="false">
      <c r="A47" s="0" t="n">
        <f aca="false">ROW()-1</f>
        <v>46</v>
      </c>
      <c r="B47" s="0" t="str">
        <f aca="true">IF(RAND()&lt;Assumptions!$B$11,"Bull","Bear")</f>
        <v>Bull</v>
      </c>
      <c r="C47" s="0" t="str">
        <f aca="true">IF(B47="Bull",IF(RAND()&lt;Assumptions!$B$7,"Bull","Bear"),IF(RAND()&lt;Assumptions!$B$10,"Bear","Bull"))</f>
        <v>Bull</v>
      </c>
      <c r="D47" s="0" t="str">
        <f aca="true">IF(C47="Bull",IF(RAND()&lt;Assumptions!$B$7,"Bull","Bear"),IF(RAND()&lt;Assumptions!$B$10,"Bear","Bull"))</f>
        <v>Bull</v>
      </c>
      <c r="E47" s="0" t="str">
        <f aca="true">IF(D47="Bull",IF(RAND()&lt;Assumptions!$B$7,"Bull","Bear"),IF(RAND()&lt;Assumptions!$B$10,"Bear","Bull"))</f>
        <v>Bear</v>
      </c>
      <c r="F47" s="0" t="str">
        <f aca="true">IF(E47="Bull",IF(RAND()&lt;Assumptions!$B$7,"Bull","Bear"),IF(RAND()&lt;Assumptions!$B$10,"Bear","Bull"))</f>
        <v>Bear</v>
      </c>
      <c r="G47" s="0" t="str">
        <f aca="true">IF(F47="Bull",IF(RAND()&lt;Assumptions!$B$7,"Bull","Bear"),IF(RAND()&lt;Assumptions!$B$10,"Bear","Bull"))</f>
        <v>Bear</v>
      </c>
      <c r="H47" s="8" t="n">
        <f aca="true">IF(B47="Bull",NORMINV(RAND(),Assumptions!$B$5,Assumptions!$B$6),NORMINV(RAND(),Assumptions!$B$8,Assumptions!$B$9))</f>
        <v>0.147118994953482</v>
      </c>
      <c r="I47" s="8" t="n">
        <f aca="true">IF(C47="Bull",NORMINV(RAND(),Assumptions!$B$5,Assumptions!$B$6),NORMINV(RAND(),Assumptions!$B$8,Assumptions!$B$9))</f>
        <v>0.199333949690593</v>
      </c>
      <c r="J47" s="8" t="n">
        <f aca="true">IF(D47="Bull",NORMINV(RAND(),Assumptions!$B$5,Assumptions!$B$6),NORMINV(RAND(),Assumptions!$B$8,Assumptions!$B$9))</f>
        <v>0.237547343838024</v>
      </c>
      <c r="K47" s="8" t="n">
        <f aca="true">IF(E47="Bull",NORMINV(RAND(),Assumptions!$B$5,Assumptions!$B$6),NORMINV(RAND(),Assumptions!$B$8,Assumptions!$B$9))</f>
        <v>0.112705407344241</v>
      </c>
      <c r="L47" s="8" t="n">
        <f aca="true">IF(F47="Bull",NORMINV(RAND(),Assumptions!$B$5,Assumptions!$B$6),NORMINV(RAND(),Assumptions!$B$8,Assumptions!$B$9))</f>
        <v>-0.375259331429224</v>
      </c>
      <c r="M47" s="8" t="n">
        <f aca="true">IF(G47="Bull",NORMINV(RAND(),Assumptions!$B$5,Assumptions!$B$6),NORMINV(RAND(),Assumptions!$B$8,Assumptions!$B$9))</f>
        <v>-0.304930123808206</v>
      </c>
      <c r="N47" s="8" t="n">
        <f aca="true">NORMINV(RAND(),Assumptions!$B$14,Assumptions!$B$15)</f>
        <v>0.063522882345516</v>
      </c>
      <c r="O47" s="8" t="n">
        <f aca="true">NORMINV(RAND(),Assumptions!$B$14,Assumptions!$B$15)</f>
        <v>0.0899502247284438</v>
      </c>
      <c r="P47" s="8" t="n">
        <f aca="true">NORMINV(RAND(),Assumptions!$B$14,Assumptions!$B$15)</f>
        <v>-0.0312264648898473</v>
      </c>
      <c r="Q47" s="8" t="n">
        <f aca="true">NORMINV(RAND(),Assumptions!$B$14,Assumptions!$B$15)</f>
        <v>0.00517911216599784</v>
      </c>
      <c r="R47" s="8" t="n">
        <f aca="true">NORMINV(RAND(),Assumptions!$B$14,Assumptions!$B$15)</f>
        <v>0.0378190735615788</v>
      </c>
      <c r="S47" s="8" t="n">
        <f aca="true">NORMINV(RAND(),Assumptions!$B$14,Assumptions!$B$15)</f>
        <v>0.038224935913799</v>
      </c>
      <c r="T47" s="8" t="n">
        <f aca="false">Assumptions!$B$19*H47+(1-Assumptions!$B$19)*N47</f>
        <v>0.147118994953482</v>
      </c>
      <c r="U47" s="8" t="n">
        <f aca="false">Assumptions!$B$20*I47+(1-Assumptions!$B$20)*O47</f>
        <v>0.199333949690593</v>
      </c>
      <c r="V47" s="8" t="n">
        <f aca="false">Assumptions!$B$21*J47+(1-Assumptions!$B$21)*P47</f>
        <v>0.237547343838024</v>
      </c>
      <c r="W47" s="8" t="n">
        <f aca="false">Assumptions!$B$22*K47+(1-Assumptions!$B$22)*Q47</f>
        <v>0.112705407344241</v>
      </c>
      <c r="X47" s="8" t="n">
        <f aca="false">Assumptions!$B$23*L47+(1-Assumptions!$B$23)*R47</f>
        <v>-0.292643650431064</v>
      </c>
      <c r="Y47" s="8" t="n">
        <f aca="false">Assumptions!$B$24*M47+(1-Assumptions!$B$24)*S47</f>
        <v>-0.167668099919404</v>
      </c>
      <c r="Z47" s="6" t="n">
        <f aca="false">Assumptions!$B$27*(1+T47)</f>
        <v>344135.698486045</v>
      </c>
      <c r="AA47" s="6" t="n">
        <f aca="false">(Z47+Assumptions!$B$28)*(1+U47)</f>
        <v>592633.718948388</v>
      </c>
      <c r="AB47" s="6" t="n">
        <f aca="false">AA47*(1+V47)</f>
        <v>733412.284753427</v>
      </c>
      <c r="AC47" s="6" t="n">
        <f aca="false">AB47*(1+W47)</f>
        <v>816071.815057833</v>
      </c>
      <c r="AD47" s="6" t="n">
        <f aca="false">AC47*(1+X47)</f>
        <v>577253.580085405</v>
      </c>
      <c r="AE47" s="6" t="n">
        <f aca="false">AD47*(1+Y47)</f>
        <v>480466.569140812</v>
      </c>
      <c r="AF47" s="6" t="n">
        <f aca="false">Z47</f>
        <v>344135.698486045</v>
      </c>
      <c r="AG47" s="6" t="n">
        <f aca="false">MAX(AF47,AA47)</f>
        <v>592633.718948388</v>
      </c>
      <c r="AH47" s="6" t="n">
        <f aca="false">MAX(AG47,AB47)</f>
        <v>733412.284753427</v>
      </c>
      <c r="AI47" s="6" t="n">
        <f aca="false">MAX(AH47,AC47)</f>
        <v>816071.815057833</v>
      </c>
      <c r="AJ47" s="6" t="n">
        <f aca="false">MAX(AI47,AD47)</f>
        <v>816071.815057833</v>
      </c>
      <c r="AK47" s="6" t="n">
        <f aca="false">MAX(AJ47,AE47)</f>
        <v>816071.815057833</v>
      </c>
      <c r="AL47" s="8" t="n">
        <f aca="false">MIN(Z47/AF47-1,AA47/AG47-1,AB47/AH47-1,AC47/AI47-1,AD47/AJ47-1,AE47/AK47-1)</f>
        <v>-0.411244745529213</v>
      </c>
      <c r="AM47" s="6" t="n">
        <f aca="false">AE47-Assumptions!$B$35</f>
        <v>39202.5724783081</v>
      </c>
    </row>
    <row r="48" customFormat="false" ht="15" hidden="false" customHeight="false" outlineLevel="0" collapsed="false">
      <c r="A48" s="0" t="n">
        <f aca="false">ROW()-1</f>
        <v>47</v>
      </c>
      <c r="B48" s="0" t="str">
        <f aca="true">IF(RAND()&lt;Assumptions!$B$11,"Bull","Bear")</f>
        <v>Bull</v>
      </c>
      <c r="C48" s="0" t="str">
        <f aca="true">IF(B48="Bull",IF(RAND()&lt;Assumptions!$B$7,"Bull","Bear"),IF(RAND()&lt;Assumptions!$B$10,"Bear","Bull"))</f>
        <v>Bull</v>
      </c>
      <c r="D48" s="0" t="str">
        <f aca="true">IF(C48="Bull",IF(RAND()&lt;Assumptions!$B$7,"Bull","Bear"),IF(RAND()&lt;Assumptions!$B$10,"Bear","Bull"))</f>
        <v>Bear</v>
      </c>
      <c r="E48" s="0" t="str">
        <f aca="true">IF(D48="Bull",IF(RAND()&lt;Assumptions!$B$7,"Bull","Bear"),IF(RAND()&lt;Assumptions!$B$10,"Bear","Bull"))</f>
        <v>Bull</v>
      </c>
      <c r="F48" s="0" t="str">
        <f aca="true">IF(E48="Bull",IF(RAND()&lt;Assumptions!$B$7,"Bull","Bear"),IF(RAND()&lt;Assumptions!$B$10,"Bear","Bull"))</f>
        <v>Bull</v>
      </c>
      <c r="G48" s="0" t="str">
        <f aca="true">IF(F48="Bull",IF(RAND()&lt;Assumptions!$B$7,"Bull","Bear"),IF(RAND()&lt;Assumptions!$B$10,"Bear","Bull"))</f>
        <v>Bull</v>
      </c>
      <c r="H48" s="8" t="n">
        <f aca="true">IF(B48="Bull",NORMINV(RAND(),Assumptions!$B$5,Assumptions!$B$6),NORMINV(RAND(),Assumptions!$B$8,Assumptions!$B$9))</f>
        <v>0.0946981714251664</v>
      </c>
      <c r="I48" s="8" t="n">
        <f aca="true">IF(C48="Bull",NORMINV(RAND(),Assumptions!$B$5,Assumptions!$B$6),NORMINV(RAND(),Assumptions!$B$8,Assumptions!$B$9))</f>
        <v>0.188469860843059</v>
      </c>
      <c r="J48" s="8" t="n">
        <f aca="true">IF(D48="Bull",NORMINV(RAND(),Assumptions!$B$5,Assumptions!$B$6),NORMINV(RAND(),Assumptions!$B$8,Assumptions!$B$9))</f>
        <v>-0.23552371801763</v>
      </c>
      <c r="K48" s="8" t="n">
        <f aca="true">IF(E48="Bull",NORMINV(RAND(),Assumptions!$B$5,Assumptions!$B$6),NORMINV(RAND(),Assumptions!$B$8,Assumptions!$B$9))</f>
        <v>0.192277133116686</v>
      </c>
      <c r="L48" s="8" t="n">
        <f aca="true">IF(F48="Bull",NORMINV(RAND(),Assumptions!$B$5,Assumptions!$B$6),NORMINV(RAND(),Assumptions!$B$8,Assumptions!$B$9))</f>
        <v>0.0135181106356949</v>
      </c>
      <c r="M48" s="8" t="n">
        <f aca="true">IF(G48="Bull",NORMINV(RAND(),Assumptions!$B$5,Assumptions!$B$6),NORMINV(RAND(),Assumptions!$B$8,Assumptions!$B$9))</f>
        <v>0.194622074046002</v>
      </c>
      <c r="N48" s="8" t="n">
        <f aca="true">NORMINV(RAND(),Assumptions!$B$14,Assumptions!$B$15)</f>
        <v>0.034876198353973</v>
      </c>
      <c r="O48" s="8" t="n">
        <f aca="true">NORMINV(RAND(),Assumptions!$B$14,Assumptions!$B$15)</f>
        <v>0.024222816575221</v>
      </c>
      <c r="P48" s="8" t="n">
        <f aca="true">NORMINV(RAND(),Assumptions!$B$14,Assumptions!$B$15)</f>
        <v>0.0686854309910218</v>
      </c>
      <c r="Q48" s="8" t="n">
        <f aca="true">NORMINV(RAND(),Assumptions!$B$14,Assumptions!$B$15)</f>
        <v>0.0631763038336947</v>
      </c>
      <c r="R48" s="8" t="n">
        <f aca="true">NORMINV(RAND(),Assumptions!$B$14,Assumptions!$B$15)</f>
        <v>0.0021089751838583</v>
      </c>
      <c r="S48" s="8" t="n">
        <f aca="true">NORMINV(RAND(),Assumptions!$B$14,Assumptions!$B$15)</f>
        <v>0.0188803854340251</v>
      </c>
      <c r="T48" s="8" t="n">
        <f aca="false">Assumptions!$B$19*H48+(1-Assumptions!$B$19)*N48</f>
        <v>0.0946981714251664</v>
      </c>
      <c r="U48" s="8" t="n">
        <f aca="false">Assumptions!$B$20*I48+(1-Assumptions!$B$20)*O48</f>
        <v>0.188469860843059</v>
      </c>
      <c r="V48" s="8" t="n">
        <f aca="false">Assumptions!$B$21*J48+(1-Assumptions!$B$21)*P48</f>
        <v>-0.23552371801763</v>
      </c>
      <c r="W48" s="8" t="n">
        <f aca="false">Assumptions!$B$22*K48+(1-Assumptions!$B$22)*Q48</f>
        <v>0.192277133116686</v>
      </c>
      <c r="X48" s="8" t="n">
        <f aca="false">Assumptions!$B$23*L48+(1-Assumptions!$B$23)*R48</f>
        <v>0.0112362835453276</v>
      </c>
      <c r="Y48" s="8" t="n">
        <f aca="false">Assumptions!$B$24*M48+(1-Assumptions!$B$24)*S48</f>
        <v>0.124325398601211</v>
      </c>
      <c r="Z48" s="6" t="n">
        <f aca="false">Assumptions!$B$27*(1+T48)</f>
        <v>328409.45142755</v>
      </c>
      <c r="AA48" s="6" t="n">
        <f aca="false">(Z48+Assumptions!$B$28)*(1+U48)</f>
        <v>568575.214164105</v>
      </c>
      <c r="AB48" s="6" t="n">
        <f aca="false">AA48*(1+V48)</f>
        <v>434662.265751504</v>
      </c>
      <c r="AC48" s="6" t="n">
        <f aca="false">AB48*(1+W48)</f>
        <v>518237.880084207</v>
      </c>
      <c r="AD48" s="6" t="n">
        <f aca="false">AC48*(1+X48)</f>
        <v>524060.947848762</v>
      </c>
      <c r="AE48" s="6" t="n">
        <f aca="false">AD48*(1+Y48)</f>
        <v>589215.034081388</v>
      </c>
      <c r="AF48" s="6" t="n">
        <f aca="false">Z48</f>
        <v>328409.45142755</v>
      </c>
      <c r="AG48" s="6" t="n">
        <f aca="false">MAX(AF48,AA48)</f>
        <v>568575.214164105</v>
      </c>
      <c r="AH48" s="6" t="n">
        <f aca="false">MAX(AG48,AB48)</f>
        <v>568575.214164105</v>
      </c>
      <c r="AI48" s="6" t="n">
        <f aca="false">MAX(AH48,AC48)</f>
        <v>568575.214164105</v>
      </c>
      <c r="AJ48" s="6" t="n">
        <f aca="false">MAX(AI48,AD48)</f>
        <v>568575.214164105</v>
      </c>
      <c r="AK48" s="6" t="n">
        <f aca="false">MAX(AJ48,AE48)</f>
        <v>589215.034081388</v>
      </c>
      <c r="AL48" s="8" t="n">
        <f aca="false">MIN(Z48/AF48-1,AA48/AG48-1,AB48/AH48-1,AC48/AI48-1,AD48/AJ48-1,AE48/AK48-1)</f>
        <v>-0.23552371801763</v>
      </c>
      <c r="AM48" s="6" t="n">
        <f aca="false">AE48-Assumptions!$B$35</f>
        <v>147951.037418885</v>
      </c>
    </row>
    <row r="49" customFormat="false" ht="15" hidden="false" customHeight="false" outlineLevel="0" collapsed="false">
      <c r="A49" s="0" t="n">
        <f aca="false">ROW()-1</f>
        <v>48</v>
      </c>
      <c r="B49" s="0" t="str">
        <f aca="true">IF(RAND()&lt;Assumptions!$B$11,"Bull","Bear")</f>
        <v>Bear</v>
      </c>
      <c r="C49" s="0" t="str">
        <f aca="true">IF(B49="Bull",IF(RAND()&lt;Assumptions!$B$7,"Bull","Bear"),IF(RAND()&lt;Assumptions!$B$10,"Bear","Bull"))</f>
        <v>Bull</v>
      </c>
      <c r="D49" s="0" t="str">
        <f aca="true">IF(C49="Bull",IF(RAND()&lt;Assumptions!$B$7,"Bull","Bear"),IF(RAND()&lt;Assumptions!$B$10,"Bear","Bull"))</f>
        <v>Bull</v>
      </c>
      <c r="E49" s="0" t="str">
        <f aca="true">IF(D49="Bull",IF(RAND()&lt;Assumptions!$B$7,"Bull","Bear"),IF(RAND()&lt;Assumptions!$B$10,"Bear","Bull"))</f>
        <v>Bear</v>
      </c>
      <c r="F49" s="0" t="str">
        <f aca="true">IF(E49="Bull",IF(RAND()&lt;Assumptions!$B$7,"Bull","Bear"),IF(RAND()&lt;Assumptions!$B$10,"Bear","Bull"))</f>
        <v>Bear</v>
      </c>
      <c r="G49" s="0" t="str">
        <f aca="true">IF(F49="Bull",IF(RAND()&lt;Assumptions!$B$7,"Bull","Bear"),IF(RAND()&lt;Assumptions!$B$10,"Bear","Bull"))</f>
        <v>Bull</v>
      </c>
      <c r="H49" s="8" t="n">
        <f aca="true">IF(B49="Bull",NORMINV(RAND(),Assumptions!$B$5,Assumptions!$B$6),NORMINV(RAND(),Assumptions!$B$8,Assumptions!$B$9))</f>
        <v>-0.370854138245329</v>
      </c>
      <c r="I49" s="8" t="n">
        <f aca="true">IF(C49="Bull",NORMINV(RAND(),Assumptions!$B$5,Assumptions!$B$6),NORMINV(RAND(),Assumptions!$B$8,Assumptions!$B$9))</f>
        <v>0.173699648004057</v>
      </c>
      <c r="J49" s="8" t="n">
        <f aca="true">IF(D49="Bull",NORMINV(RAND(),Assumptions!$B$5,Assumptions!$B$6),NORMINV(RAND(),Assumptions!$B$8,Assumptions!$B$9))</f>
        <v>0.21972438899338</v>
      </c>
      <c r="K49" s="8" t="n">
        <f aca="true">IF(E49="Bull",NORMINV(RAND(),Assumptions!$B$5,Assumptions!$B$6),NORMINV(RAND(),Assumptions!$B$8,Assumptions!$B$9))</f>
        <v>-0.447960803529211</v>
      </c>
      <c r="L49" s="8" t="n">
        <f aca="true">IF(F49="Bull",NORMINV(RAND(),Assumptions!$B$5,Assumptions!$B$6),NORMINV(RAND(),Assumptions!$B$8,Assumptions!$B$9))</f>
        <v>-0.0804513398246075</v>
      </c>
      <c r="M49" s="8" t="n">
        <f aca="true">IF(G49="Bull",NORMINV(RAND(),Assumptions!$B$5,Assumptions!$B$6),NORMINV(RAND(),Assumptions!$B$8,Assumptions!$B$9))</f>
        <v>0.181461635637735</v>
      </c>
      <c r="N49" s="8" t="n">
        <f aca="true">NORMINV(RAND(),Assumptions!$B$14,Assumptions!$B$15)</f>
        <v>0.104892490641353</v>
      </c>
      <c r="O49" s="8" t="n">
        <f aca="true">NORMINV(RAND(),Assumptions!$B$14,Assumptions!$B$15)</f>
        <v>0.087139307078893</v>
      </c>
      <c r="P49" s="8" t="n">
        <f aca="true">NORMINV(RAND(),Assumptions!$B$14,Assumptions!$B$15)</f>
        <v>0.0789562556226017</v>
      </c>
      <c r="Q49" s="8" t="n">
        <f aca="true">NORMINV(RAND(),Assumptions!$B$14,Assumptions!$B$15)</f>
        <v>0.0103799065607072</v>
      </c>
      <c r="R49" s="8" t="n">
        <f aca="true">NORMINV(RAND(),Assumptions!$B$14,Assumptions!$B$15)</f>
        <v>0.0901589389593472</v>
      </c>
      <c r="S49" s="8" t="n">
        <f aca="true">NORMINV(RAND(),Assumptions!$B$14,Assumptions!$B$15)</f>
        <v>0.0538369748187004</v>
      </c>
      <c r="T49" s="8" t="n">
        <f aca="false">Assumptions!$B$19*H49+(1-Assumptions!$B$19)*N49</f>
        <v>-0.370854138245329</v>
      </c>
      <c r="U49" s="8" t="n">
        <f aca="false">Assumptions!$B$20*I49+(1-Assumptions!$B$20)*O49</f>
        <v>0.173699648004057</v>
      </c>
      <c r="V49" s="8" t="n">
        <f aca="false">Assumptions!$B$21*J49+(1-Assumptions!$B$21)*P49</f>
        <v>0.21972438899338</v>
      </c>
      <c r="W49" s="8" t="n">
        <f aca="false">Assumptions!$B$22*K49+(1-Assumptions!$B$22)*Q49</f>
        <v>-0.447960803529211</v>
      </c>
      <c r="X49" s="8" t="n">
        <f aca="false">Assumptions!$B$23*L49+(1-Assumptions!$B$23)*R49</f>
        <v>-0.0463292840678166</v>
      </c>
      <c r="Y49" s="8" t="n">
        <f aca="false">Assumptions!$B$24*M49+(1-Assumptions!$B$24)*S49</f>
        <v>0.130411771310121</v>
      </c>
      <c r="Z49" s="6" t="n">
        <f aca="false">Assumptions!$B$27*(1+T49)</f>
        <v>188743.758526401</v>
      </c>
      <c r="AA49" s="6" t="n">
        <f aca="false">(Z49+Assumptions!$B$28)*(1+U49)</f>
        <v>397583.430146009</v>
      </c>
      <c r="AB49" s="6" t="n">
        <f aca="false">AA49*(1+V49)</f>
        <v>484942.206408732</v>
      </c>
      <c r="AC49" s="6" t="n">
        <f aca="false">AB49*(1+W49)</f>
        <v>267707.105960648</v>
      </c>
      <c r="AD49" s="6" t="n">
        <f aca="false">AC49*(1+X49)</f>
        <v>255304.427401624</v>
      </c>
      <c r="AE49" s="6" t="n">
        <f aca="false">AD49*(1+Y49)</f>
        <v>288599.130002386</v>
      </c>
      <c r="AF49" s="6" t="n">
        <f aca="false">Z49</f>
        <v>188743.758526401</v>
      </c>
      <c r="AG49" s="6" t="n">
        <f aca="false">MAX(AF49,AA49)</f>
        <v>397583.430146009</v>
      </c>
      <c r="AH49" s="6" t="n">
        <f aca="false">MAX(AG49,AB49)</f>
        <v>484942.206408732</v>
      </c>
      <c r="AI49" s="6" t="n">
        <f aca="false">MAX(AH49,AC49)</f>
        <v>484942.206408732</v>
      </c>
      <c r="AJ49" s="6" t="n">
        <f aca="false">MAX(AI49,AD49)</f>
        <v>484942.206408732</v>
      </c>
      <c r="AK49" s="6" t="n">
        <f aca="false">MAX(AJ49,AE49)</f>
        <v>484942.206408732</v>
      </c>
      <c r="AL49" s="8" t="n">
        <f aca="false">MIN(Z49/AF49-1,AA49/AG49-1,AB49/AH49-1,AC49/AI49-1,AD49/AJ49-1,AE49/AK49-1)</f>
        <v>-0.473536384279076</v>
      </c>
      <c r="AM49" s="6" t="n">
        <f aca="false">AE49-Assumptions!$B$35</f>
        <v>-152664.866660117</v>
      </c>
    </row>
    <row r="50" customFormat="false" ht="15" hidden="false" customHeight="false" outlineLevel="0" collapsed="false">
      <c r="A50" s="0" t="n">
        <f aca="false">ROW()-1</f>
        <v>49</v>
      </c>
      <c r="B50" s="0" t="str">
        <f aca="true">IF(RAND()&lt;Assumptions!$B$11,"Bull","Bear")</f>
        <v>Bull</v>
      </c>
      <c r="C50" s="0" t="str">
        <f aca="true">IF(B50="Bull",IF(RAND()&lt;Assumptions!$B$7,"Bull","Bear"),IF(RAND()&lt;Assumptions!$B$10,"Bear","Bull"))</f>
        <v>Bear</v>
      </c>
      <c r="D50" s="0" t="str">
        <f aca="true">IF(C50="Bull",IF(RAND()&lt;Assumptions!$B$7,"Bull","Bear"),IF(RAND()&lt;Assumptions!$B$10,"Bear","Bull"))</f>
        <v>Bull</v>
      </c>
      <c r="E50" s="0" t="str">
        <f aca="true">IF(D50="Bull",IF(RAND()&lt;Assumptions!$B$7,"Bull","Bear"),IF(RAND()&lt;Assumptions!$B$10,"Bear","Bull"))</f>
        <v>Bear</v>
      </c>
      <c r="F50" s="0" t="str">
        <f aca="true">IF(E50="Bull",IF(RAND()&lt;Assumptions!$B$7,"Bull","Bear"),IF(RAND()&lt;Assumptions!$B$10,"Bear","Bull"))</f>
        <v>Bear</v>
      </c>
      <c r="G50" s="0" t="str">
        <f aca="true">IF(F50="Bull",IF(RAND()&lt;Assumptions!$B$7,"Bull","Bear"),IF(RAND()&lt;Assumptions!$B$10,"Bear","Bull"))</f>
        <v>Bear</v>
      </c>
      <c r="H50" s="8" t="n">
        <f aca="true">IF(B50="Bull",NORMINV(RAND(),Assumptions!$B$5,Assumptions!$B$6),NORMINV(RAND(),Assumptions!$B$8,Assumptions!$B$9))</f>
        <v>0.270213233371182</v>
      </c>
      <c r="I50" s="8" t="n">
        <f aca="true">IF(C50="Bull",NORMINV(RAND(),Assumptions!$B$5,Assumptions!$B$6),NORMINV(RAND(),Assumptions!$B$8,Assumptions!$B$9))</f>
        <v>-0.167690017244215</v>
      </c>
      <c r="J50" s="8" t="n">
        <f aca="true">IF(D50="Bull",NORMINV(RAND(),Assumptions!$B$5,Assumptions!$B$6),NORMINV(RAND(),Assumptions!$B$8,Assumptions!$B$9))</f>
        <v>0.212167975581973</v>
      </c>
      <c r="K50" s="8" t="n">
        <f aca="true">IF(E50="Bull",NORMINV(RAND(),Assumptions!$B$5,Assumptions!$B$6),NORMINV(RAND(),Assumptions!$B$8,Assumptions!$B$9))</f>
        <v>0.0991495689339383</v>
      </c>
      <c r="L50" s="8" t="n">
        <f aca="true">IF(F50="Bull",NORMINV(RAND(),Assumptions!$B$5,Assumptions!$B$6),NORMINV(RAND(),Assumptions!$B$8,Assumptions!$B$9))</f>
        <v>-0.446952926992282</v>
      </c>
      <c r="M50" s="8" t="n">
        <f aca="true">IF(G50="Bull",NORMINV(RAND(),Assumptions!$B$5,Assumptions!$B$6),NORMINV(RAND(),Assumptions!$B$8,Assumptions!$B$9))</f>
        <v>-0.0909850652155928</v>
      </c>
      <c r="N50" s="8" t="n">
        <f aca="true">NORMINV(RAND(),Assumptions!$B$14,Assumptions!$B$15)</f>
        <v>0.0453380360508575</v>
      </c>
      <c r="O50" s="8" t="n">
        <f aca="true">NORMINV(RAND(),Assumptions!$B$14,Assumptions!$B$15)</f>
        <v>0.0182603146447121</v>
      </c>
      <c r="P50" s="8" t="n">
        <f aca="true">NORMINV(RAND(),Assumptions!$B$14,Assumptions!$B$15)</f>
        <v>0.0547193916235797</v>
      </c>
      <c r="Q50" s="8" t="n">
        <f aca="true">NORMINV(RAND(),Assumptions!$B$14,Assumptions!$B$15)</f>
        <v>0.0257112177129296</v>
      </c>
      <c r="R50" s="8" t="n">
        <f aca="true">NORMINV(RAND(),Assumptions!$B$14,Assumptions!$B$15)</f>
        <v>0.0614175789321664</v>
      </c>
      <c r="S50" s="8" t="n">
        <f aca="true">NORMINV(RAND(),Assumptions!$B$14,Assumptions!$B$15)</f>
        <v>-0.0125717438863927</v>
      </c>
      <c r="T50" s="8" t="n">
        <f aca="false">Assumptions!$B$19*H50+(1-Assumptions!$B$19)*N50</f>
        <v>0.270213233371182</v>
      </c>
      <c r="U50" s="8" t="n">
        <f aca="false">Assumptions!$B$20*I50+(1-Assumptions!$B$20)*O50</f>
        <v>-0.167690017244215</v>
      </c>
      <c r="V50" s="8" t="n">
        <f aca="false">Assumptions!$B$21*J50+(1-Assumptions!$B$21)*P50</f>
        <v>0.212167975581973</v>
      </c>
      <c r="W50" s="8" t="n">
        <f aca="false">Assumptions!$B$22*K50+(1-Assumptions!$B$22)*Q50</f>
        <v>0.0991495689339383</v>
      </c>
      <c r="X50" s="8" t="n">
        <f aca="false">Assumptions!$B$23*L50+(1-Assumptions!$B$23)*R50</f>
        <v>-0.345278825807392</v>
      </c>
      <c r="Y50" s="8" t="n">
        <f aca="false">Assumptions!$B$24*M50+(1-Assumptions!$B$24)*S50</f>
        <v>-0.0596197366839127</v>
      </c>
      <c r="Z50" s="6" t="n">
        <f aca="false">Assumptions!$B$27*(1+T50)</f>
        <v>381063.970011355</v>
      </c>
      <c r="AA50" s="6" t="n">
        <f aca="false">(Z50+Assumptions!$B$28)*(1+U50)</f>
        <v>442009.843722369</v>
      </c>
      <c r="AB50" s="6" t="n">
        <f aca="false">AA50*(1+V50)</f>
        <v>535790.177452249</v>
      </c>
      <c r="AC50" s="6" t="n">
        <f aca="false">AB50*(1+W50)</f>
        <v>588913.542585678</v>
      </c>
      <c r="AD50" s="6" t="n">
        <f aca="false">AC50*(1+X50)</f>
        <v>385574.166099623</v>
      </c>
      <c r="AE50" s="6" t="n">
        <f aca="false">AD50*(1+Y50)</f>
        <v>362586.335844645</v>
      </c>
      <c r="AF50" s="6" t="n">
        <f aca="false">Z50</f>
        <v>381063.970011355</v>
      </c>
      <c r="AG50" s="6" t="n">
        <f aca="false">MAX(AF50,AA50)</f>
        <v>442009.843722369</v>
      </c>
      <c r="AH50" s="6" t="n">
        <f aca="false">MAX(AG50,AB50)</f>
        <v>535790.177452249</v>
      </c>
      <c r="AI50" s="6" t="n">
        <f aca="false">MAX(AH50,AC50)</f>
        <v>588913.542585678</v>
      </c>
      <c r="AJ50" s="6" t="n">
        <f aca="false">MAX(AI50,AD50)</f>
        <v>588913.542585678</v>
      </c>
      <c r="AK50" s="6" t="n">
        <f aca="false">MAX(AJ50,AE50)</f>
        <v>588913.542585678</v>
      </c>
      <c r="AL50" s="8" t="n">
        <f aca="false">MIN(Z50/AF50-1,AA50/AG50-1,AB50/AH50-1,AC50/AI50-1,AD50/AJ50-1,AE50/AK50-1)</f>
        <v>-0.384313129814137</v>
      </c>
      <c r="AM50" s="6" t="n">
        <f aca="false">AE50-Assumptions!$B$35</f>
        <v>-78677.6608178589</v>
      </c>
    </row>
    <row r="51" customFormat="false" ht="15" hidden="false" customHeight="false" outlineLevel="0" collapsed="false">
      <c r="A51" s="0" t="n">
        <f aca="false">ROW()-1</f>
        <v>50</v>
      </c>
      <c r="B51" s="0" t="str">
        <f aca="true">IF(RAND()&lt;Assumptions!$B$11,"Bull","Bear")</f>
        <v>Bull</v>
      </c>
      <c r="C51" s="0" t="str">
        <f aca="true">IF(B51="Bull",IF(RAND()&lt;Assumptions!$B$7,"Bull","Bear"),IF(RAND()&lt;Assumptions!$B$10,"Bear","Bull"))</f>
        <v>Bull</v>
      </c>
      <c r="D51" s="0" t="str">
        <f aca="true">IF(C51="Bull",IF(RAND()&lt;Assumptions!$B$7,"Bull","Bear"),IF(RAND()&lt;Assumptions!$B$10,"Bear","Bull"))</f>
        <v>Bull</v>
      </c>
      <c r="E51" s="0" t="str">
        <f aca="true">IF(D51="Bull",IF(RAND()&lt;Assumptions!$B$7,"Bull","Bear"),IF(RAND()&lt;Assumptions!$B$10,"Bear","Bull"))</f>
        <v>Bull</v>
      </c>
      <c r="F51" s="0" t="str">
        <f aca="true">IF(E51="Bull",IF(RAND()&lt;Assumptions!$B$7,"Bull","Bear"),IF(RAND()&lt;Assumptions!$B$10,"Bear","Bull"))</f>
        <v>Bull</v>
      </c>
      <c r="G51" s="0" t="str">
        <f aca="true">IF(F51="Bull",IF(RAND()&lt;Assumptions!$B$7,"Bull","Bear"),IF(RAND()&lt;Assumptions!$B$10,"Bear","Bull"))</f>
        <v>Bull</v>
      </c>
      <c r="H51" s="8" t="n">
        <f aca="true">IF(B51="Bull",NORMINV(RAND(),Assumptions!$B$5,Assumptions!$B$6),NORMINV(RAND(),Assumptions!$B$8,Assumptions!$B$9))</f>
        <v>0.163981131962736</v>
      </c>
      <c r="I51" s="8" t="n">
        <f aca="true">IF(C51="Bull",NORMINV(RAND(),Assumptions!$B$5,Assumptions!$B$6),NORMINV(RAND(),Assumptions!$B$8,Assumptions!$B$9))</f>
        <v>0.0171482621767913</v>
      </c>
      <c r="J51" s="8" t="n">
        <f aca="true">IF(D51="Bull",NORMINV(RAND(),Assumptions!$B$5,Assumptions!$B$6),NORMINV(RAND(),Assumptions!$B$8,Assumptions!$B$9))</f>
        <v>0.216897646058959</v>
      </c>
      <c r="K51" s="8" t="n">
        <f aca="true">IF(E51="Bull",NORMINV(RAND(),Assumptions!$B$5,Assumptions!$B$6),NORMINV(RAND(),Assumptions!$B$8,Assumptions!$B$9))</f>
        <v>0.160623473034688</v>
      </c>
      <c r="L51" s="8" t="n">
        <f aca="true">IF(F51="Bull",NORMINV(RAND(),Assumptions!$B$5,Assumptions!$B$6),NORMINV(RAND(),Assumptions!$B$8,Assumptions!$B$9))</f>
        <v>0.220243261557362</v>
      </c>
      <c r="M51" s="8" t="n">
        <f aca="true">IF(G51="Bull",NORMINV(RAND(),Assumptions!$B$5,Assumptions!$B$6),NORMINV(RAND(),Assumptions!$B$8,Assumptions!$B$9))</f>
        <v>0.0810977479811433</v>
      </c>
      <c r="N51" s="8" t="n">
        <f aca="true">NORMINV(RAND(),Assumptions!$B$14,Assumptions!$B$15)</f>
        <v>-0.00954233361621975</v>
      </c>
      <c r="O51" s="8" t="n">
        <f aca="true">NORMINV(RAND(),Assumptions!$B$14,Assumptions!$B$15)</f>
        <v>0.0388224629228076</v>
      </c>
      <c r="P51" s="8" t="n">
        <f aca="true">NORMINV(RAND(),Assumptions!$B$14,Assumptions!$B$15)</f>
        <v>0.11975650836717</v>
      </c>
      <c r="Q51" s="8" t="n">
        <f aca="true">NORMINV(RAND(),Assumptions!$B$14,Assumptions!$B$15)</f>
        <v>0.0523061865527579</v>
      </c>
      <c r="R51" s="8" t="n">
        <f aca="true">NORMINV(RAND(),Assumptions!$B$14,Assumptions!$B$15)</f>
        <v>0.0494525178236945</v>
      </c>
      <c r="S51" s="8" t="n">
        <f aca="true">NORMINV(RAND(),Assumptions!$B$14,Assumptions!$B$15)</f>
        <v>0.101982262463148</v>
      </c>
      <c r="T51" s="8" t="n">
        <f aca="false">Assumptions!$B$19*H51+(1-Assumptions!$B$19)*N51</f>
        <v>0.163981131962736</v>
      </c>
      <c r="U51" s="8" t="n">
        <f aca="false">Assumptions!$B$20*I51+(1-Assumptions!$B$20)*O51</f>
        <v>0.0171482621767913</v>
      </c>
      <c r="V51" s="8" t="n">
        <f aca="false">Assumptions!$B$21*J51+(1-Assumptions!$B$21)*P51</f>
        <v>0.216897646058959</v>
      </c>
      <c r="W51" s="8" t="n">
        <f aca="false">Assumptions!$B$22*K51+(1-Assumptions!$B$22)*Q51</f>
        <v>0.160623473034688</v>
      </c>
      <c r="X51" s="8" t="n">
        <f aca="false">Assumptions!$B$23*L51+(1-Assumptions!$B$23)*R51</f>
        <v>0.186085112810629</v>
      </c>
      <c r="Y51" s="8" t="n">
        <f aca="false">Assumptions!$B$24*M51+(1-Assumptions!$B$24)*S51</f>
        <v>0.0894515537739453</v>
      </c>
      <c r="Z51" s="6" t="n">
        <f aca="false">Assumptions!$B$27*(1+T51)</f>
        <v>349194.339588821</v>
      </c>
      <c r="AA51" s="6" t="n">
        <f aca="false">(Z51+Assumptions!$B$28)*(1+U51)</f>
        <v>507754.65500126</v>
      </c>
      <c r="AB51" s="6" t="n">
        <f aca="false">AA51*(1+V51)</f>
        <v>617885.444446512</v>
      </c>
      <c r="AC51" s="6" t="n">
        <f aca="false">AB51*(1+W51)</f>
        <v>717132.350471093</v>
      </c>
      <c r="AD51" s="6" t="n">
        <f aca="false">AC51*(1+X51)</f>
        <v>850580.004808657</v>
      </c>
      <c r="AE51" s="6" t="n">
        <f aca="false">AD51*(1+Y51)</f>
        <v>926665.707847842</v>
      </c>
      <c r="AF51" s="6" t="n">
        <f aca="false">Z51</f>
        <v>349194.339588821</v>
      </c>
      <c r="AG51" s="6" t="n">
        <f aca="false">MAX(AF51,AA51)</f>
        <v>507754.65500126</v>
      </c>
      <c r="AH51" s="6" t="n">
        <f aca="false">MAX(AG51,AB51)</f>
        <v>617885.444446512</v>
      </c>
      <c r="AI51" s="6" t="n">
        <f aca="false">MAX(AH51,AC51)</f>
        <v>717132.350471093</v>
      </c>
      <c r="AJ51" s="6" t="n">
        <f aca="false">MAX(AI51,AD51)</f>
        <v>850580.004808657</v>
      </c>
      <c r="AK51" s="6" t="n">
        <f aca="false">MAX(AJ51,AE51)</f>
        <v>926665.707847842</v>
      </c>
      <c r="AL51" s="8" t="n">
        <f aca="false">MIN(Z51/AF51-1,AA51/AG51-1,AB51/AH51-1,AC51/AI51-1,AD51/AJ51-1,AE51/AK51-1)</f>
        <v>0</v>
      </c>
      <c r="AM51" s="6" t="n">
        <f aca="false">AE51-Assumptions!$B$35</f>
        <v>485401.711185338</v>
      </c>
    </row>
    <row r="52" customFormat="false" ht="15" hidden="false" customHeight="false" outlineLevel="0" collapsed="false">
      <c r="A52" s="0" t="n">
        <f aca="false">ROW()-1</f>
        <v>51</v>
      </c>
      <c r="B52" s="0" t="str">
        <f aca="true">IF(RAND()&lt;Assumptions!$B$11,"Bull","Bear")</f>
        <v>Bull</v>
      </c>
      <c r="C52" s="0" t="str">
        <f aca="true">IF(B52="Bull",IF(RAND()&lt;Assumptions!$B$7,"Bull","Bear"),IF(RAND()&lt;Assumptions!$B$10,"Bear","Bull"))</f>
        <v>Bull</v>
      </c>
      <c r="D52" s="0" t="str">
        <f aca="true">IF(C52="Bull",IF(RAND()&lt;Assumptions!$B$7,"Bull","Bear"),IF(RAND()&lt;Assumptions!$B$10,"Bear","Bull"))</f>
        <v>Bear</v>
      </c>
      <c r="E52" s="0" t="str">
        <f aca="true">IF(D52="Bull",IF(RAND()&lt;Assumptions!$B$7,"Bull","Bear"),IF(RAND()&lt;Assumptions!$B$10,"Bear","Bull"))</f>
        <v>Bear</v>
      </c>
      <c r="F52" s="0" t="str">
        <f aca="true">IF(E52="Bull",IF(RAND()&lt;Assumptions!$B$7,"Bull","Bear"),IF(RAND()&lt;Assumptions!$B$10,"Bear","Bull"))</f>
        <v>Bull</v>
      </c>
      <c r="G52" s="0" t="str">
        <f aca="true">IF(F52="Bull",IF(RAND()&lt;Assumptions!$B$7,"Bull","Bear"),IF(RAND()&lt;Assumptions!$B$10,"Bear","Bull"))</f>
        <v>Bear</v>
      </c>
      <c r="H52" s="8" t="n">
        <f aca="true">IF(B52="Bull",NORMINV(RAND(),Assumptions!$B$5,Assumptions!$B$6),NORMINV(RAND(),Assumptions!$B$8,Assumptions!$B$9))</f>
        <v>0.207890889024316</v>
      </c>
      <c r="I52" s="8" t="n">
        <f aca="true">IF(C52="Bull",NORMINV(RAND(),Assumptions!$B$5,Assumptions!$B$6),NORMINV(RAND(),Assumptions!$B$8,Assumptions!$B$9))</f>
        <v>0.199123883294979</v>
      </c>
      <c r="J52" s="8" t="n">
        <f aca="true">IF(D52="Bull",NORMINV(RAND(),Assumptions!$B$5,Assumptions!$B$6),NORMINV(RAND(),Assumptions!$B$8,Assumptions!$B$9))</f>
        <v>-0.0675333224529247</v>
      </c>
      <c r="K52" s="8" t="n">
        <f aca="true">IF(E52="Bull",NORMINV(RAND(),Assumptions!$B$5,Assumptions!$B$6),NORMINV(RAND(),Assumptions!$B$8,Assumptions!$B$9))</f>
        <v>-0.44306379853476</v>
      </c>
      <c r="L52" s="8" t="n">
        <f aca="true">IF(F52="Bull",NORMINV(RAND(),Assumptions!$B$5,Assumptions!$B$6),NORMINV(RAND(),Assumptions!$B$8,Assumptions!$B$9))</f>
        <v>0.0266325369410469</v>
      </c>
      <c r="M52" s="8" t="n">
        <f aca="true">IF(G52="Bull",NORMINV(RAND(),Assumptions!$B$5,Assumptions!$B$6),NORMINV(RAND(),Assumptions!$B$8,Assumptions!$B$9))</f>
        <v>-0.0856222422571799</v>
      </c>
      <c r="N52" s="8" t="n">
        <f aca="true">NORMINV(RAND(),Assumptions!$B$14,Assumptions!$B$15)</f>
        <v>0.0124808260244265</v>
      </c>
      <c r="O52" s="8" t="n">
        <f aca="true">NORMINV(RAND(),Assumptions!$B$14,Assumptions!$B$15)</f>
        <v>0.0206705815298699</v>
      </c>
      <c r="P52" s="8" t="n">
        <f aca="true">NORMINV(RAND(),Assumptions!$B$14,Assumptions!$B$15)</f>
        <v>0.0632600496166837</v>
      </c>
      <c r="Q52" s="8" t="n">
        <f aca="true">NORMINV(RAND(),Assumptions!$B$14,Assumptions!$B$15)</f>
        <v>0.0791750958367506</v>
      </c>
      <c r="R52" s="8" t="n">
        <f aca="true">NORMINV(RAND(),Assumptions!$B$14,Assumptions!$B$15)</f>
        <v>0.0613739588442133</v>
      </c>
      <c r="S52" s="8" t="n">
        <f aca="true">NORMINV(RAND(),Assumptions!$B$14,Assumptions!$B$15)</f>
        <v>0.0472858017762969</v>
      </c>
      <c r="T52" s="8" t="n">
        <f aca="false">Assumptions!$B$19*H52+(1-Assumptions!$B$19)*N52</f>
        <v>0.207890889024316</v>
      </c>
      <c r="U52" s="8" t="n">
        <f aca="false">Assumptions!$B$20*I52+(1-Assumptions!$B$20)*O52</f>
        <v>0.199123883294979</v>
      </c>
      <c r="V52" s="8" t="n">
        <f aca="false">Assumptions!$B$21*J52+(1-Assumptions!$B$21)*P52</f>
        <v>-0.0675333224529247</v>
      </c>
      <c r="W52" s="8" t="n">
        <f aca="false">Assumptions!$B$22*K52+(1-Assumptions!$B$22)*Q52</f>
        <v>-0.44306379853476</v>
      </c>
      <c r="X52" s="8" t="n">
        <f aca="false">Assumptions!$B$23*L52+(1-Assumptions!$B$23)*R52</f>
        <v>0.0335808213216802</v>
      </c>
      <c r="Y52" s="8" t="n">
        <f aca="false">Assumptions!$B$24*M52+(1-Assumptions!$B$24)*S52</f>
        <v>-0.0324590246437892</v>
      </c>
      <c r="Z52" s="6" t="n">
        <f aca="false">Assumptions!$B$27*(1+T52)</f>
        <v>362367.266707295</v>
      </c>
      <c r="AA52" s="6" t="n">
        <f aca="false">(Z52+Assumptions!$B$28)*(1+U52)</f>
        <v>614391.826527285</v>
      </c>
      <c r="AB52" s="6" t="n">
        <f aca="false">AA52*(1+V52)</f>
        <v>572899.905193977</v>
      </c>
      <c r="AC52" s="6" t="n">
        <f aca="false">AB52*(1+W52)</f>
        <v>319068.69701853</v>
      </c>
      <c r="AD52" s="6" t="n">
        <f aca="false">AC52*(1+X52)</f>
        <v>329783.28592245</v>
      </c>
      <c r="AE52" s="6" t="n">
        <f aca="false">AD52*(1+Y52)</f>
        <v>319078.842117584</v>
      </c>
      <c r="AF52" s="6" t="n">
        <f aca="false">Z52</f>
        <v>362367.266707295</v>
      </c>
      <c r="AG52" s="6" t="n">
        <f aca="false">MAX(AF52,AA52)</f>
        <v>614391.826527285</v>
      </c>
      <c r="AH52" s="6" t="n">
        <f aca="false">MAX(AG52,AB52)</f>
        <v>614391.826527285</v>
      </c>
      <c r="AI52" s="6" t="n">
        <f aca="false">MAX(AH52,AC52)</f>
        <v>614391.826527285</v>
      </c>
      <c r="AJ52" s="6" t="n">
        <f aca="false">MAX(AI52,AD52)</f>
        <v>614391.826527285</v>
      </c>
      <c r="AK52" s="6" t="n">
        <f aca="false">MAX(AJ52,AE52)</f>
        <v>614391.826527285</v>
      </c>
      <c r="AL52" s="8" t="n">
        <f aca="false">MIN(Z52/AF52-1,AA52/AG52-1,AB52/AH52-1,AC52/AI52-1,AD52/AJ52-1,AE52/AK52-1)</f>
        <v>-0.480675550614019</v>
      </c>
      <c r="AM52" s="6" t="n">
        <f aca="false">AE52-Assumptions!$B$35</f>
        <v>-122185.15454492</v>
      </c>
    </row>
    <row r="53" customFormat="false" ht="15" hidden="false" customHeight="false" outlineLevel="0" collapsed="false">
      <c r="A53" s="0" t="n">
        <f aca="false">ROW()-1</f>
        <v>52</v>
      </c>
      <c r="B53" s="0" t="str">
        <f aca="true">IF(RAND()&lt;Assumptions!$B$11,"Bull","Bear")</f>
        <v>Bull</v>
      </c>
      <c r="C53" s="0" t="str">
        <f aca="true">IF(B53="Bull",IF(RAND()&lt;Assumptions!$B$7,"Bull","Bear"),IF(RAND()&lt;Assumptions!$B$10,"Bear","Bull"))</f>
        <v>Bear</v>
      </c>
      <c r="D53" s="0" t="str">
        <f aca="true">IF(C53="Bull",IF(RAND()&lt;Assumptions!$B$7,"Bull","Bear"),IF(RAND()&lt;Assumptions!$B$10,"Bear","Bull"))</f>
        <v>Bull</v>
      </c>
      <c r="E53" s="0" t="str">
        <f aca="true">IF(D53="Bull",IF(RAND()&lt;Assumptions!$B$7,"Bull","Bear"),IF(RAND()&lt;Assumptions!$B$10,"Bear","Bull"))</f>
        <v>Bull</v>
      </c>
      <c r="F53" s="0" t="str">
        <f aca="true">IF(E53="Bull",IF(RAND()&lt;Assumptions!$B$7,"Bull","Bear"),IF(RAND()&lt;Assumptions!$B$10,"Bear","Bull"))</f>
        <v>Bull</v>
      </c>
      <c r="G53" s="0" t="str">
        <f aca="true">IF(F53="Bull",IF(RAND()&lt;Assumptions!$B$7,"Bull","Bear"),IF(RAND()&lt;Assumptions!$B$10,"Bear","Bull"))</f>
        <v>Bear</v>
      </c>
      <c r="H53" s="8" t="n">
        <f aca="true">IF(B53="Bull",NORMINV(RAND(),Assumptions!$B$5,Assumptions!$B$6),NORMINV(RAND(),Assumptions!$B$8,Assumptions!$B$9))</f>
        <v>0.0139259556760758</v>
      </c>
      <c r="I53" s="8" t="n">
        <f aca="true">IF(C53="Bull",NORMINV(RAND(),Assumptions!$B$5,Assumptions!$B$6),NORMINV(RAND(),Assumptions!$B$8,Assumptions!$B$9))</f>
        <v>-0.0868450341458644</v>
      </c>
      <c r="J53" s="8" t="n">
        <f aca="true">IF(D53="Bull",NORMINV(RAND(),Assumptions!$B$5,Assumptions!$B$6),NORMINV(RAND(),Assumptions!$B$8,Assumptions!$B$9))</f>
        <v>0.250737115076881</v>
      </c>
      <c r="K53" s="8" t="n">
        <f aca="true">IF(E53="Bull",NORMINV(RAND(),Assumptions!$B$5,Assumptions!$B$6),NORMINV(RAND(),Assumptions!$B$8,Assumptions!$B$9))</f>
        <v>0.083083938012634</v>
      </c>
      <c r="L53" s="8" t="n">
        <f aca="true">IF(F53="Bull",NORMINV(RAND(),Assumptions!$B$5,Assumptions!$B$6),NORMINV(RAND(),Assumptions!$B$8,Assumptions!$B$9))</f>
        <v>0.163534583420759</v>
      </c>
      <c r="M53" s="8" t="n">
        <f aca="true">IF(G53="Bull",NORMINV(RAND(),Assumptions!$B$5,Assumptions!$B$6),NORMINV(RAND(),Assumptions!$B$8,Assumptions!$B$9))</f>
        <v>-0.20197306058768</v>
      </c>
      <c r="N53" s="8" t="n">
        <f aca="true">NORMINV(RAND(),Assumptions!$B$14,Assumptions!$B$15)</f>
        <v>0.0251833893369556</v>
      </c>
      <c r="O53" s="8" t="n">
        <f aca="true">NORMINV(RAND(),Assumptions!$B$14,Assumptions!$B$15)</f>
        <v>0.0543484218775421</v>
      </c>
      <c r="P53" s="8" t="n">
        <f aca="true">NORMINV(RAND(),Assumptions!$B$14,Assumptions!$B$15)</f>
        <v>0.0260976695557495</v>
      </c>
      <c r="Q53" s="8" t="n">
        <f aca="true">NORMINV(RAND(),Assumptions!$B$14,Assumptions!$B$15)</f>
        <v>0.0830992004013621</v>
      </c>
      <c r="R53" s="8" t="n">
        <f aca="true">NORMINV(RAND(),Assumptions!$B$14,Assumptions!$B$15)</f>
        <v>0.0714283711897719</v>
      </c>
      <c r="S53" s="8" t="n">
        <f aca="true">NORMINV(RAND(),Assumptions!$B$14,Assumptions!$B$15)</f>
        <v>0.0335431016400188</v>
      </c>
      <c r="T53" s="8" t="n">
        <f aca="false">Assumptions!$B$19*H53+(1-Assumptions!$B$19)*N53</f>
        <v>0.0139259556760758</v>
      </c>
      <c r="U53" s="8" t="n">
        <f aca="false">Assumptions!$B$20*I53+(1-Assumptions!$B$20)*O53</f>
        <v>-0.0868450341458644</v>
      </c>
      <c r="V53" s="8" t="n">
        <f aca="false">Assumptions!$B$21*J53+(1-Assumptions!$B$21)*P53</f>
        <v>0.250737115076881</v>
      </c>
      <c r="W53" s="8" t="n">
        <f aca="false">Assumptions!$B$22*K53+(1-Assumptions!$B$22)*Q53</f>
        <v>0.083083938012634</v>
      </c>
      <c r="X53" s="8" t="n">
        <f aca="false">Assumptions!$B$23*L53+(1-Assumptions!$B$23)*R53</f>
        <v>0.145113340974562</v>
      </c>
      <c r="Y53" s="8" t="n">
        <f aca="false">Assumptions!$B$24*M53+(1-Assumptions!$B$24)*S53</f>
        <v>-0.1077665956966</v>
      </c>
      <c r="Z53" s="6" t="n">
        <f aca="false">Assumptions!$B$27*(1+T53)</f>
        <v>304177.786702823</v>
      </c>
      <c r="AA53" s="6" t="n">
        <f aca="false">(Z53+Assumptions!$B$28)*(1+U53)</f>
        <v>414734.701308323</v>
      </c>
      <c r="AB53" s="6" t="n">
        <f aca="false">AA53*(1+V53)</f>
        <v>518724.083836644</v>
      </c>
      <c r="AC53" s="6" t="n">
        <f aca="false">AB53*(1+W53)</f>
        <v>561821.723463788</v>
      </c>
      <c r="AD53" s="6" t="n">
        <f aca="false">AC53*(1+X53)</f>
        <v>643349.550787705</v>
      </c>
      <c r="AE53" s="6" t="n">
        <f aca="false">AD53*(1+Y53)</f>
        <v>574017.959856377</v>
      </c>
      <c r="AF53" s="6" t="n">
        <f aca="false">Z53</f>
        <v>304177.786702823</v>
      </c>
      <c r="AG53" s="6" t="n">
        <f aca="false">MAX(AF53,AA53)</f>
        <v>414734.701308323</v>
      </c>
      <c r="AH53" s="6" t="n">
        <f aca="false">MAX(AG53,AB53)</f>
        <v>518724.083836644</v>
      </c>
      <c r="AI53" s="6" t="n">
        <f aca="false">MAX(AH53,AC53)</f>
        <v>561821.723463788</v>
      </c>
      <c r="AJ53" s="6" t="n">
        <f aca="false">MAX(AI53,AD53)</f>
        <v>643349.550787705</v>
      </c>
      <c r="AK53" s="6" t="n">
        <f aca="false">MAX(AJ53,AE53)</f>
        <v>643349.550787705</v>
      </c>
      <c r="AL53" s="8" t="n">
        <f aca="false">MIN(Z53/AF53-1,AA53/AG53-1,AB53/AH53-1,AC53/AI53-1,AD53/AJ53-1,AE53/AK53-1)</f>
        <v>-0.1077665956966</v>
      </c>
      <c r="AM53" s="6" t="n">
        <f aca="false">AE53-Assumptions!$B$35</f>
        <v>132753.963193873</v>
      </c>
    </row>
    <row r="54" customFormat="false" ht="15" hidden="false" customHeight="false" outlineLevel="0" collapsed="false">
      <c r="A54" s="0" t="n">
        <f aca="false">ROW()-1</f>
        <v>53</v>
      </c>
      <c r="B54" s="0" t="str">
        <f aca="true">IF(RAND()&lt;Assumptions!$B$11,"Bull","Bear")</f>
        <v>Bull</v>
      </c>
      <c r="C54" s="0" t="str">
        <f aca="true">IF(B54="Bull",IF(RAND()&lt;Assumptions!$B$7,"Bull","Bear"),IF(RAND()&lt;Assumptions!$B$10,"Bear","Bull"))</f>
        <v>Bull</v>
      </c>
      <c r="D54" s="0" t="str">
        <f aca="true">IF(C54="Bull",IF(RAND()&lt;Assumptions!$B$7,"Bull","Bear"),IF(RAND()&lt;Assumptions!$B$10,"Bear","Bull"))</f>
        <v>Bull</v>
      </c>
      <c r="E54" s="0" t="str">
        <f aca="true">IF(D54="Bull",IF(RAND()&lt;Assumptions!$B$7,"Bull","Bear"),IF(RAND()&lt;Assumptions!$B$10,"Bear","Bull"))</f>
        <v>Bull</v>
      </c>
      <c r="F54" s="0" t="str">
        <f aca="true">IF(E54="Bull",IF(RAND()&lt;Assumptions!$B$7,"Bull","Bear"),IF(RAND()&lt;Assumptions!$B$10,"Bear","Bull"))</f>
        <v>Bear</v>
      </c>
      <c r="G54" s="0" t="str">
        <f aca="true">IF(F54="Bull",IF(RAND()&lt;Assumptions!$B$7,"Bull","Bear"),IF(RAND()&lt;Assumptions!$B$10,"Bear","Bull"))</f>
        <v>Bear</v>
      </c>
      <c r="H54" s="8" t="n">
        <f aca="true">IF(B54="Bull",NORMINV(RAND(),Assumptions!$B$5,Assumptions!$B$6),NORMINV(RAND(),Assumptions!$B$8,Assumptions!$B$9))</f>
        <v>0.242132706358264</v>
      </c>
      <c r="I54" s="8" t="n">
        <f aca="true">IF(C54="Bull",NORMINV(RAND(),Assumptions!$B$5,Assumptions!$B$6),NORMINV(RAND(),Assumptions!$B$8,Assumptions!$B$9))</f>
        <v>0.212105511755469</v>
      </c>
      <c r="J54" s="8" t="n">
        <f aca="true">IF(D54="Bull",NORMINV(RAND(),Assumptions!$B$5,Assumptions!$B$6),NORMINV(RAND(),Assumptions!$B$8,Assumptions!$B$9))</f>
        <v>0.220455930012657</v>
      </c>
      <c r="K54" s="8" t="n">
        <f aca="true">IF(E54="Bull",NORMINV(RAND(),Assumptions!$B$5,Assumptions!$B$6),NORMINV(RAND(),Assumptions!$B$8,Assumptions!$B$9))</f>
        <v>0.12678415820859</v>
      </c>
      <c r="L54" s="8" t="n">
        <f aca="true">IF(F54="Bull",NORMINV(RAND(),Assumptions!$B$5,Assumptions!$B$6),NORMINV(RAND(),Assumptions!$B$8,Assumptions!$B$9))</f>
        <v>-0.338112036514607</v>
      </c>
      <c r="M54" s="8" t="n">
        <f aca="true">IF(G54="Bull",NORMINV(RAND(),Assumptions!$B$5,Assumptions!$B$6),NORMINV(RAND(),Assumptions!$B$8,Assumptions!$B$9))</f>
        <v>-0.286034098622189</v>
      </c>
      <c r="N54" s="8" t="n">
        <f aca="true">NORMINV(RAND(),Assumptions!$B$14,Assumptions!$B$15)</f>
        <v>0.0233042168783963</v>
      </c>
      <c r="O54" s="8" t="n">
        <f aca="true">NORMINV(RAND(),Assumptions!$B$14,Assumptions!$B$15)</f>
        <v>0.0669990897967119</v>
      </c>
      <c r="P54" s="8" t="n">
        <f aca="true">NORMINV(RAND(),Assumptions!$B$14,Assumptions!$B$15)</f>
        <v>0.0470377099652658</v>
      </c>
      <c r="Q54" s="8" t="n">
        <f aca="true">NORMINV(RAND(),Assumptions!$B$14,Assumptions!$B$15)</f>
        <v>0.0599453021860442</v>
      </c>
      <c r="R54" s="8" t="n">
        <f aca="true">NORMINV(RAND(),Assumptions!$B$14,Assumptions!$B$15)</f>
        <v>0.0464126705859042</v>
      </c>
      <c r="S54" s="8" t="n">
        <f aca="true">NORMINV(RAND(),Assumptions!$B$14,Assumptions!$B$15)</f>
        <v>0.023066759080053</v>
      </c>
      <c r="T54" s="8" t="n">
        <f aca="false">Assumptions!$B$19*H54+(1-Assumptions!$B$19)*N54</f>
        <v>0.242132706358264</v>
      </c>
      <c r="U54" s="8" t="n">
        <f aca="false">Assumptions!$B$20*I54+(1-Assumptions!$B$20)*O54</f>
        <v>0.212105511755469</v>
      </c>
      <c r="V54" s="8" t="n">
        <f aca="false">Assumptions!$B$21*J54+(1-Assumptions!$B$21)*P54</f>
        <v>0.220455930012657</v>
      </c>
      <c r="W54" s="8" t="n">
        <f aca="false">Assumptions!$B$22*K54+(1-Assumptions!$B$22)*Q54</f>
        <v>0.12678415820859</v>
      </c>
      <c r="X54" s="8" t="n">
        <f aca="false">Assumptions!$B$23*L54+(1-Assumptions!$B$23)*R54</f>
        <v>-0.261207095094505</v>
      </c>
      <c r="Y54" s="8" t="n">
        <f aca="false">Assumptions!$B$24*M54+(1-Assumptions!$B$24)*S54</f>
        <v>-0.162393755541292</v>
      </c>
      <c r="Z54" s="6" t="n">
        <f aca="false">Assumptions!$B$27*(1+T54)</f>
        <v>372639.811907479</v>
      </c>
      <c r="AA54" s="6" t="n">
        <f aca="false">(Z54+Assumptions!$B$28)*(1+U54)</f>
        <v>633494.596675897</v>
      </c>
      <c r="AB54" s="6" t="n">
        <f aca="false">AA54*(1+V54)</f>
        <v>773152.237144076</v>
      </c>
      <c r="AC54" s="6" t="n">
        <f aca="false">AB54*(1+W54)</f>
        <v>871175.692697476</v>
      </c>
      <c r="AD54" s="6" t="n">
        <f aca="false">AC54*(1+X54)</f>
        <v>643618.420691025</v>
      </c>
      <c r="AE54" s="6" t="n">
        <f aca="false">AD54*(1+Y54)</f>
        <v>539098.808219454</v>
      </c>
      <c r="AF54" s="6" t="n">
        <f aca="false">Z54</f>
        <v>372639.811907479</v>
      </c>
      <c r="AG54" s="6" t="n">
        <f aca="false">MAX(AF54,AA54)</f>
        <v>633494.596675897</v>
      </c>
      <c r="AH54" s="6" t="n">
        <f aca="false">MAX(AG54,AB54)</f>
        <v>773152.237144076</v>
      </c>
      <c r="AI54" s="6" t="n">
        <f aca="false">MAX(AH54,AC54)</f>
        <v>871175.692697476</v>
      </c>
      <c r="AJ54" s="6" t="n">
        <f aca="false">MAX(AI54,AD54)</f>
        <v>871175.692697476</v>
      </c>
      <c r="AK54" s="6" t="n">
        <f aca="false">MAX(AJ54,AE54)</f>
        <v>871175.692697476</v>
      </c>
      <c r="AL54" s="8" t="n">
        <f aca="false">MIN(Z54/AF54-1,AA54/AG54-1,AB54/AH54-1,AC54/AI54-1,AD54/AJ54-1,AE54/AK54-1)</f>
        <v>-0.381182449489369</v>
      </c>
      <c r="AM54" s="6" t="n">
        <f aca="false">AE54-Assumptions!$B$35</f>
        <v>97834.8115569505</v>
      </c>
    </row>
    <row r="55" customFormat="false" ht="15" hidden="false" customHeight="false" outlineLevel="0" collapsed="false">
      <c r="A55" s="0" t="n">
        <f aca="false">ROW()-1</f>
        <v>54</v>
      </c>
      <c r="B55" s="0" t="str">
        <f aca="true">IF(RAND()&lt;Assumptions!$B$11,"Bull","Bear")</f>
        <v>Bull</v>
      </c>
      <c r="C55" s="0" t="str">
        <f aca="true">IF(B55="Bull",IF(RAND()&lt;Assumptions!$B$7,"Bull","Bear"),IF(RAND()&lt;Assumptions!$B$10,"Bear","Bull"))</f>
        <v>Bear</v>
      </c>
      <c r="D55" s="0" t="str">
        <f aca="true">IF(C55="Bull",IF(RAND()&lt;Assumptions!$B$7,"Bull","Bear"),IF(RAND()&lt;Assumptions!$B$10,"Bear","Bull"))</f>
        <v>Bull</v>
      </c>
      <c r="E55" s="0" t="str">
        <f aca="true">IF(D55="Bull",IF(RAND()&lt;Assumptions!$B$7,"Bull","Bear"),IF(RAND()&lt;Assumptions!$B$10,"Bear","Bull"))</f>
        <v>Bull</v>
      </c>
      <c r="F55" s="0" t="str">
        <f aca="true">IF(E55="Bull",IF(RAND()&lt;Assumptions!$B$7,"Bull","Bear"),IF(RAND()&lt;Assumptions!$B$10,"Bear","Bull"))</f>
        <v>Bull</v>
      </c>
      <c r="G55" s="0" t="str">
        <f aca="true">IF(F55="Bull",IF(RAND()&lt;Assumptions!$B$7,"Bull","Bear"),IF(RAND()&lt;Assumptions!$B$10,"Bear","Bull"))</f>
        <v>Bull</v>
      </c>
      <c r="H55" s="8" t="n">
        <f aca="true">IF(B55="Bull",NORMINV(RAND(),Assumptions!$B$5,Assumptions!$B$6),NORMINV(RAND(),Assumptions!$B$8,Assumptions!$B$9))</f>
        <v>0.129294466420954</v>
      </c>
      <c r="I55" s="8" t="n">
        <f aca="true">IF(C55="Bull",NORMINV(RAND(),Assumptions!$B$5,Assumptions!$B$6),NORMINV(RAND(),Assumptions!$B$8,Assumptions!$B$9))</f>
        <v>-0.383815518080061</v>
      </c>
      <c r="J55" s="8" t="n">
        <f aca="true">IF(D55="Bull",NORMINV(RAND(),Assumptions!$B$5,Assumptions!$B$6),NORMINV(RAND(),Assumptions!$B$8,Assumptions!$B$9))</f>
        <v>0.300907640563975</v>
      </c>
      <c r="K55" s="8" t="n">
        <f aca="true">IF(E55="Bull",NORMINV(RAND(),Assumptions!$B$5,Assumptions!$B$6),NORMINV(RAND(),Assumptions!$B$8,Assumptions!$B$9))</f>
        <v>0.0593931427435588</v>
      </c>
      <c r="L55" s="8" t="n">
        <f aca="true">IF(F55="Bull",NORMINV(RAND(),Assumptions!$B$5,Assumptions!$B$6),NORMINV(RAND(),Assumptions!$B$8,Assumptions!$B$9))</f>
        <v>0.315132392904581</v>
      </c>
      <c r="M55" s="8" t="n">
        <f aca="true">IF(G55="Bull",NORMINV(RAND(),Assumptions!$B$5,Assumptions!$B$6),NORMINV(RAND(),Assumptions!$B$8,Assumptions!$B$9))</f>
        <v>0.182807558167048</v>
      </c>
      <c r="N55" s="8" t="n">
        <f aca="true">NORMINV(RAND(),Assumptions!$B$14,Assumptions!$B$15)</f>
        <v>0.00538404186161358</v>
      </c>
      <c r="O55" s="8" t="n">
        <f aca="true">NORMINV(RAND(),Assumptions!$B$14,Assumptions!$B$15)</f>
        <v>0.0777628107628245</v>
      </c>
      <c r="P55" s="8" t="n">
        <f aca="true">NORMINV(RAND(),Assumptions!$B$14,Assumptions!$B$15)</f>
        <v>0.0848629100533025</v>
      </c>
      <c r="Q55" s="8" t="n">
        <f aca="true">NORMINV(RAND(),Assumptions!$B$14,Assumptions!$B$15)</f>
        <v>0.0827746738435899</v>
      </c>
      <c r="R55" s="8" t="n">
        <f aca="true">NORMINV(RAND(),Assumptions!$B$14,Assumptions!$B$15)</f>
        <v>0.0310677363228216</v>
      </c>
      <c r="S55" s="8" t="n">
        <f aca="true">NORMINV(RAND(),Assumptions!$B$14,Assumptions!$B$15)</f>
        <v>0.0977944139171566</v>
      </c>
      <c r="T55" s="8" t="n">
        <f aca="false">Assumptions!$B$19*H55+(1-Assumptions!$B$19)*N55</f>
        <v>0.129294466420954</v>
      </c>
      <c r="U55" s="8" t="n">
        <f aca="false">Assumptions!$B$20*I55+(1-Assumptions!$B$20)*O55</f>
        <v>-0.383815518080061</v>
      </c>
      <c r="V55" s="8" t="n">
        <f aca="false">Assumptions!$B$21*J55+(1-Assumptions!$B$21)*P55</f>
        <v>0.300907640563975</v>
      </c>
      <c r="W55" s="8" t="n">
        <f aca="false">Assumptions!$B$22*K55+(1-Assumptions!$B$22)*Q55</f>
        <v>0.0593931427435588</v>
      </c>
      <c r="X55" s="8" t="n">
        <f aca="false">Assumptions!$B$23*L55+(1-Assumptions!$B$23)*R55</f>
        <v>0.258319461588229</v>
      </c>
      <c r="Y55" s="8" t="n">
        <f aca="false">Assumptions!$B$24*M55+(1-Assumptions!$B$24)*S55</f>
        <v>0.148802300467091</v>
      </c>
      <c r="Z55" s="6" t="n">
        <f aca="false">Assumptions!$B$27*(1+T55)</f>
        <v>338788.339926286</v>
      </c>
      <c r="AA55" s="6" t="n">
        <f aca="false">(Z55+Assumptions!$B$28)*(1+U55)</f>
        <v>301183.790005986</v>
      </c>
      <c r="AB55" s="6" t="n">
        <f aca="false">AA55*(1+V55)</f>
        <v>391812.293632803</v>
      </c>
      <c r="AC55" s="6" t="n">
        <f aca="false">AB55*(1+W55)</f>
        <v>415083.257117217</v>
      </c>
      <c r="AD55" s="6" t="n">
        <f aca="false">AC55*(1+X55)</f>
        <v>522307.340610025</v>
      </c>
      <c r="AE55" s="6" t="n">
        <f aca="false">AD55*(1+Y55)</f>
        <v>600027.874443645</v>
      </c>
      <c r="AF55" s="6" t="n">
        <f aca="false">Z55</f>
        <v>338788.339926286</v>
      </c>
      <c r="AG55" s="6" t="n">
        <f aca="false">MAX(AF55,AA55)</f>
        <v>338788.339926286</v>
      </c>
      <c r="AH55" s="6" t="n">
        <f aca="false">MAX(AG55,AB55)</f>
        <v>391812.293632803</v>
      </c>
      <c r="AI55" s="6" t="n">
        <f aca="false">MAX(AH55,AC55)</f>
        <v>415083.257117217</v>
      </c>
      <c r="AJ55" s="6" t="n">
        <f aca="false">MAX(AI55,AD55)</f>
        <v>522307.340610025</v>
      </c>
      <c r="AK55" s="6" t="n">
        <f aca="false">MAX(AJ55,AE55)</f>
        <v>600027.874443645</v>
      </c>
      <c r="AL55" s="8" t="n">
        <f aca="false">MIN(Z55/AF55-1,AA55/AG55-1,AB55/AH55-1,AC55/AI55-1,AD55/AJ55-1,AE55/AK55-1)</f>
        <v>-0.110997178735498</v>
      </c>
      <c r="AM55" s="6" t="n">
        <f aca="false">AE55-Assumptions!$B$35</f>
        <v>158763.877781142</v>
      </c>
    </row>
    <row r="56" customFormat="false" ht="15" hidden="false" customHeight="false" outlineLevel="0" collapsed="false">
      <c r="A56" s="0" t="n">
        <f aca="false">ROW()-1</f>
        <v>55</v>
      </c>
      <c r="B56" s="0" t="str">
        <f aca="true">IF(RAND()&lt;Assumptions!$B$11,"Bull","Bear")</f>
        <v>Bull</v>
      </c>
      <c r="C56" s="0" t="str">
        <f aca="true">IF(B56="Bull",IF(RAND()&lt;Assumptions!$B$7,"Bull","Bear"),IF(RAND()&lt;Assumptions!$B$10,"Bear","Bull"))</f>
        <v>Bull</v>
      </c>
      <c r="D56" s="0" t="str">
        <f aca="true">IF(C56="Bull",IF(RAND()&lt;Assumptions!$B$7,"Bull","Bear"),IF(RAND()&lt;Assumptions!$B$10,"Bear","Bull"))</f>
        <v>Bear</v>
      </c>
      <c r="E56" s="0" t="str">
        <f aca="true">IF(D56="Bull",IF(RAND()&lt;Assumptions!$B$7,"Bull","Bear"),IF(RAND()&lt;Assumptions!$B$10,"Bear","Bull"))</f>
        <v>Bull</v>
      </c>
      <c r="F56" s="0" t="str">
        <f aca="true">IF(E56="Bull",IF(RAND()&lt;Assumptions!$B$7,"Bull","Bear"),IF(RAND()&lt;Assumptions!$B$10,"Bear","Bull"))</f>
        <v>Bull</v>
      </c>
      <c r="G56" s="0" t="str">
        <f aca="true">IF(F56="Bull",IF(RAND()&lt;Assumptions!$B$7,"Bull","Bear"),IF(RAND()&lt;Assumptions!$B$10,"Bear","Bull"))</f>
        <v>Bull</v>
      </c>
      <c r="H56" s="8" t="n">
        <f aca="true">IF(B56="Bull",NORMINV(RAND(),Assumptions!$B$5,Assumptions!$B$6),NORMINV(RAND(),Assumptions!$B$8,Assumptions!$B$9))</f>
        <v>0.119939690129935</v>
      </c>
      <c r="I56" s="8" t="n">
        <f aca="true">IF(C56="Bull",NORMINV(RAND(),Assumptions!$B$5,Assumptions!$B$6),NORMINV(RAND(),Assumptions!$B$8,Assumptions!$B$9))</f>
        <v>0.173213640387591</v>
      </c>
      <c r="J56" s="8" t="n">
        <f aca="true">IF(D56="Bull",NORMINV(RAND(),Assumptions!$B$5,Assumptions!$B$6),NORMINV(RAND(),Assumptions!$B$8,Assumptions!$B$9))</f>
        <v>-0.00796384921968868</v>
      </c>
      <c r="K56" s="8" t="n">
        <f aca="true">IF(E56="Bull",NORMINV(RAND(),Assumptions!$B$5,Assumptions!$B$6),NORMINV(RAND(),Assumptions!$B$8,Assumptions!$B$9))</f>
        <v>0.208626194016871</v>
      </c>
      <c r="L56" s="8" t="n">
        <f aca="true">IF(F56="Bull",NORMINV(RAND(),Assumptions!$B$5,Assumptions!$B$6),NORMINV(RAND(),Assumptions!$B$8,Assumptions!$B$9))</f>
        <v>-0.00871573177403176</v>
      </c>
      <c r="M56" s="8" t="n">
        <f aca="true">IF(G56="Bull",NORMINV(RAND(),Assumptions!$B$5,Assumptions!$B$6),NORMINV(RAND(),Assumptions!$B$8,Assumptions!$B$9))</f>
        <v>0.0356430388461324</v>
      </c>
      <c r="N56" s="8" t="n">
        <f aca="true">NORMINV(RAND(),Assumptions!$B$14,Assumptions!$B$15)</f>
        <v>0.0905459748635418</v>
      </c>
      <c r="O56" s="8" t="n">
        <f aca="true">NORMINV(RAND(),Assumptions!$B$14,Assumptions!$B$15)</f>
        <v>0.0403289780021915</v>
      </c>
      <c r="P56" s="8" t="n">
        <f aca="true">NORMINV(RAND(),Assumptions!$B$14,Assumptions!$B$15)</f>
        <v>0.0903714141200392</v>
      </c>
      <c r="Q56" s="8" t="n">
        <f aca="true">NORMINV(RAND(),Assumptions!$B$14,Assumptions!$B$15)</f>
        <v>0.101795526366973</v>
      </c>
      <c r="R56" s="8" t="n">
        <f aca="true">NORMINV(RAND(),Assumptions!$B$14,Assumptions!$B$15)</f>
        <v>0.0560884535319351</v>
      </c>
      <c r="S56" s="8" t="n">
        <f aca="true">NORMINV(RAND(),Assumptions!$B$14,Assumptions!$B$15)</f>
        <v>0.0197956871007149</v>
      </c>
      <c r="T56" s="8" t="n">
        <f aca="false">Assumptions!$B$19*H56+(1-Assumptions!$B$19)*N56</f>
        <v>0.119939690129935</v>
      </c>
      <c r="U56" s="8" t="n">
        <f aca="false">Assumptions!$B$20*I56+(1-Assumptions!$B$20)*O56</f>
        <v>0.173213640387591</v>
      </c>
      <c r="V56" s="8" t="n">
        <f aca="false">Assumptions!$B$21*J56+(1-Assumptions!$B$21)*P56</f>
        <v>-0.00796384921968868</v>
      </c>
      <c r="W56" s="8" t="n">
        <f aca="false">Assumptions!$B$22*K56+(1-Assumptions!$B$22)*Q56</f>
        <v>0.208626194016871</v>
      </c>
      <c r="X56" s="8" t="n">
        <f aca="false">Assumptions!$B$23*L56+(1-Assumptions!$B$23)*R56</f>
        <v>0.00424510528716162</v>
      </c>
      <c r="Y56" s="8" t="n">
        <f aca="false">Assumptions!$B$24*M56+(1-Assumptions!$B$24)*S56</f>
        <v>0.0293040981479654</v>
      </c>
      <c r="Z56" s="6" t="n">
        <f aca="false">Assumptions!$B$27*(1+T56)</f>
        <v>335981.90703898</v>
      </c>
      <c r="AA56" s="6" t="n">
        <f aca="false">(Z56+Assumptions!$B$28)*(1+U56)</f>
        <v>570160.602319706</v>
      </c>
      <c r="AB56" s="6" t="n">
        <f aca="false">AA56*(1+V56)</f>
        <v>565619.929251825</v>
      </c>
      <c r="AC56" s="6" t="n">
        <f aca="false">AB56*(1+W56)</f>
        <v>683623.062351725</v>
      </c>
      <c r="AD56" s="6" t="n">
        <f aca="false">AC56*(1+X56)</f>
        <v>686525.11422814</v>
      </c>
      <c r="AE56" s="6" t="n">
        <f aca="false">AD56*(1+Y56)</f>
        <v>706643.113556525</v>
      </c>
      <c r="AF56" s="6" t="n">
        <f aca="false">Z56</f>
        <v>335981.90703898</v>
      </c>
      <c r="AG56" s="6" t="n">
        <f aca="false">MAX(AF56,AA56)</f>
        <v>570160.602319706</v>
      </c>
      <c r="AH56" s="6" t="n">
        <f aca="false">MAX(AG56,AB56)</f>
        <v>570160.602319706</v>
      </c>
      <c r="AI56" s="6" t="n">
        <f aca="false">MAX(AH56,AC56)</f>
        <v>683623.062351725</v>
      </c>
      <c r="AJ56" s="6" t="n">
        <f aca="false">MAX(AI56,AD56)</f>
        <v>686525.11422814</v>
      </c>
      <c r="AK56" s="6" t="n">
        <f aca="false">MAX(AJ56,AE56)</f>
        <v>706643.113556525</v>
      </c>
      <c r="AL56" s="8" t="n">
        <f aca="false">MIN(Z56/AF56-1,AA56/AG56-1,AB56/AH56-1,AC56/AI56-1,AD56/AJ56-1,AE56/AK56-1)</f>
        <v>-0.00796384921968873</v>
      </c>
      <c r="AM56" s="6" t="n">
        <f aca="false">AE56-Assumptions!$B$35</f>
        <v>265379.116894021</v>
      </c>
    </row>
    <row r="57" customFormat="false" ht="15" hidden="false" customHeight="false" outlineLevel="0" collapsed="false">
      <c r="A57" s="0" t="n">
        <f aca="false">ROW()-1</f>
        <v>56</v>
      </c>
      <c r="B57" s="0" t="str">
        <f aca="true">IF(RAND()&lt;Assumptions!$B$11,"Bull","Bear")</f>
        <v>Bear</v>
      </c>
      <c r="C57" s="0" t="str">
        <f aca="true">IF(B57="Bull",IF(RAND()&lt;Assumptions!$B$7,"Bull","Bear"),IF(RAND()&lt;Assumptions!$B$10,"Bear","Bull"))</f>
        <v>Bull</v>
      </c>
      <c r="D57" s="0" t="str">
        <f aca="true">IF(C57="Bull",IF(RAND()&lt;Assumptions!$B$7,"Bull","Bear"),IF(RAND()&lt;Assumptions!$B$10,"Bear","Bull"))</f>
        <v>Bull</v>
      </c>
      <c r="E57" s="0" t="str">
        <f aca="true">IF(D57="Bull",IF(RAND()&lt;Assumptions!$B$7,"Bull","Bear"),IF(RAND()&lt;Assumptions!$B$10,"Bear","Bull"))</f>
        <v>Bull</v>
      </c>
      <c r="F57" s="0" t="str">
        <f aca="true">IF(E57="Bull",IF(RAND()&lt;Assumptions!$B$7,"Bull","Bear"),IF(RAND()&lt;Assumptions!$B$10,"Bear","Bull"))</f>
        <v>Bull</v>
      </c>
      <c r="G57" s="0" t="str">
        <f aca="true">IF(F57="Bull",IF(RAND()&lt;Assumptions!$B$7,"Bull","Bear"),IF(RAND()&lt;Assumptions!$B$10,"Bear","Bull"))</f>
        <v>Bear</v>
      </c>
      <c r="H57" s="8" t="n">
        <f aca="true">IF(B57="Bull",NORMINV(RAND(),Assumptions!$B$5,Assumptions!$B$6),NORMINV(RAND(),Assumptions!$B$8,Assumptions!$B$9))</f>
        <v>-0.472381688645086</v>
      </c>
      <c r="I57" s="8" t="n">
        <f aca="true">IF(C57="Bull",NORMINV(RAND(),Assumptions!$B$5,Assumptions!$B$6),NORMINV(RAND(),Assumptions!$B$8,Assumptions!$B$9))</f>
        <v>0.205027714303026</v>
      </c>
      <c r="J57" s="8" t="n">
        <f aca="true">IF(D57="Bull",NORMINV(RAND(),Assumptions!$B$5,Assumptions!$B$6),NORMINV(RAND(),Assumptions!$B$8,Assumptions!$B$9))</f>
        <v>0.257922660103641</v>
      </c>
      <c r="K57" s="8" t="n">
        <f aca="true">IF(E57="Bull",NORMINV(RAND(),Assumptions!$B$5,Assumptions!$B$6),NORMINV(RAND(),Assumptions!$B$8,Assumptions!$B$9))</f>
        <v>0.160772888332303</v>
      </c>
      <c r="L57" s="8" t="n">
        <f aca="true">IF(F57="Bull",NORMINV(RAND(),Assumptions!$B$5,Assumptions!$B$6),NORMINV(RAND(),Assumptions!$B$8,Assumptions!$B$9))</f>
        <v>0.181630544229864</v>
      </c>
      <c r="M57" s="8" t="n">
        <f aca="true">IF(G57="Bull",NORMINV(RAND(),Assumptions!$B$5,Assumptions!$B$6),NORMINV(RAND(),Assumptions!$B$8,Assumptions!$B$9))</f>
        <v>-0.178900654484846</v>
      </c>
      <c r="N57" s="8" t="n">
        <f aca="true">NORMINV(RAND(),Assumptions!$B$14,Assumptions!$B$15)</f>
        <v>0.077243054336273</v>
      </c>
      <c r="O57" s="8" t="n">
        <f aca="true">NORMINV(RAND(),Assumptions!$B$14,Assumptions!$B$15)</f>
        <v>0.0941686611521804</v>
      </c>
      <c r="P57" s="8" t="n">
        <f aca="true">NORMINV(RAND(),Assumptions!$B$14,Assumptions!$B$15)</f>
        <v>0.0657726787259937</v>
      </c>
      <c r="Q57" s="8" t="n">
        <f aca="true">NORMINV(RAND(),Assumptions!$B$14,Assumptions!$B$15)</f>
        <v>0.0975567994969533</v>
      </c>
      <c r="R57" s="8" t="n">
        <f aca="true">NORMINV(RAND(),Assumptions!$B$14,Assumptions!$B$15)</f>
        <v>0.0452380284602653</v>
      </c>
      <c r="S57" s="8" t="n">
        <f aca="true">NORMINV(RAND(),Assumptions!$B$14,Assumptions!$B$15)</f>
        <v>0.0698416276570258</v>
      </c>
      <c r="T57" s="8" t="n">
        <f aca="false">Assumptions!$B$19*H57+(1-Assumptions!$B$19)*N57</f>
        <v>-0.472381688645086</v>
      </c>
      <c r="U57" s="8" t="n">
        <f aca="false">Assumptions!$B$20*I57+(1-Assumptions!$B$20)*O57</f>
        <v>0.205027714303026</v>
      </c>
      <c r="V57" s="8" t="n">
        <f aca="false">Assumptions!$B$21*J57+(1-Assumptions!$B$21)*P57</f>
        <v>0.257922660103641</v>
      </c>
      <c r="W57" s="8" t="n">
        <f aca="false">Assumptions!$B$22*K57+(1-Assumptions!$B$22)*Q57</f>
        <v>0.160772888332303</v>
      </c>
      <c r="X57" s="8" t="n">
        <f aca="false">Assumptions!$B$23*L57+(1-Assumptions!$B$23)*R57</f>
        <v>0.154352041075945</v>
      </c>
      <c r="Y57" s="8" t="n">
        <f aca="false">Assumptions!$B$24*M57+(1-Assumptions!$B$24)*S57</f>
        <v>-0.079403741628097</v>
      </c>
      <c r="Z57" s="6" t="n">
        <f aca="false">Assumptions!$B$27*(1+T57)</f>
        <v>158285.493406474</v>
      </c>
      <c r="AA57" s="6" t="n">
        <f aca="false">(Z57+Assumptions!$B$28)*(1+U57)</f>
        <v>371492.563472384</v>
      </c>
      <c r="AB57" s="6" t="n">
        <f aca="false">AA57*(1+V57)</f>
        <v>467308.913651902</v>
      </c>
      <c r="AC57" s="6" t="n">
        <f aca="false">AB57*(1+W57)</f>
        <v>542439.517443149</v>
      </c>
      <c r="AD57" s="6" t="n">
        <f aca="false">AC57*(1+X57)</f>
        <v>626166.16412075</v>
      </c>
      <c r="AE57" s="6" t="n">
        <f aca="false">AD57*(1+Y57)</f>
        <v>576446.227808649</v>
      </c>
      <c r="AF57" s="6" t="n">
        <f aca="false">Z57</f>
        <v>158285.493406474</v>
      </c>
      <c r="AG57" s="6" t="n">
        <f aca="false">MAX(AF57,AA57)</f>
        <v>371492.563472384</v>
      </c>
      <c r="AH57" s="6" t="n">
        <f aca="false">MAX(AG57,AB57)</f>
        <v>467308.913651902</v>
      </c>
      <c r="AI57" s="6" t="n">
        <f aca="false">MAX(AH57,AC57)</f>
        <v>542439.517443149</v>
      </c>
      <c r="AJ57" s="6" t="n">
        <f aca="false">MAX(AI57,AD57)</f>
        <v>626166.16412075</v>
      </c>
      <c r="AK57" s="6" t="n">
        <f aca="false">MAX(AJ57,AE57)</f>
        <v>626166.16412075</v>
      </c>
      <c r="AL57" s="8" t="n">
        <f aca="false">MIN(Z57/AF57-1,AA57/AG57-1,AB57/AH57-1,AC57/AI57-1,AD57/AJ57-1,AE57/AK57-1)</f>
        <v>-0.0794037416280971</v>
      </c>
      <c r="AM57" s="6" t="n">
        <f aca="false">AE57-Assumptions!$B$35</f>
        <v>135182.231146146</v>
      </c>
    </row>
    <row r="58" customFormat="false" ht="15" hidden="false" customHeight="false" outlineLevel="0" collapsed="false">
      <c r="A58" s="0" t="n">
        <f aca="false">ROW()-1</f>
        <v>57</v>
      </c>
      <c r="B58" s="0" t="str">
        <f aca="true">IF(RAND()&lt;Assumptions!$B$11,"Bull","Bear")</f>
        <v>Bull</v>
      </c>
      <c r="C58" s="0" t="str">
        <f aca="true">IF(B58="Bull",IF(RAND()&lt;Assumptions!$B$7,"Bull","Bear"),IF(RAND()&lt;Assumptions!$B$10,"Bear","Bull"))</f>
        <v>Bull</v>
      </c>
      <c r="D58" s="0" t="str">
        <f aca="true">IF(C58="Bull",IF(RAND()&lt;Assumptions!$B$7,"Bull","Bear"),IF(RAND()&lt;Assumptions!$B$10,"Bear","Bull"))</f>
        <v>Bull</v>
      </c>
      <c r="E58" s="0" t="str">
        <f aca="true">IF(D58="Bull",IF(RAND()&lt;Assumptions!$B$7,"Bull","Bear"),IF(RAND()&lt;Assumptions!$B$10,"Bear","Bull"))</f>
        <v>Bear</v>
      </c>
      <c r="F58" s="0" t="str">
        <f aca="true">IF(E58="Bull",IF(RAND()&lt;Assumptions!$B$7,"Bull","Bear"),IF(RAND()&lt;Assumptions!$B$10,"Bear","Bull"))</f>
        <v>Bear</v>
      </c>
      <c r="G58" s="0" t="str">
        <f aca="true">IF(F58="Bull",IF(RAND()&lt;Assumptions!$B$7,"Bull","Bear"),IF(RAND()&lt;Assumptions!$B$10,"Bear","Bull"))</f>
        <v>Bear</v>
      </c>
      <c r="H58" s="8" t="n">
        <f aca="true">IF(B58="Bull",NORMINV(RAND(),Assumptions!$B$5,Assumptions!$B$6),NORMINV(RAND(),Assumptions!$B$8,Assumptions!$B$9))</f>
        <v>0.354660226121594</v>
      </c>
      <c r="I58" s="8" t="n">
        <f aca="true">IF(C58="Bull",NORMINV(RAND(),Assumptions!$B$5,Assumptions!$B$6),NORMINV(RAND(),Assumptions!$B$8,Assumptions!$B$9))</f>
        <v>0.394529633818457</v>
      </c>
      <c r="J58" s="8" t="n">
        <f aca="true">IF(D58="Bull",NORMINV(RAND(),Assumptions!$B$5,Assumptions!$B$6),NORMINV(RAND(),Assumptions!$B$8,Assumptions!$B$9))</f>
        <v>0.253641806514505</v>
      </c>
      <c r="K58" s="8" t="n">
        <f aca="true">IF(E58="Bull",NORMINV(RAND(),Assumptions!$B$5,Assumptions!$B$6),NORMINV(RAND(),Assumptions!$B$8,Assumptions!$B$9))</f>
        <v>-0.245986773928088</v>
      </c>
      <c r="L58" s="8" t="n">
        <f aca="true">IF(F58="Bull",NORMINV(RAND(),Assumptions!$B$5,Assumptions!$B$6),NORMINV(RAND(),Assumptions!$B$8,Assumptions!$B$9))</f>
        <v>-0.12323866122916</v>
      </c>
      <c r="M58" s="8" t="n">
        <f aca="true">IF(G58="Bull",NORMINV(RAND(),Assumptions!$B$5,Assumptions!$B$6),NORMINV(RAND(),Assumptions!$B$8,Assumptions!$B$9))</f>
        <v>-0.162671445484161</v>
      </c>
      <c r="N58" s="8" t="n">
        <f aca="true">NORMINV(RAND(),Assumptions!$B$14,Assumptions!$B$15)</f>
        <v>0.0996019788898926</v>
      </c>
      <c r="O58" s="8" t="n">
        <f aca="true">NORMINV(RAND(),Assumptions!$B$14,Assumptions!$B$15)</f>
        <v>0.0986535012578492</v>
      </c>
      <c r="P58" s="8" t="n">
        <f aca="true">NORMINV(RAND(),Assumptions!$B$14,Assumptions!$B$15)</f>
        <v>0.0916904552813909</v>
      </c>
      <c r="Q58" s="8" t="n">
        <f aca="true">NORMINV(RAND(),Assumptions!$B$14,Assumptions!$B$15)</f>
        <v>0.0887171986629095</v>
      </c>
      <c r="R58" s="8" t="n">
        <f aca="true">NORMINV(RAND(),Assumptions!$B$14,Assumptions!$B$15)</f>
        <v>0.045340063090261</v>
      </c>
      <c r="S58" s="8" t="n">
        <f aca="true">NORMINV(RAND(),Assumptions!$B$14,Assumptions!$B$15)</f>
        <v>0.0597493864739589</v>
      </c>
      <c r="T58" s="8" t="n">
        <f aca="false">Assumptions!$B$19*H58+(1-Assumptions!$B$19)*N58</f>
        <v>0.354660226121594</v>
      </c>
      <c r="U58" s="8" t="n">
        <f aca="false">Assumptions!$B$20*I58+(1-Assumptions!$B$20)*O58</f>
        <v>0.394529633818457</v>
      </c>
      <c r="V58" s="8" t="n">
        <f aca="false">Assumptions!$B$21*J58+(1-Assumptions!$B$21)*P58</f>
        <v>0.253641806514505</v>
      </c>
      <c r="W58" s="8" t="n">
        <f aca="false">Assumptions!$B$22*K58+(1-Assumptions!$B$22)*Q58</f>
        <v>-0.245986773928088</v>
      </c>
      <c r="X58" s="8" t="n">
        <f aca="false">Assumptions!$B$23*L58+(1-Assumptions!$B$23)*R58</f>
        <v>-0.0895229163652759</v>
      </c>
      <c r="Y58" s="8" t="n">
        <f aca="false">Assumptions!$B$24*M58+(1-Assumptions!$B$24)*S58</f>
        <v>-0.0737031127009129</v>
      </c>
      <c r="Z58" s="6" t="n">
        <f aca="false">Assumptions!$B$27*(1+T58)</f>
        <v>406398.067836478</v>
      </c>
      <c r="AA58" s="6" t="n">
        <f aca="false">(Z58+Assumptions!$B$28)*(1+U58)</f>
        <v>775913.593797301</v>
      </c>
      <c r="AB58" s="6" t="n">
        <f aca="false">AA58*(1+V58)</f>
        <v>972717.719427211</v>
      </c>
      <c r="AC58" s="6" t="n">
        <f aca="false">AB58*(1+W58)</f>
        <v>733442.025682624</v>
      </c>
      <c r="AD58" s="6" t="n">
        <f aca="false">AC58*(1+X58)</f>
        <v>667782.15655866</v>
      </c>
      <c r="AE58" s="6" t="n">
        <f aca="false">AD58*(1+Y58)</f>
        <v>618564.533014159</v>
      </c>
      <c r="AF58" s="6" t="n">
        <f aca="false">Z58</f>
        <v>406398.067836478</v>
      </c>
      <c r="AG58" s="6" t="n">
        <f aca="false">MAX(AF58,AA58)</f>
        <v>775913.593797301</v>
      </c>
      <c r="AH58" s="6" t="n">
        <f aca="false">MAX(AG58,AB58)</f>
        <v>972717.719427211</v>
      </c>
      <c r="AI58" s="6" t="n">
        <f aca="false">MAX(AH58,AC58)</f>
        <v>972717.719427211</v>
      </c>
      <c r="AJ58" s="6" t="n">
        <f aca="false">MAX(AI58,AD58)</f>
        <v>972717.719427211</v>
      </c>
      <c r="AK58" s="6" t="n">
        <f aca="false">MAX(AJ58,AE58)</f>
        <v>972717.719427211</v>
      </c>
      <c r="AL58" s="8" t="n">
        <f aca="false">MIN(Z58/AF58-1,AA58/AG58-1,AB58/AH58-1,AC58/AI58-1,AD58/AJ58-1,AE58/AK58-1)</f>
        <v>-0.36408629075</v>
      </c>
      <c r="AM58" s="6" t="n">
        <f aca="false">AE58-Assumptions!$B$35</f>
        <v>177300.536351655</v>
      </c>
    </row>
    <row r="59" customFormat="false" ht="15" hidden="false" customHeight="false" outlineLevel="0" collapsed="false">
      <c r="A59" s="0" t="n">
        <f aca="false">ROW()-1</f>
        <v>58</v>
      </c>
      <c r="B59" s="0" t="str">
        <f aca="true">IF(RAND()&lt;Assumptions!$B$11,"Bull","Bear")</f>
        <v>Bull</v>
      </c>
      <c r="C59" s="0" t="str">
        <f aca="true">IF(B59="Bull",IF(RAND()&lt;Assumptions!$B$7,"Bull","Bear"),IF(RAND()&lt;Assumptions!$B$10,"Bear","Bull"))</f>
        <v>Bull</v>
      </c>
      <c r="D59" s="0" t="str">
        <f aca="true">IF(C59="Bull",IF(RAND()&lt;Assumptions!$B$7,"Bull","Bear"),IF(RAND()&lt;Assumptions!$B$10,"Bear","Bull"))</f>
        <v>Bear</v>
      </c>
      <c r="E59" s="0" t="str">
        <f aca="true">IF(D59="Bull",IF(RAND()&lt;Assumptions!$B$7,"Bull","Bear"),IF(RAND()&lt;Assumptions!$B$10,"Bear","Bull"))</f>
        <v>Bear</v>
      </c>
      <c r="F59" s="0" t="str">
        <f aca="true">IF(E59="Bull",IF(RAND()&lt;Assumptions!$B$7,"Bull","Bear"),IF(RAND()&lt;Assumptions!$B$10,"Bear","Bull"))</f>
        <v>Bull</v>
      </c>
      <c r="G59" s="0" t="str">
        <f aca="true">IF(F59="Bull",IF(RAND()&lt;Assumptions!$B$7,"Bull","Bear"),IF(RAND()&lt;Assumptions!$B$10,"Bear","Bull"))</f>
        <v>Bull</v>
      </c>
      <c r="H59" s="8" t="n">
        <f aca="true">IF(B59="Bull",NORMINV(RAND(),Assumptions!$B$5,Assumptions!$B$6),NORMINV(RAND(),Assumptions!$B$8,Assumptions!$B$9))</f>
        <v>0.0307006425529144</v>
      </c>
      <c r="I59" s="8" t="n">
        <f aca="true">IF(C59="Bull",NORMINV(RAND(),Assumptions!$B$5,Assumptions!$B$6),NORMINV(RAND(),Assumptions!$B$8,Assumptions!$B$9))</f>
        <v>0.061565774859987</v>
      </c>
      <c r="J59" s="8" t="n">
        <f aca="true">IF(D59="Bull",NORMINV(RAND(),Assumptions!$B$5,Assumptions!$B$6),NORMINV(RAND(),Assumptions!$B$8,Assumptions!$B$9))</f>
        <v>-0.614992412053263</v>
      </c>
      <c r="K59" s="8" t="n">
        <f aca="true">IF(E59="Bull",NORMINV(RAND(),Assumptions!$B$5,Assumptions!$B$6),NORMINV(RAND(),Assumptions!$B$8,Assumptions!$B$9))</f>
        <v>0.0316638724064468</v>
      </c>
      <c r="L59" s="8" t="n">
        <f aca="true">IF(F59="Bull",NORMINV(RAND(),Assumptions!$B$5,Assumptions!$B$6),NORMINV(RAND(),Assumptions!$B$8,Assumptions!$B$9))</f>
        <v>0.25088674630649</v>
      </c>
      <c r="M59" s="8" t="n">
        <f aca="true">IF(G59="Bull",NORMINV(RAND(),Assumptions!$B$5,Assumptions!$B$6),NORMINV(RAND(),Assumptions!$B$8,Assumptions!$B$9))</f>
        <v>-0.0526385444868429</v>
      </c>
      <c r="N59" s="8" t="n">
        <f aca="true">NORMINV(RAND(),Assumptions!$B$14,Assumptions!$B$15)</f>
        <v>0.0568339766768557</v>
      </c>
      <c r="O59" s="8" t="n">
        <f aca="true">NORMINV(RAND(),Assumptions!$B$14,Assumptions!$B$15)</f>
        <v>0.0575009745447671</v>
      </c>
      <c r="P59" s="8" t="n">
        <f aca="true">NORMINV(RAND(),Assumptions!$B$14,Assumptions!$B$15)</f>
        <v>0.0196603794092454</v>
      </c>
      <c r="Q59" s="8" t="n">
        <f aca="true">NORMINV(RAND(),Assumptions!$B$14,Assumptions!$B$15)</f>
        <v>0.049497881036259</v>
      </c>
      <c r="R59" s="8" t="n">
        <f aca="true">NORMINV(RAND(),Assumptions!$B$14,Assumptions!$B$15)</f>
        <v>0.044117817302151</v>
      </c>
      <c r="S59" s="8" t="n">
        <f aca="true">NORMINV(RAND(),Assumptions!$B$14,Assumptions!$B$15)</f>
        <v>0.0446953600634351</v>
      </c>
      <c r="T59" s="8" t="n">
        <f aca="false">Assumptions!$B$19*H59+(1-Assumptions!$B$19)*N59</f>
        <v>0.0307006425529144</v>
      </c>
      <c r="U59" s="8" t="n">
        <f aca="false">Assumptions!$B$20*I59+(1-Assumptions!$B$20)*O59</f>
        <v>0.061565774859987</v>
      </c>
      <c r="V59" s="8" t="n">
        <f aca="false">Assumptions!$B$21*J59+(1-Assumptions!$B$21)*P59</f>
        <v>-0.614992412053263</v>
      </c>
      <c r="W59" s="8" t="n">
        <f aca="false">Assumptions!$B$22*K59+(1-Assumptions!$B$22)*Q59</f>
        <v>0.0316638724064468</v>
      </c>
      <c r="X59" s="8" t="n">
        <f aca="false">Assumptions!$B$23*L59+(1-Assumptions!$B$23)*R59</f>
        <v>0.209532960505622</v>
      </c>
      <c r="Y59" s="8" t="n">
        <f aca="false">Assumptions!$B$24*M59+(1-Assumptions!$B$24)*S59</f>
        <v>-0.0137049826667317</v>
      </c>
      <c r="Z59" s="6" t="n">
        <f aca="false">Assumptions!$B$27*(1+T59)</f>
        <v>309210.192765874</v>
      </c>
      <c r="AA59" s="6" t="n">
        <f aca="false">(Z59+Assumptions!$B$28)*(1+U59)</f>
        <v>487481.824107109</v>
      </c>
      <c r="AB59" s="6" t="n">
        <f aca="false">AA59*(1+V59)</f>
        <v>187684.201267354</v>
      </c>
      <c r="AC59" s="6" t="n">
        <f aca="false">AB59*(1+W59)</f>
        <v>193627.009868989</v>
      </c>
      <c r="AD59" s="6" t="n">
        <f aca="false">AC59*(1+X59)</f>
        <v>234198.25048069</v>
      </c>
      <c r="AE59" s="6" t="n">
        <f aca="false">AD59*(1+Y59)</f>
        <v>230988.567517273</v>
      </c>
      <c r="AF59" s="6" t="n">
        <f aca="false">Z59</f>
        <v>309210.192765874</v>
      </c>
      <c r="AG59" s="6" t="n">
        <f aca="false">MAX(AF59,AA59)</f>
        <v>487481.824107109</v>
      </c>
      <c r="AH59" s="6" t="n">
        <f aca="false">MAX(AG59,AB59)</f>
        <v>487481.824107109</v>
      </c>
      <c r="AI59" s="6" t="n">
        <f aca="false">MAX(AH59,AC59)</f>
        <v>487481.824107109</v>
      </c>
      <c r="AJ59" s="6" t="n">
        <f aca="false">MAX(AI59,AD59)</f>
        <v>487481.824107109</v>
      </c>
      <c r="AK59" s="6" t="n">
        <f aca="false">MAX(AJ59,AE59)</f>
        <v>487481.824107109</v>
      </c>
      <c r="AL59" s="8" t="n">
        <f aca="false">MIN(Z59/AF59-1,AA59/AG59-1,AB59/AH59-1,AC59/AI59-1,AD59/AJ59-1,AE59/AK59-1)</f>
        <v>-0.614992412053263</v>
      </c>
      <c r="AM59" s="6" t="n">
        <f aca="false">AE59-Assumptions!$B$35</f>
        <v>-210275.429145231</v>
      </c>
    </row>
    <row r="60" customFormat="false" ht="15" hidden="false" customHeight="false" outlineLevel="0" collapsed="false">
      <c r="A60" s="0" t="n">
        <f aca="false">ROW()-1</f>
        <v>59</v>
      </c>
      <c r="B60" s="0" t="str">
        <f aca="true">IF(RAND()&lt;Assumptions!$B$11,"Bull","Bear")</f>
        <v>Bull</v>
      </c>
      <c r="C60" s="0" t="str">
        <f aca="true">IF(B60="Bull",IF(RAND()&lt;Assumptions!$B$7,"Bull","Bear"),IF(RAND()&lt;Assumptions!$B$10,"Bear","Bull"))</f>
        <v>Bull</v>
      </c>
      <c r="D60" s="0" t="str">
        <f aca="true">IF(C60="Bull",IF(RAND()&lt;Assumptions!$B$7,"Bull","Bear"),IF(RAND()&lt;Assumptions!$B$10,"Bear","Bull"))</f>
        <v>Bull</v>
      </c>
      <c r="E60" s="0" t="str">
        <f aca="true">IF(D60="Bull",IF(RAND()&lt;Assumptions!$B$7,"Bull","Bear"),IF(RAND()&lt;Assumptions!$B$10,"Bear","Bull"))</f>
        <v>Bear</v>
      </c>
      <c r="F60" s="0" t="str">
        <f aca="true">IF(E60="Bull",IF(RAND()&lt;Assumptions!$B$7,"Bull","Bear"),IF(RAND()&lt;Assumptions!$B$10,"Bear","Bull"))</f>
        <v>Bear</v>
      </c>
      <c r="G60" s="0" t="str">
        <f aca="true">IF(F60="Bull",IF(RAND()&lt;Assumptions!$B$7,"Bull","Bear"),IF(RAND()&lt;Assumptions!$B$10,"Bear","Bull"))</f>
        <v>Bear</v>
      </c>
      <c r="H60" s="8" t="n">
        <f aca="true">IF(B60="Bull",NORMINV(RAND(),Assumptions!$B$5,Assumptions!$B$6),NORMINV(RAND(),Assumptions!$B$8,Assumptions!$B$9))</f>
        <v>0.316575600701206</v>
      </c>
      <c r="I60" s="8" t="n">
        <f aca="true">IF(C60="Bull",NORMINV(RAND(),Assumptions!$B$5,Assumptions!$B$6),NORMINV(RAND(),Assumptions!$B$8,Assumptions!$B$9))</f>
        <v>0.0828618401138589</v>
      </c>
      <c r="J60" s="8" t="n">
        <f aca="true">IF(D60="Bull",NORMINV(RAND(),Assumptions!$B$5,Assumptions!$B$6),NORMINV(RAND(),Assumptions!$B$8,Assumptions!$B$9))</f>
        <v>0.246347668425682</v>
      </c>
      <c r="K60" s="8" t="n">
        <f aca="true">IF(E60="Bull",NORMINV(RAND(),Assumptions!$B$5,Assumptions!$B$6),NORMINV(RAND(),Assumptions!$B$8,Assumptions!$B$9))</f>
        <v>-0.110428918498184</v>
      </c>
      <c r="L60" s="8" t="n">
        <f aca="true">IF(F60="Bull",NORMINV(RAND(),Assumptions!$B$5,Assumptions!$B$6),NORMINV(RAND(),Assumptions!$B$8,Assumptions!$B$9))</f>
        <v>-0.0776042180768255</v>
      </c>
      <c r="M60" s="8" t="n">
        <f aca="true">IF(G60="Bull",NORMINV(RAND(),Assumptions!$B$5,Assumptions!$B$6),NORMINV(RAND(),Assumptions!$B$8,Assumptions!$B$9))</f>
        <v>-0.244226455709458</v>
      </c>
      <c r="N60" s="8" t="n">
        <f aca="true">NORMINV(RAND(),Assumptions!$B$14,Assumptions!$B$15)</f>
        <v>0.0807505098359039</v>
      </c>
      <c r="O60" s="8" t="n">
        <f aca="true">NORMINV(RAND(),Assumptions!$B$14,Assumptions!$B$15)</f>
        <v>0.0350894273816488</v>
      </c>
      <c r="P60" s="8" t="n">
        <f aca="true">NORMINV(RAND(),Assumptions!$B$14,Assumptions!$B$15)</f>
        <v>0.0217864548923923</v>
      </c>
      <c r="Q60" s="8" t="n">
        <f aca="true">NORMINV(RAND(),Assumptions!$B$14,Assumptions!$B$15)</f>
        <v>0.0263704105815786</v>
      </c>
      <c r="R60" s="8" t="n">
        <f aca="true">NORMINV(RAND(),Assumptions!$B$14,Assumptions!$B$15)</f>
        <v>0.0784781066843439</v>
      </c>
      <c r="S60" s="8" t="n">
        <f aca="true">NORMINV(RAND(),Assumptions!$B$14,Assumptions!$B$15)</f>
        <v>0.0269948326006667</v>
      </c>
      <c r="T60" s="8" t="n">
        <f aca="false">Assumptions!$B$19*H60+(1-Assumptions!$B$19)*N60</f>
        <v>0.316575600701206</v>
      </c>
      <c r="U60" s="8" t="n">
        <f aca="false">Assumptions!$B$20*I60+(1-Assumptions!$B$20)*O60</f>
        <v>0.0828618401138589</v>
      </c>
      <c r="V60" s="8" t="n">
        <f aca="false">Assumptions!$B$21*J60+(1-Assumptions!$B$21)*P60</f>
        <v>0.246347668425682</v>
      </c>
      <c r="W60" s="8" t="n">
        <f aca="false">Assumptions!$B$22*K60+(1-Assumptions!$B$22)*Q60</f>
        <v>-0.110428918498184</v>
      </c>
      <c r="X60" s="8" t="n">
        <f aca="false">Assumptions!$B$23*L60+(1-Assumptions!$B$23)*R60</f>
        <v>-0.0463877531245917</v>
      </c>
      <c r="Y60" s="8" t="n">
        <f aca="false">Assumptions!$B$24*M60+(1-Assumptions!$B$24)*S60</f>
        <v>-0.135737940385408</v>
      </c>
      <c r="Z60" s="6" t="n">
        <f aca="false">Assumptions!$B$27*(1+T60)</f>
        <v>394972.680210362</v>
      </c>
      <c r="AA60" s="6" t="n">
        <f aca="false">(Z60+Assumptions!$B$28)*(1+U60)</f>
        <v>590130.119304374</v>
      </c>
      <c r="AB60" s="6" t="n">
        <f aca="false">AA60*(1+V60)</f>
        <v>735507.298262777</v>
      </c>
      <c r="AC60" s="6" t="n">
        <f aca="false">AB60*(1+W60)</f>
        <v>654286.022768097</v>
      </c>
      <c r="AD60" s="6" t="n">
        <f aca="false">AC60*(1+X60)</f>
        <v>623935.164271059</v>
      </c>
      <c r="AE60" s="6" t="n">
        <f aca="false">AD60*(1+Y60)</f>
        <v>539243.490138874</v>
      </c>
      <c r="AF60" s="6" t="n">
        <f aca="false">Z60</f>
        <v>394972.680210362</v>
      </c>
      <c r="AG60" s="6" t="n">
        <f aca="false">MAX(AF60,AA60)</f>
        <v>590130.119304374</v>
      </c>
      <c r="AH60" s="6" t="n">
        <f aca="false">MAX(AG60,AB60)</f>
        <v>735507.298262777</v>
      </c>
      <c r="AI60" s="6" t="n">
        <f aca="false">MAX(AH60,AC60)</f>
        <v>735507.298262777</v>
      </c>
      <c r="AJ60" s="6" t="n">
        <f aca="false">MAX(AI60,AD60)</f>
        <v>735507.298262777</v>
      </c>
      <c r="AK60" s="6" t="n">
        <f aca="false">MAX(AJ60,AE60)</f>
        <v>735507.298262777</v>
      </c>
      <c r="AL60" s="8" t="n">
        <f aca="false">MIN(Z60/AF60-1,AA60/AG60-1,AB60/AH60-1,AC60/AI60-1,AD60/AJ60-1,AE60/AK60-1)</f>
        <v>-0.266841414881219</v>
      </c>
      <c r="AM60" s="6" t="n">
        <f aca="false">AE60-Assumptions!$B$35</f>
        <v>97979.4934763709</v>
      </c>
    </row>
    <row r="61" customFormat="false" ht="15" hidden="false" customHeight="false" outlineLevel="0" collapsed="false">
      <c r="A61" s="0" t="n">
        <f aca="false">ROW()-1</f>
        <v>60</v>
      </c>
      <c r="B61" s="0" t="str">
        <f aca="true">IF(RAND()&lt;Assumptions!$B$11,"Bull","Bear")</f>
        <v>Bull</v>
      </c>
      <c r="C61" s="0" t="str">
        <f aca="true">IF(B61="Bull",IF(RAND()&lt;Assumptions!$B$7,"Bull","Bear"),IF(RAND()&lt;Assumptions!$B$10,"Bear","Bull"))</f>
        <v>Bull</v>
      </c>
      <c r="D61" s="0" t="str">
        <f aca="true">IF(C61="Bull",IF(RAND()&lt;Assumptions!$B$7,"Bull","Bear"),IF(RAND()&lt;Assumptions!$B$10,"Bear","Bull"))</f>
        <v>Bear</v>
      </c>
      <c r="E61" s="0" t="str">
        <f aca="true">IF(D61="Bull",IF(RAND()&lt;Assumptions!$B$7,"Bull","Bear"),IF(RAND()&lt;Assumptions!$B$10,"Bear","Bull"))</f>
        <v>Bull</v>
      </c>
      <c r="F61" s="0" t="str">
        <f aca="true">IF(E61="Bull",IF(RAND()&lt;Assumptions!$B$7,"Bull","Bear"),IF(RAND()&lt;Assumptions!$B$10,"Bear","Bull"))</f>
        <v>Bear</v>
      </c>
      <c r="G61" s="0" t="str">
        <f aca="true">IF(F61="Bull",IF(RAND()&lt;Assumptions!$B$7,"Bull","Bear"),IF(RAND()&lt;Assumptions!$B$10,"Bear","Bull"))</f>
        <v>Bull</v>
      </c>
      <c r="H61" s="8" t="n">
        <f aca="true">IF(B61="Bull",NORMINV(RAND(),Assumptions!$B$5,Assumptions!$B$6),NORMINV(RAND(),Assumptions!$B$8,Assumptions!$B$9))</f>
        <v>0.105818127866455</v>
      </c>
      <c r="I61" s="8" t="n">
        <f aca="true">IF(C61="Bull",NORMINV(RAND(),Assumptions!$B$5,Assumptions!$B$6),NORMINV(RAND(),Assumptions!$B$8,Assumptions!$B$9))</f>
        <v>0.0431601642173678</v>
      </c>
      <c r="J61" s="8" t="n">
        <f aca="true">IF(D61="Bull",NORMINV(RAND(),Assumptions!$B$5,Assumptions!$B$6),NORMINV(RAND(),Assumptions!$B$8,Assumptions!$B$9))</f>
        <v>0.0243048352817806</v>
      </c>
      <c r="K61" s="8" t="n">
        <f aca="true">IF(E61="Bull",NORMINV(RAND(),Assumptions!$B$5,Assumptions!$B$6),NORMINV(RAND(),Assumptions!$B$8,Assumptions!$B$9))</f>
        <v>0.0909244758895735</v>
      </c>
      <c r="L61" s="8" t="n">
        <f aca="true">IF(F61="Bull",NORMINV(RAND(),Assumptions!$B$5,Assumptions!$B$6),NORMINV(RAND(),Assumptions!$B$8,Assumptions!$B$9))</f>
        <v>-0.119970656568133</v>
      </c>
      <c r="M61" s="8" t="n">
        <f aca="true">IF(G61="Bull",NORMINV(RAND(),Assumptions!$B$5,Assumptions!$B$6),NORMINV(RAND(),Assumptions!$B$8,Assumptions!$B$9))</f>
        <v>0.185718845778154</v>
      </c>
      <c r="N61" s="8" t="n">
        <f aca="true">NORMINV(RAND(),Assumptions!$B$14,Assumptions!$B$15)</f>
        <v>0.0140704584711488</v>
      </c>
      <c r="O61" s="8" t="n">
        <f aca="true">NORMINV(RAND(),Assumptions!$B$14,Assumptions!$B$15)</f>
        <v>0.0146632924872187</v>
      </c>
      <c r="P61" s="8" t="n">
        <f aca="true">NORMINV(RAND(),Assumptions!$B$14,Assumptions!$B$15)</f>
        <v>-0.0224027376969346</v>
      </c>
      <c r="Q61" s="8" t="n">
        <f aca="true">NORMINV(RAND(),Assumptions!$B$14,Assumptions!$B$15)</f>
        <v>0.078604707306826</v>
      </c>
      <c r="R61" s="8" t="n">
        <f aca="true">NORMINV(RAND(),Assumptions!$B$14,Assumptions!$B$15)</f>
        <v>0.0401922800240415</v>
      </c>
      <c r="S61" s="8" t="n">
        <f aca="true">NORMINV(RAND(),Assumptions!$B$14,Assumptions!$B$15)</f>
        <v>0.0345779662979602</v>
      </c>
      <c r="T61" s="8" t="n">
        <f aca="false">Assumptions!$B$19*H61+(1-Assumptions!$B$19)*N61</f>
        <v>0.105818127866455</v>
      </c>
      <c r="U61" s="8" t="n">
        <f aca="false">Assumptions!$B$20*I61+(1-Assumptions!$B$20)*O61</f>
        <v>0.0431601642173678</v>
      </c>
      <c r="V61" s="8" t="n">
        <f aca="false">Assumptions!$B$21*J61+(1-Assumptions!$B$21)*P61</f>
        <v>0.0243048352817806</v>
      </c>
      <c r="W61" s="8" t="n">
        <f aca="false">Assumptions!$B$22*K61+(1-Assumptions!$B$22)*Q61</f>
        <v>0.0909244758895735</v>
      </c>
      <c r="X61" s="8" t="n">
        <f aca="false">Assumptions!$B$23*L61+(1-Assumptions!$B$23)*R61</f>
        <v>-0.087938069249698</v>
      </c>
      <c r="Y61" s="8" t="n">
        <f aca="false">Assumptions!$B$24*M61+(1-Assumptions!$B$24)*S61</f>
        <v>0.125262493986077</v>
      </c>
      <c r="Z61" s="6" t="n">
        <f aca="false">Assumptions!$B$27*(1+T61)</f>
        <v>331745.438359936</v>
      </c>
      <c r="AA61" s="6" t="n">
        <f aca="false">(Z61+Assumptions!$B$28)*(1+U61)</f>
        <v>502537.650590519</v>
      </c>
      <c r="AB61" s="6" t="n">
        <f aca="false">AA61*(1+V61)</f>
        <v>514751.745411015</v>
      </c>
      <c r="AC61" s="6" t="n">
        <f aca="false">AB61*(1+W61)</f>
        <v>561555.278075754</v>
      </c>
      <c r="AD61" s="6" t="n">
        <f aca="false">AC61*(1+X61)</f>
        <v>512173.191144795</v>
      </c>
      <c r="AE61" s="6" t="n">
        <f aca="false">AD61*(1+Y61)</f>
        <v>576329.2824204</v>
      </c>
      <c r="AF61" s="6" t="n">
        <f aca="false">Z61</f>
        <v>331745.438359936</v>
      </c>
      <c r="AG61" s="6" t="n">
        <f aca="false">MAX(AF61,AA61)</f>
        <v>502537.650590519</v>
      </c>
      <c r="AH61" s="6" t="n">
        <f aca="false">MAX(AG61,AB61)</f>
        <v>514751.745411015</v>
      </c>
      <c r="AI61" s="6" t="n">
        <f aca="false">MAX(AH61,AC61)</f>
        <v>561555.278075754</v>
      </c>
      <c r="AJ61" s="6" t="n">
        <f aca="false">MAX(AI61,AD61)</f>
        <v>561555.278075754</v>
      </c>
      <c r="AK61" s="6" t="n">
        <f aca="false">MAX(AJ61,AE61)</f>
        <v>576329.2824204</v>
      </c>
      <c r="AL61" s="8" t="n">
        <f aca="false">MIN(Z61/AF61-1,AA61/AG61-1,AB61/AH61-1,AC61/AI61-1,AD61/AJ61-1,AE61/AK61-1)</f>
        <v>-0.0879380692496979</v>
      </c>
      <c r="AM61" s="6" t="n">
        <f aca="false">AE61-Assumptions!$B$35</f>
        <v>135065.285757896</v>
      </c>
    </row>
    <row r="62" customFormat="false" ht="15" hidden="false" customHeight="false" outlineLevel="0" collapsed="false">
      <c r="A62" s="0" t="n">
        <f aca="false">ROW()-1</f>
        <v>61</v>
      </c>
      <c r="B62" s="0" t="str">
        <f aca="true">IF(RAND()&lt;Assumptions!$B$11,"Bull","Bear")</f>
        <v>Bull</v>
      </c>
      <c r="C62" s="0" t="str">
        <f aca="true">IF(B62="Bull",IF(RAND()&lt;Assumptions!$B$7,"Bull","Bear"),IF(RAND()&lt;Assumptions!$B$10,"Bear","Bull"))</f>
        <v>Bull</v>
      </c>
      <c r="D62" s="0" t="str">
        <f aca="true">IF(C62="Bull",IF(RAND()&lt;Assumptions!$B$7,"Bull","Bear"),IF(RAND()&lt;Assumptions!$B$10,"Bear","Bull"))</f>
        <v>Bull</v>
      </c>
      <c r="E62" s="0" t="str">
        <f aca="true">IF(D62="Bull",IF(RAND()&lt;Assumptions!$B$7,"Bull","Bear"),IF(RAND()&lt;Assumptions!$B$10,"Bear","Bull"))</f>
        <v>Bull</v>
      </c>
      <c r="F62" s="0" t="str">
        <f aca="true">IF(E62="Bull",IF(RAND()&lt;Assumptions!$B$7,"Bull","Bear"),IF(RAND()&lt;Assumptions!$B$10,"Bear","Bull"))</f>
        <v>Bull</v>
      </c>
      <c r="G62" s="0" t="str">
        <f aca="true">IF(F62="Bull",IF(RAND()&lt;Assumptions!$B$7,"Bull","Bear"),IF(RAND()&lt;Assumptions!$B$10,"Bear","Bull"))</f>
        <v>Bull</v>
      </c>
      <c r="H62" s="8" t="n">
        <f aca="true">IF(B62="Bull",NORMINV(RAND(),Assumptions!$B$5,Assumptions!$B$6),NORMINV(RAND(),Assumptions!$B$8,Assumptions!$B$9))</f>
        <v>0.151613834652923</v>
      </c>
      <c r="I62" s="8" t="n">
        <f aca="true">IF(C62="Bull",NORMINV(RAND(),Assumptions!$B$5,Assumptions!$B$6),NORMINV(RAND(),Assumptions!$B$8,Assumptions!$B$9))</f>
        <v>0.100222499091593</v>
      </c>
      <c r="J62" s="8" t="n">
        <f aca="true">IF(D62="Bull",NORMINV(RAND(),Assumptions!$B$5,Assumptions!$B$6),NORMINV(RAND(),Assumptions!$B$8,Assumptions!$B$9))</f>
        <v>-0.0559600841354394</v>
      </c>
      <c r="K62" s="8" t="n">
        <f aca="true">IF(E62="Bull",NORMINV(RAND(),Assumptions!$B$5,Assumptions!$B$6),NORMINV(RAND(),Assumptions!$B$8,Assumptions!$B$9))</f>
        <v>0.15685153204919</v>
      </c>
      <c r="L62" s="8" t="n">
        <f aca="true">IF(F62="Bull",NORMINV(RAND(),Assumptions!$B$5,Assumptions!$B$6),NORMINV(RAND(),Assumptions!$B$8,Assumptions!$B$9))</f>
        <v>0.200385544202213</v>
      </c>
      <c r="M62" s="8" t="n">
        <f aca="true">IF(G62="Bull",NORMINV(RAND(),Assumptions!$B$5,Assumptions!$B$6),NORMINV(RAND(),Assumptions!$B$8,Assumptions!$B$9))</f>
        <v>0.144946709054066</v>
      </c>
      <c r="N62" s="8" t="n">
        <f aca="true">NORMINV(RAND(),Assumptions!$B$14,Assumptions!$B$15)</f>
        <v>0.044146337816268</v>
      </c>
      <c r="O62" s="8" t="n">
        <f aca="true">NORMINV(RAND(),Assumptions!$B$14,Assumptions!$B$15)</f>
        <v>0.0581162037217488</v>
      </c>
      <c r="P62" s="8" t="n">
        <f aca="true">NORMINV(RAND(),Assumptions!$B$14,Assumptions!$B$15)</f>
        <v>0.0405516501477013</v>
      </c>
      <c r="Q62" s="8" t="n">
        <f aca="true">NORMINV(RAND(),Assumptions!$B$14,Assumptions!$B$15)</f>
        <v>0.0452025387423682</v>
      </c>
      <c r="R62" s="8" t="n">
        <f aca="true">NORMINV(RAND(),Assumptions!$B$14,Assumptions!$B$15)</f>
        <v>0.0460084689478816</v>
      </c>
      <c r="S62" s="8" t="n">
        <f aca="true">NORMINV(RAND(),Assumptions!$B$14,Assumptions!$B$15)</f>
        <v>0.0564725545971879</v>
      </c>
      <c r="T62" s="8" t="n">
        <f aca="false">Assumptions!$B$19*H62+(1-Assumptions!$B$19)*N62</f>
        <v>0.151613834652923</v>
      </c>
      <c r="U62" s="8" t="n">
        <f aca="false">Assumptions!$B$20*I62+(1-Assumptions!$B$20)*O62</f>
        <v>0.100222499091593</v>
      </c>
      <c r="V62" s="8" t="n">
        <f aca="false">Assumptions!$B$21*J62+(1-Assumptions!$B$21)*P62</f>
        <v>-0.0559600841354394</v>
      </c>
      <c r="W62" s="8" t="n">
        <f aca="false">Assumptions!$B$22*K62+(1-Assumptions!$B$22)*Q62</f>
        <v>0.15685153204919</v>
      </c>
      <c r="X62" s="8" t="n">
        <f aca="false">Assumptions!$B$23*L62+(1-Assumptions!$B$23)*R62</f>
        <v>0.169510129151347</v>
      </c>
      <c r="Y62" s="8" t="n">
        <f aca="false">Assumptions!$B$24*M62+(1-Assumptions!$B$24)*S62</f>
        <v>0.109557047271314</v>
      </c>
      <c r="Z62" s="6" t="n">
        <f aca="false">Assumptions!$B$27*(1+T62)</f>
        <v>345484.150395877</v>
      </c>
      <c r="AA62" s="6" t="n">
        <f aca="false">(Z62+Assumptions!$B$28)*(1+U62)</f>
        <v>545142.810208827</v>
      </c>
      <c r="AB62" s="6" t="n">
        <f aca="false">AA62*(1+V62)</f>
        <v>514636.572683711</v>
      </c>
      <c r="AC62" s="6" t="n">
        <f aca="false">AB62*(1+W62)</f>
        <v>595358.107557695</v>
      </c>
      <c r="AD62" s="6" t="n">
        <f aca="false">AC62*(1+X62)</f>
        <v>696277.337261102</v>
      </c>
      <c r="AE62" s="6" t="n">
        <f aca="false">AD62*(1+Y62)</f>
        <v>772559.426413361</v>
      </c>
      <c r="AF62" s="6" t="n">
        <f aca="false">Z62</f>
        <v>345484.150395877</v>
      </c>
      <c r="AG62" s="6" t="n">
        <f aca="false">MAX(AF62,AA62)</f>
        <v>545142.810208827</v>
      </c>
      <c r="AH62" s="6" t="n">
        <f aca="false">MAX(AG62,AB62)</f>
        <v>545142.810208827</v>
      </c>
      <c r="AI62" s="6" t="n">
        <f aca="false">MAX(AH62,AC62)</f>
        <v>595358.107557695</v>
      </c>
      <c r="AJ62" s="6" t="n">
        <f aca="false">MAX(AI62,AD62)</f>
        <v>696277.337261102</v>
      </c>
      <c r="AK62" s="6" t="n">
        <f aca="false">MAX(AJ62,AE62)</f>
        <v>772559.426413361</v>
      </c>
      <c r="AL62" s="8" t="n">
        <f aca="false">MIN(Z62/AF62-1,AA62/AG62-1,AB62/AH62-1,AC62/AI62-1,AD62/AJ62-1,AE62/AK62-1)</f>
        <v>-0.0559600841354393</v>
      </c>
      <c r="AM62" s="6" t="n">
        <f aca="false">AE62-Assumptions!$B$35</f>
        <v>331295.429750858</v>
      </c>
    </row>
    <row r="63" customFormat="false" ht="15" hidden="false" customHeight="false" outlineLevel="0" collapsed="false">
      <c r="A63" s="0" t="n">
        <f aca="false">ROW()-1</f>
        <v>62</v>
      </c>
      <c r="B63" s="0" t="str">
        <f aca="true">IF(RAND()&lt;Assumptions!$B$11,"Bull","Bear")</f>
        <v>Bull</v>
      </c>
      <c r="C63" s="0" t="str">
        <f aca="true">IF(B63="Bull",IF(RAND()&lt;Assumptions!$B$7,"Bull","Bear"),IF(RAND()&lt;Assumptions!$B$10,"Bear","Bull"))</f>
        <v>Bull</v>
      </c>
      <c r="D63" s="0" t="str">
        <f aca="true">IF(C63="Bull",IF(RAND()&lt;Assumptions!$B$7,"Bull","Bear"),IF(RAND()&lt;Assumptions!$B$10,"Bear","Bull"))</f>
        <v>Bull</v>
      </c>
      <c r="E63" s="0" t="str">
        <f aca="true">IF(D63="Bull",IF(RAND()&lt;Assumptions!$B$7,"Bull","Bear"),IF(RAND()&lt;Assumptions!$B$10,"Bear","Bull"))</f>
        <v>Bull</v>
      </c>
      <c r="F63" s="0" t="str">
        <f aca="true">IF(E63="Bull",IF(RAND()&lt;Assumptions!$B$7,"Bull","Bear"),IF(RAND()&lt;Assumptions!$B$10,"Bear","Bull"))</f>
        <v>Bull</v>
      </c>
      <c r="G63" s="0" t="str">
        <f aca="true">IF(F63="Bull",IF(RAND()&lt;Assumptions!$B$7,"Bull","Bear"),IF(RAND()&lt;Assumptions!$B$10,"Bear","Bull"))</f>
        <v>Bear</v>
      </c>
      <c r="H63" s="8" t="n">
        <f aca="true">IF(B63="Bull",NORMINV(RAND(),Assumptions!$B$5,Assumptions!$B$6),NORMINV(RAND(),Assumptions!$B$8,Assumptions!$B$9))</f>
        <v>0.0213652771793541</v>
      </c>
      <c r="I63" s="8" t="n">
        <f aca="true">IF(C63="Bull",NORMINV(RAND(),Assumptions!$B$5,Assumptions!$B$6),NORMINV(RAND(),Assumptions!$B$8,Assumptions!$B$9))</f>
        <v>0.173296887432349</v>
      </c>
      <c r="J63" s="8" t="n">
        <f aca="true">IF(D63="Bull",NORMINV(RAND(),Assumptions!$B$5,Assumptions!$B$6),NORMINV(RAND(),Assumptions!$B$8,Assumptions!$B$9))</f>
        <v>0.0608462358696658</v>
      </c>
      <c r="K63" s="8" t="n">
        <f aca="true">IF(E63="Bull",NORMINV(RAND(),Assumptions!$B$5,Assumptions!$B$6),NORMINV(RAND(),Assumptions!$B$8,Assumptions!$B$9))</f>
        <v>0.176329495871829</v>
      </c>
      <c r="L63" s="8" t="n">
        <f aca="true">IF(F63="Bull",NORMINV(RAND(),Assumptions!$B$5,Assumptions!$B$6),NORMINV(RAND(),Assumptions!$B$8,Assumptions!$B$9))</f>
        <v>0.252235741940828</v>
      </c>
      <c r="M63" s="8" t="n">
        <f aca="true">IF(G63="Bull",NORMINV(RAND(),Assumptions!$B$5,Assumptions!$B$6),NORMINV(RAND(),Assumptions!$B$8,Assumptions!$B$9))</f>
        <v>-0.129443410960597</v>
      </c>
      <c r="N63" s="8" t="n">
        <f aca="true">NORMINV(RAND(),Assumptions!$B$14,Assumptions!$B$15)</f>
        <v>0.0864099324225198</v>
      </c>
      <c r="O63" s="8" t="n">
        <f aca="true">NORMINV(RAND(),Assumptions!$B$14,Assumptions!$B$15)</f>
        <v>-0.00473255735499985</v>
      </c>
      <c r="P63" s="8" t="n">
        <f aca="true">NORMINV(RAND(),Assumptions!$B$14,Assumptions!$B$15)</f>
        <v>-0.00812613273191633</v>
      </c>
      <c r="Q63" s="8" t="n">
        <f aca="true">NORMINV(RAND(),Assumptions!$B$14,Assumptions!$B$15)</f>
        <v>0.0679249580051492</v>
      </c>
      <c r="R63" s="8" t="n">
        <f aca="true">NORMINV(RAND(),Assumptions!$B$14,Assumptions!$B$15)</f>
        <v>0.0591244164131563</v>
      </c>
      <c r="S63" s="8" t="n">
        <f aca="true">NORMINV(RAND(),Assumptions!$B$14,Assumptions!$B$15)</f>
        <v>0.0542020483920432</v>
      </c>
      <c r="T63" s="8" t="n">
        <f aca="false">Assumptions!$B$19*H63+(1-Assumptions!$B$19)*N63</f>
        <v>0.0213652771793541</v>
      </c>
      <c r="U63" s="8" t="n">
        <f aca="false">Assumptions!$B$20*I63+(1-Assumptions!$B$20)*O63</f>
        <v>0.173296887432349</v>
      </c>
      <c r="V63" s="8" t="n">
        <f aca="false">Assumptions!$B$21*J63+(1-Assumptions!$B$21)*P63</f>
        <v>0.0608462358696658</v>
      </c>
      <c r="W63" s="8" t="n">
        <f aca="false">Assumptions!$B$22*K63+(1-Assumptions!$B$22)*Q63</f>
        <v>0.176329495871829</v>
      </c>
      <c r="X63" s="8" t="n">
        <f aca="false">Assumptions!$B$23*L63+(1-Assumptions!$B$23)*R63</f>
        <v>0.213613476835293</v>
      </c>
      <c r="Y63" s="8" t="n">
        <f aca="false">Assumptions!$B$24*M63+(1-Assumptions!$B$24)*S63</f>
        <v>-0.0559852272195412</v>
      </c>
      <c r="Z63" s="6" t="n">
        <f aca="false">Assumptions!$B$27*(1+T63)</f>
        <v>306409.583153806</v>
      </c>
      <c r="AA63" s="6" t="n">
        <f aca="false">(Z63+Assumptions!$B$28)*(1+U63)</f>
        <v>535503.943308657</v>
      </c>
      <c r="AB63" s="6" t="n">
        <f aca="false">AA63*(1+V63)</f>
        <v>568087.342552351</v>
      </c>
      <c r="AC63" s="6" t="n">
        <f aca="false">AB63*(1+W63)</f>
        <v>668257.897275775</v>
      </c>
      <c r="AD63" s="6" t="n">
        <f aca="false">AC63*(1+X63)</f>
        <v>811006.790135495</v>
      </c>
      <c r="AE63" s="6" t="n">
        <f aca="false">AD63*(1+Y63)</f>
        <v>765602.390713169</v>
      </c>
      <c r="AF63" s="6" t="n">
        <f aca="false">Z63</f>
        <v>306409.583153806</v>
      </c>
      <c r="AG63" s="6" t="n">
        <f aca="false">MAX(AF63,AA63)</f>
        <v>535503.943308657</v>
      </c>
      <c r="AH63" s="6" t="n">
        <f aca="false">MAX(AG63,AB63)</f>
        <v>568087.342552351</v>
      </c>
      <c r="AI63" s="6" t="n">
        <f aca="false">MAX(AH63,AC63)</f>
        <v>668257.897275775</v>
      </c>
      <c r="AJ63" s="6" t="n">
        <f aca="false">MAX(AI63,AD63)</f>
        <v>811006.790135495</v>
      </c>
      <c r="AK63" s="6" t="n">
        <f aca="false">MAX(AJ63,AE63)</f>
        <v>811006.790135495</v>
      </c>
      <c r="AL63" s="8" t="n">
        <f aca="false">MIN(Z63/AF63-1,AA63/AG63-1,AB63/AH63-1,AC63/AI63-1,AD63/AJ63-1,AE63/AK63-1)</f>
        <v>-0.0559852272195412</v>
      </c>
      <c r="AM63" s="6" t="n">
        <f aca="false">AE63-Assumptions!$B$35</f>
        <v>324338.394050665</v>
      </c>
    </row>
    <row r="64" customFormat="false" ht="15" hidden="false" customHeight="false" outlineLevel="0" collapsed="false">
      <c r="A64" s="0" t="n">
        <f aca="false">ROW()-1</f>
        <v>63</v>
      </c>
      <c r="B64" s="0" t="str">
        <f aca="true">IF(RAND()&lt;Assumptions!$B$11,"Bull","Bear")</f>
        <v>Bear</v>
      </c>
      <c r="C64" s="0" t="str">
        <f aca="true">IF(B64="Bull",IF(RAND()&lt;Assumptions!$B$7,"Bull","Bear"),IF(RAND()&lt;Assumptions!$B$10,"Bear","Bull"))</f>
        <v>Bear</v>
      </c>
      <c r="D64" s="0" t="str">
        <f aca="true">IF(C64="Bull",IF(RAND()&lt;Assumptions!$B$7,"Bull","Bear"),IF(RAND()&lt;Assumptions!$B$10,"Bear","Bull"))</f>
        <v>Bear</v>
      </c>
      <c r="E64" s="0" t="str">
        <f aca="true">IF(D64="Bull",IF(RAND()&lt;Assumptions!$B$7,"Bull","Bear"),IF(RAND()&lt;Assumptions!$B$10,"Bear","Bull"))</f>
        <v>Bear</v>
      </c>
      <c r="F64" s="0" t="str">
        <f aca="true">IF(E64="Bull",IF(RAND()&lt;Assumptions!$B$7,"Bull","Bear"),IF(RAND()&lt;Assumptions!$B$10,"Bear","Bull"))</f>
        <v>Bull</v>
      </c>
      <c r="G64" s="0" t="str">
        <f aca="true">IF(F64="Bull",IF(RAND()&lt;Assumptions!$B$7,"Bull","Bear"),IF(RAND()&lt;Assumptions!$B$10,"Bear","Bull"))</f>
        <v>Bull</v>
      </c>
      <c r="H64" s="8" t="n">
        <f aca="true">IF(B64="Bull",NORMINV(RAND(),Assumptions!$B$5,Assumptions!$B$6),NORMINV(RAND(),Assumptions!$B$8,Assumptions!$B$9))</f>
        <v>-0.343310921650465</v>
      </c>
      <c r="I64" s="8" t="n">
        <f aca="true">IF(C64="Bull",NORMINV(RAND(),Assumptions!$B$5,Assumptions!$B$6),NORMINV(RAND(),Assumptions!$B$8,Assumptions!$B$9))</f>
        <v>-0.305296423071902</v>
      </c>
      <c r="J64" s="8" t="n">
        <f aca="true">IF(D64="Bull",NORMINV(RAND(),Assumptions!$B$5,Assumptions!$B$6),NORMINV(RAND(),Assumptions!$B$8,Assumptions!$B$9))</f>
        <v>-0.1768253653143</v>
      </c>
      <c r="K64" s="8" t="n">
        <f aca="true">IF(E64="Bull",NORMINV(RAND(),Assumptions!$B$5,Assumptions!$B$6),NORMINV(RAND(),Assumptions!$B$8,Assumptions!$B$9))</f>
        <v>-0.035271519980405</v>
      </c>
      <c r="L64" s="8" t="n">
        <f aca="true">IF(F64="Bull",NORMINV(RAND(),Assumptions!$B$5,Assumptions!$B$6),NORMINV(RAND(),Assumptions!$B$8,Assumptions!$B$9))</f>
        <v>0.237576508935955</v>
      </c>
      <c r="M64" s="8" t="n">
        <f aca="true">IF(G64="Bull",NORMINV(RAND(),Assumptions!$B$5,Assumptions!$B$6),NORMINV(RAND(),Assumptions!$B$8,Assumptions!$B$9))</f>
        <v>0.121694223028047</v>
      </c>
      <c r="N64" s="8" t="n">
        <f aca="true">NORMINV(RAND(),Assumptions!$B$14,Assumptions!$B$15)</f>
        <v>0.0389587480330975</v>
      </c>
      <c r="O64" s="8" t="n">
        <f aca="true">NORMINV(RAND(),Assumptions!$B$14,Assumptions!$B$15)</f>
        <v>0.0315798278850719</v>
      </c>
      <c r="P64" s="8" t="n">
        <f aca="true">NORMINV(RAND(),Assumptions!$B$14,Assumptions!$B$15)</f>
        <v>0.104643673639101</v>
      </c>
      <c r="Q64" s="8" t="n">
        <f aca="true">NORMINV(RAND(),Assumptions!$B$14,Assumptions!$B$15)</f>
        <v>0.0280033949056385</v>
      </c>
      <c r="R64" s="8" t="n">
        <f aca="true">NORMINV(RAND(),Assumptions!$B$14,Assumptions!$B$15)</f>
        <v>0.00699094782088463</v>
      </c>
      <c r="S64" s="8" t="n">
        <f aca="true">NORMINV(RAND(),Assumptions!$B$14,Assumptions!$B$15)</f>
        <v>0.0716702928903326</v>
      </c>
      <c r="T64" s="8" t="n">
        <f aca="false">Assumptions!$B$19*H64+(1-Assumptions!$B$19)*N64</f>
        <v>-0.343310921650465</v>
      </c>
      <c r="U64" s="8" t="n">
        <f aca="false">Assumptions!$B$20*I64+(1-Assumptions!$B$20)*O64</f>
        <v>-0.305296423071902</v>
      </c>
      <c r="V64" s="8" t="n">
        <f aca="false">Assumptions!$B$21*J64+(1-Assumptions!$B$21)*P64</f>
        <v>-0.1768253653143</v>
      </c>
      <c r="W64" s="8" t="n">
        <f aca="false">Assumptions!$B$22*K64+(1-Assumptions!$B$22)*Q64</f>
        <v>-0.035271519980405</v>
      </c>
      <c r="X64" s="8" t="n">
        <f aca="false">Assumptions!$B$23*L64+(1-Assumptions!$B$23)*R64</f>
        <v>0.191459396712941</v>
      </c>
      <c r="Y64" s="8" t="n">
        <f aca="false">Assumptions!$B$24*M64+(1-Assumptions!$B$24)*S64</f>
        <v>0.101684650972961</v>
      </c>
      <c r="Z64" s="6" t="n">
        <f aca="false">Assumptions!$B$27*(1+T64)</f>
        <v>197006.72350486</v>
      </c>
      <c r="AA64" s="6" t="n">
        <f aca="false">(Z64+Assumptions!$B$28)*(1+U64)</f>
        <v>241066.812036926</v>
      </c>
      <c r="AB64" s="6" t="n">
        <f aca="false">AA64*(1+V64)</f>
        <v>198440.084933343</v>
      </c>
      <c r="AC64" s="6" t="n">
        <f aca="false">AB64*(1+W64)</f>
        <v>191440.801512703</v>
      </c>
      <c r="AD64" s="6" t="n">
        <f aca="false">AC64*(1+X64)</f>
        <v>228093.941876567</v>
      </c>
      <c r="AE64" s="6" t="n">
        <f aca="false">AD64*(1+Y64)</f>
        <v>251287.594745333</v>
      </c>
      <c r="AF64" s="6" t="n">
        <f aca="false">Z64</f>
        <v>197006.72350486</v>
      </c>
      <c r="AG64" s="6" t="n">
        <f aca="false">MAX(AF64,AA64)</f>
        <v>241066.812036926</v>
      </c>
      <c r="AH64" s="6" t="n">
        <f aca="false">MAX(AG64,AB64)</f>
        <v>241066.812036926</v>
      </c>
      <c r="AI64" s="6" t="n">
        <f aca="false">MAX(AH64,AC64)</f>
        <v>241066.812036926</v>
      </c>
      <c r="AJ64" s="6" t="n">
        <f aca="false">MAX(AI64,AD64)</f>
        <v>241066.812036926</v>
      </c>
      <c r="AK64" s="6" t="n">
        <f aca="false">MAX(AJ64,AE64)</f>
        <v>251287.594745333</v>
      </c>
      <c r="AL64" s="8" t="n">
        <f aca="false">MIN(Z64/AF64-1,AA64/AG64-1,AB64/AH64-1,AC64/AI64-1,AD64/AJ64-1,AE64/AK64-1)</f>
        <v>-0.205859985888979</v>
      </c>
      <c r="AM64" s="6" t="n">
        <f aca="false">AE64-Assumptions!$B$35</f>
        <v>-189976.40191717</v>
      </c>
    </row>
    <row r="65" customFormat="false" ht="15" hidden="false" customHeight="false" outlineLevel="0" collapsed="false">
      <c r="A65" s="0" t="n">
        <f aca="false">ROW()-1</f>
        <v>64</v>
      </c>
      <c r="B65" s="0" t="str">
        <f aca="true">IF(RAND()&lt;Assumptions!$B$11,"Bull","Bear")</f>
        <v>Bull</v>
      </c>
      <c r="C65" s="0" t="str">
        <f aca="true">IF(B65="Bull",IF(RAND()&lt;Assumptions!$B$7,"Bull","Bear"),IF(RAND()&lt;Assumptions!$B$10,"Bear","Bull"))</f>
        <v>Bull</v>
      </c>
      <c r="D65" s="0" t="str">
        <f aca="true">IF(C65="Bull",IF(RAND()&lt;Assumptions!$B$7,"Bull","Bear"),IF(RAND()&lt;Assumptions!$B$10,"Bear","Bull"))</f>
        <v>Bull</v>
      </c>
      <c r="E65" s="0" t="str">
        <f aca="true">IF(D65="Bull",IF(RAND()&lt;Assumptions!$B$7,"Bull","Bear"),IF(RAND()&lt;Assumptions!$B$10,"Bear","Bull"))</f>
        <v>Bull</v>
      </c>
      <c r="F65" s="0" t="str">
        <f aca="true">IF(E65="Bull",IF(RAND()&lt;Assumptions!$B$7,"Bull","Bear"),IF(RAND()&lt;Assumptions!$B$10,"Bear","Bull"))</f>
        <v>Bull</v>
      </c>
      <c r="G65" s="0" t="str">
        <f aca="true">IF(F65="Bull",IF(RAND()&lt;Assumptions!$B$7,"Bull","Bear"),IF(RAND()&lt;Assumptions!$B$10,"Bear","Bull"))</f>
        <v>Bull</v>
      </c>
      <c r="H65" s="8" t="n">
        <f aca="true">IF(B65="Bull",NORMINV(RAND(),Assumptions!$B$5,Assumptions!$B$6),NORMINV(RAND(),Assumptions!$B$8,Assumptions!$B$9))</f>
        <v>0.115620095487579</v>
      </c>
      <c r="I65" s="8" t="n">
        <f aca="true">IF(C65="Bull",NORMINV(RAND(),Assumptions!$B$5,Assumptions!$B$6),NORMINV(RAND(),Assumptions!$B$8,Assumptions!$B$9))</f>
        <v>0.141279531993704</v>
      </c>
      <c r="J65" s="8" t="n">
        <f aca="true">IF(D65="Bull",NORMINV(RAND(),Assumptions!$B$5,Assumptions!$B$6),NORMINV(RAND(),Assumptions!$B$8,Assumptions!$B$9))</f>
        <v>0.282470836466638</v>
      </c>
      <c r="K65" s="8" t="n">
        <f aca="true">IF(E65="Bull",NORMINV(RAND(),Assumptions!$B$5,Assumptions!$B$6),NORMINV(RAND(),Assumptions!$B$8,Assumptions!$B$9))</f>
        <v>0.10873929082755</v>
      </c>
      <c r="L65" s="8" t="n">
        <f aca="true">IF(F65="Bull",NORMINV(RAND(),Assumptions!$B$5,Assumptions!$B$6),NORMINV(RAND(),Assumptions!$B$8,Assumptions!$B$9))</f>
        <v>0.0181506989180866</v>
      </c>
      <c r="M65" s="8" t="n">
        <f aca="true">IF(G65="Bull",NORMINV(RAND(),Assumptions!$B$5,Assumptions!$B$6),NORMINV(RAND(),Assumptions!$B$8,Assumptions!$B$9))</f>
        <v>0.282176299338971</v>
      </c>
      <c r="N65" s="8" t="n">
        <f aca="true">NORMINV(RAND(),Assumptions!$B$14,Assumptions!$B$15)</f>
        <v>0.0235996219191829</v>
      </c>
      <c r="O65" s="8" t="n">
        <f aca="true">NORMINV(RAND(),Assumptions!$B$14,Assumptions!$B$15)</f>
        <v>0.0678989819786686</v>
      </c>
      <c r="P65" s="8" t="n">
        <f aca="true">NORMINV(RAND(),Assumptions!$B$14,Assumptions!$B$15)</f>
        <v>0.0583646977407777</v>
      </c>
      <c r="Q65" s="8" t="n">
        <f aca="true">NORMINV(RAND(),Assumptions!$B$14,Assumptions!$B$15)</f>
        <v>0.00429382011588253</v>
      </c>
      <c r="R65" s="8" t="n">
        <f aca="true">NORMINV(RAND(),Assumptions!$B$14,Assumptions!$B$15)</f>
        <v>0.0181651296625822</v>
      </c>
      <c r="S65" s="8" t="n">
        <f aca="true">NORMINV(RAND(),Assumptions!$B$14,Assumptions!$B$15)</f>
        <v>0.0534655100327394</v>
      </c>
      <c r="T65" s="8" t="n">
        <f aca="false">Assumptions!$B$19*H65+(1-Assumptions!$B$19)*N65</f>
        <v>0.115620095487579</v>
      </c>
      <c r="U65" s="8" t="n">
        <f aca="false">Assumptions!$B$20*I65+(1-Assumptions!$B$20)*O65</f>
        <v>0.141279531993704</v>
      </c>
      <c r="V65" s="8" t="n">
        <f aca="false">Assumptions!$B$21*J65+(1-Assumptions!$B$21)*P65</f>
        <v>0.282470836466638</v>
      </c>
      <c r="W65" s="8" t="n">
        <f aca="false">Assumptions!$B$22*K65+(1-Assumptions!$B$22)*Q65</f>
        <v>0.10873929082755</v>
      </c>
      <c r="X65" s="8" t="n">
        <f aca="false">Assumptions!$B$23*L65+(1-Assumptions!$B$23)*R65</f>
        <v>0.0181535850669857</v>
      </c>
      <c r="Y65" s="8" t="n">
        <f aca="false">Assumptions!$B$24*M65+(1-Assumptions!$B$24)*S65</f>
        <v>0.190691983616478</v>
      </c>
      <c r="Z65" s="6" t="n">
        <f aca="false">Assumptions!$B$27*(1+T65)</f>
        <v>334686.028646274</v>
      </c>
      <c r="AA65" s="6" t="n">
        <f aca="false">(Z65+Assumptions!$B$28)*(1+U65)</f>
        <v>553162.243937306</v>
      </c>
      <c r="AB65" s="6" t="n">
        <f aca="false">AA65*(1+V65)</f>
        <v>709414.44568404</v>
      </c>
      <c r="AC65" s="6" t="n">
        <f aca="false">AB65*(1+W65)</f>
        <v>786555.669410542</v>
      </c>
      <c r="AD65" s="6" t="n">
        <f aca="false">AC65*(1+X65)</f>
        <v>800834.474665106</v>
      </c>
      <c r="AE65" s="6" t="n">
        <f aca="false">AD65*(1+Y65)</f>
        <v>953547.189187455</v>
      </c>
      <c r="AF65" s="6" t="n">
        <f aca="false">Z65</f>
        <v>334686.028646274</v>
      </c>
      <c r="AG65" s="6" t="n">
        <f aca="false">MAX(AF65,AA65)</f>
        <v>553162.243937306</v>
      </c>
      <c r="AH65" s="6" t="n">
        <f aca="false">MAX(AG65,AB65)</f>
        <v>709414.44568404</v>
      </c>
      <c r="AI65" s="6" t="n">
        <f aca="false">MAX(AH65,AC65)</f>
        <v>786555.669410542</v>
      </c>
      <c r="AJ65" s="6" t="n">
        <f aca="false">MAX(AI65,AD65)</f>
        <v>800834.474665106</v>
      </c>
      <c r="AK65" s="6" t="n">
        <f aca="false">MAX(AJ65,AE65)</f>
        <v>953547.189187455</v>
      </c>
      <c r="AL65" s="8" t="n">
        <f aca="false">MIN(Z65/AF65-1,AA65/AG65-1,AB65/AH65-1,AC65/AI65-1,AD65/AJ65-1,AE65/AK65-1)</f>
        <v>0</v>
      </c>
      <c r="AM65" s="6" t="n">
        <f aca="false">AE65-Assumptions!$B$35</f>
        <v>512283.192524952</v>
      </c>
    </row>
    <row r="66" customFormat="false" ht="15" hidden="false" customHeight="false" outlineLevel="0" collapsed="false">
      <c r="A66" s="0" t="n">
        <f aca="false">ROW()-1</f>
        <v>65</v>
      </c>
      <c r="B66" s="0" t="str">
        <f aca="true">IF(RAND()&lt;Assumptions!$B$11,"Bull","Bear")</f>
        <v>Bull</v>
      </c>
      <c r="C66" s="0" t="str">
        <f aca="true">IF(B66="Bull",IF(RAND()&lt;Assumptions!$B$7,"Bull","Bear"),IF(RAND()&lt;Assumptions!$B$10,"Bear","Bull"))</f>
        <v>Bull</v>
      </c>
      <c r="D66" s="0" t="str">
        <f aca="true">IF(C66="Bull",IF(RAND()&lt;Assumptions!$B$7,"Bull","Bear"),IF(RAND()&lt;Assumptions!$B$10,"Bear","Bull"))</f>
        <v>Bull</v>
      </c>
      <c r="E66" s="0" t="str">
        <f aca="true">IF(D66="Bull",IF(RAND()&lt;Assumptions!$B$7,"Bull","Bear"),IF(RAND()&lt;Assumptions!$B$10,"Bear","Bull"))</f>
        <v>Bull</v>
      </c>
      <c r="F66" s="0" t="str">
        <f aca="true">IF(E66="Bull",IF(RAND()&lt;Assumptions!$B$7,"Bull","Bear"),IF(RAND()&lt;Assumptions!$B$10,"Bear","Bull"))</f>
        <v>Bull</v>
      </c>
      <c r="G66" s="0" t="str">
        <f aca="true">IF(F66="Bull",IF(RAND()&lt;Assumptions!$B$7,"Bull","Bear"),IF(RAND()&lt;Assumptions!$B$10,"Bear","Bull"))</f>
        <v>Bull</v>
      </c>
      <c r="H66" s="8" t="n">
        <f aca="true">IF(B66="Bull",NORMINV(RAND(),Assumptions!$B$5,Assumptions!$B$6),NORMINV(RAND(),Assumptions!$B$8,Assumptions!$B$9))</f>
        <v>0.082817871829121</v>
      </c>
      <c r="I66" s="8" t="n">
        <f aca="true">IF(C66="Bull",NORMINV(RAND(),Assumptions!$B$5,Assumptions!$B$6),NORMINV(RAND(),Assumptions!$B$8,Assumptions!$B$9))</f>
        <v>0.0942189798615568</v>
      </c>
      <c r="J66" s="8" t="n">
        <f aca="true">IF(D66="Bull",NORMINV(RAND(),Assumptions!$B$5,Assumptions!$B$6),NORMINV(RAND(),Assumptions!$B$8,Assumptions!$B$9))</f>
        <v>0.249149444802183</v>
      </c>
      <c r="K66" s="8" t="n">
        <f aca="true">IF(E66="Bull",NORMINV(RAND(),Assumptions!$B$5,Assumptions!$B$6),NORMINV(RAND(),Assumptions!$B$8,Assumptions!$B$9))</f>
        <v>0.103326832313247</v>
      </c>
      <c r="L66" s="8" t="n">
        <f aca="true">IF(F66="Bull",NORMINV(RAND(),Assumptions!$B$5,Assumptions!$B$6),NORMINV(RAND(),Assumptions!$B$8,Assumptions!$B$9))</f>
        <v>0.341268058381355</v>
      </c>
      <c r="M66" s="8" t="n">
        <f aca="true">IF(G66="Bull",NORMINV(RAND(),Assumptions!$B$5,Assumptions!$B$6),NORMINV(RAND(),Assumptions!$B$8,Assumptions!$B$9))</f>
        <v>0.252945553712707</v>
      </c>
      <c r="N66" s="8" t="n">
        <f aca="true">NORMINV(RAND(),Assumptions!$B$14,Assumptions!$B$15)</f>
        <v>0.0262719037910533</v>
      </c>
      <c r="O66" s="8" t="n">
        <f aca="true">NORMINV(RAND(),Assumptions!$B$14,Assumptions!$B$15)</f>
        <v>0.0123698385726396</v>
      </c>
      <c r="P66" s="8" t="n">
        <f aca="true">NORMINV(RAND(),Assumptions!$B$14,Assumptions!$B$15)</f>
        <v>0.0663739927597999</v>
      </c>
      <c r="Q66" s="8" t="n">
        <f aca="true">NORMINV(RAND(),Assumptions!$B$14,Assumptions!$B$15)</f>
        <v>0.0778321403657762</v>
      </c>
      <c r="R66" s="8" t="n">
        <f aca="true">NORMINV(RAND(),Assumptions!$B$14,Assumptions!$B$15)</f>
        <v>0.0797301492857165</v>
      </c>
      <c r="S66" s="8" t="n">
        <f aca="true">NORMINV(RAND(),Assumptions!$B$14,Assumptions!$B$15)</f>
        <v>0.0345706932072865</v>
      </c>
      <c r="T66" s="8" t="n">
        <f aca="false">Assumptions!$B$19*H66+(1-Assumptions!$B$19)*N66</f>
        <v>0.082817871829121</v>
      </c>
      <c r="U66" s="8" t="n">
        <f aca="false">Assumptions!$B$20*I66+(1-Assumptions!$B$20)*O66</f>
        <v>0.0942189798615568</v>
      </c>
      <c r="V66" s="8" t="n">
        <f aca="false">Assumptions!$B$21*J66+(1-Assumptions!$B$21)*P66</f>
        <v>0.249149444802183</v>
      </c>
      <c r="W66" s="8" t="n">
        <f aca="false">Assumptions!$B$22*K66+(1-Assumptions!$B$22)*Q66</f>
        <v>0.103326832313247</v>
      </c>
      <c r="X66" s="8" t="n">
        <f aca="false">Assumptions!$B$23*L66+(1-Assumptions!$B$23)*R66</f>
        <v>0.288960476562227</v>
      </c>
      <c r="Y66" s="8" t="n">
        <f aca="false">Assumptions!$B$24*M66+(1-Assumptions!$B$24)*S66</f>
        <v>0.165595609510539</v>
      </c>
      <c r="Z66" s="6" t="n">
        <f aca="false">Assumptions!$B$27*(1+T66)</f>
        <v>324845.361548736</v>
      </c>
      <c r="AA66" s="6" t="n">
        <f aca="false">(Z66+Assumptions!$B$28)*(1+U66)</f>
        <v>519584.80710585</v>
      </c>
      <c r="AB66" s="6" t="n">
        <f aca="false">AA66*(1+V66)</f>
        <v>649039.073323922</v>
      </c>
      <c r="AC66" s="6" t="n">
        <f aca="false">AB66*(1+W66)</f>
        <v>716102.224818008</v>
      </c>
      <c r="AD66" s="6" t="n">
        <f aca="false">AC66*(1+X66)</f>
        <v>923027.464968691</v>
      </c>
      <c r="AE66" s="6" t="n">
        <f aca="false">AD66*(1+Y66)</f>
        <v>1075876.76062515</v>
      </c>
      <c r="AF66" s="6" t="n">
        <f aca="false">Z66</f>
        <v>324845.361548736</v>
      </c>
      <c r="AG66" s="6" t="n">
        <f aca="false">MAX(AF66,AA66)</f>
        <v>519584.80710585</v>
      </c>
      <c r="AH66" s="6" t="n">
        <f aca="false">MAX(AG66,AB66)</f>
        <v>649039.073323922</v>
      </c>
      <c r="AI66" s="6" t="n">
        <f aca="false">MAX(AH66,AC66)</f>
        <v>716102.224818008</v>
      </c>
      <c r="AJ66" s="6" t="n">
        <f aca="false">MAX(AI66,AD66)</f>
        <v>923027.464968691</v>
      </c>
      <c r="AK66" s="6" t="n">
        <f aca="false">MAX(AJ66,AE66)</f>
        <v>1075876.76062515</v>
      </c>
      <c r="AL66" s="8" t="n">
        <f aca="false">MIN(Z66/AF66-1,AA66/AG66-1,AB66/AH66-1,AC66/AI66-1,AD66/AJ66-1,AE66/AK66-1)</f>
        <v>0</v>
      </c>
      <c r="AM66" s="6" t="n">
        <f aca="false">AE66-Assumptions!$B$35</f>
        <v>634612.763962646</v>
      </c>
    </row>
    <row r="67" customFormat="false" ht="15" hidden="false" customHeight="false" outlineLevel="0" collapsed="false">
      <c r="A67" s="0" t="n">
        <f aca="false">ROW()-1</f>
        <v>66</v>
      </c>
      <c r="B67" s="0" t="str">
        <f aca="true">IF(RAND()&lt;Assumptions!$B$11,"Bull","Bear")</f>
        <v>Bear</v>
      </c>
      <c r="C67" s="0" t="str">
        <f aca="true">IF(B67="Bull",IF(RAND()&lt;Assumptions!$B$7,"Bull","Bear"),IF(RAND()&lt;Assumptions!$B$10,"Bear","Bull"))</f>
        <v>Bull</v>
      </c>
      <c r="D67" s="0" t="str">
        <f aca="true">IF(C67="Bull",IF(RAND()&lt;Assumptions!$B$7,"Bull","Bear"),IF(RAND()&lt;Assumptions!$B$10,"Bear","Bull"))</f>
        <v>Bull</v>
      </c>
      <c r="E67" s="0" t="str">
        <f aca="true">IF(D67="Bull",IF(RAND()&lt;Assumptions!$B$7,"Bull","Bear"),IF(RAND()&lt;Assumptions!$B$10,"Bear","Bull"))</f>
        <v>Bull</v>
      </c>
      <c r="F67" s="0" t="str">
        <f aca="true">IF(E67="Bull",IF(RAND()&lt;Assumptions!$B$7,"Bull","Bear"),IF(RAND()&lt;Assumptions!$B$10,"Bear","Bull"))</f>
        <v>Bear</v>
      </c>
      <c r="G67" s="0" t="str">
        <f aca="true">IF(F67="Bull",IF(RAND()&lt;Assumptions!$B$7,"Bull","Bear"),IF(RAND()&lt;Assumptions!$B$10,"Bear","Bull"))</f>
        <v>Bull</v>
      </c>
      <c r="H67" s="8" t="n">
        <f aca="true">IF(B67="Bull",NORMINV(RAND(),Assumptions!$B$5,Assumptions!$B$6),NORMINV(RAND(),Assumptions!$B$8,Assumptions!$B$9))</f>
        <v>0.0135000550874448</v>
      </c>
      <c r="I67" s="8" t="n">
        <f aca="true">IF(C67="Bull",NORMINV(RAND(),Assumptions!$B$5,Assumptions!$B$6),NORMINV(RAND(),Assumptions!$B$8,Assumptions!$B$9))</f>
        <v>0.106829908045927</v>
      </c>
      <c r="J67" s="8" t="n">
        <f aca="true">IF(D67="Bull",NORMINV(RAND(),Assumptions!$B$5,Assumptions!$B$6),NORMINV(RAND(),Assumptions!$B$8,Assumptions!$B$9))</f>
        <v>0.137846210593712</v>
      </c>
      <c r="K67" s="8" t="n">
        <f aca="true">IF(E67="Bull",NORMINV(RAND(),Assumptions!$B$5,Assumptions!$B$6),NORMINV(RAND(),Assumptions!$B$8,Assumptions!$B$9))</f>
        <v>0.155813597270706</v>
      </c>
      <c r="L67" s="8" t="n">
        <f aca="true">IF(F67="Bull",NORMINV(RAND(),Assumptions!$B$5,Assumptions!$B$6),NORMINV(RAND(),Assumptions!$B$8,Assumptions!$B$9))</f>
        <v>-0.293978929103679</v>
      </c>
      <c r="M67" s="8" t="n">
        <f aca="true">IF(G67="Bull",NORMINV(RAND(),Assumptions!$B$5,Assumptions!$B$6),NORMINV(RAND(),Assumptions!$B$8,Assumptions!$B$9))</f>
        <v>0.0941402036152351</v>
      </c>
      <c r="N67" s="8" t="n">
        <f aca="true">NORMINV(RAND(),Assumptions!$B$14,Assumptions!$B$15)</f>
        <v>0.0748356048315865</v>
      </c>
      <c r="O67" s="8" t="n">
        <f aca="true">NORMINV(RAND(),Assumptions!$B$14,Assumptions!$B$15)</f>
        <v>0.0635387590868915</v>
      </c>
      <c r="P67" s="8" t="n">
        <f aca="true">NORMINV(RAND(),Assumptions!$B$14,Assumptions!$B$15)</f>
        <v>0.0170600841437594</v>
      </c>
      <c r="Q67" s="8" t="n">
        <f aca="true">NORMINV(RAND(),Assumptions!$B$14,Assumptions!$B$15)</f>
        <v>0.057017651135383</v>
      </c>
      <c r="R67" s="8" t="n">
        <f aca="true">NORMINV(RAND(),Assumptions!$B$14,Assumptions!$B$15)</f>
        <v>0.0599085718386347</v>
      </c>
      <c r="S67" s="8" t="n">
        <f aca="true">NORMINV(RAND(),Assumptions!$B$14,Assumptions!$B$15)</f>
        <v>0.00990618654074174</v>
      </c>
      <c r="T67" s="8" t="n">
        <f aca="false">Assumptions!$B$19*H67+(1-Assumptions!$B$19)*N67</f>
        <v>0.0135000550874448</v>
      </c>
      <c r="U67" s="8" t="n">
        <f aca="false">Assumptions!$B$20*I67+(1-Assumptions!$B$20)*O67</f>
        <v>0.106829908045927</v>
      </c>
      <c r="V67" s="8" t="n">
        <f aca="false">Assumptions!$B$21*J67+(1-Assumptions!$B$21)*P67</f>
        <v>0.137846210593712</v>
      </c>
      <c r="W67" s="8" t="n">
        <f aca="false">Assumptions!$B$22*K67+(1-Assumptions!$B$22)*Q67</f>
        <v>0.155813597270706</v>
      </c>
      <c r="X67" s="8" t="n">
        <f aca="false">Assumptions!$B$23*L67+(1-Assumptions!$B$23)*R67</f>
        <v>-0.223201428915216</v>
      </c>
      <c r="Y67" s="8" t="n">
        <f aca="false">Assumptions!$B$24*M67+(1-Assumptions!$B$24)*S67</f>
        <v>0.0604465967854378</v>
      </c>
      <c r="Z67" s="6" t="n">
        <f aca="false">Assumptions!$B$27*(1+T67)</f>
        <v>304050.016526233</v>
      </c>
      <c r="AA67" s="6" t="n">
        <f aca="false">(Z67+Assumptions!$B$28)*(1+U67)</f>
        <v>502556.138039983</v>
      </c>
      <c r="AB67" s="6" t="n">
        <f aca="false">AA67*(1+V67)</f>
        <v>571831.597279404</v>
      </c>
      <c r="AC67" s="6" t="n">
        <f aca="false">AB67*(1+W67)</f>
        <v>660930.735484562</v>
      </c>
      <c r="AD67" s="6" t="n">
        <f aca="false">AC67*(1+X67)</f>
        <v>513410.050910423</v>
      </c>
      <c r="AE67" s="6" t="n">
        <f aca="false">AD67*(1+Y67)</f>
        <v>544443.941243396</v>
      </c>
      <c r="AF67" s="6" t="n">
        <f aca="false">Z67</f>
        <v>304050.016526233</v>
      </c>
      <c r="AG67" s="6" t="n">
        <f aca="false">MAX(AF67,AA67)</f>
        <v>502556.138039983</v>
      </c>
      <c r="AH67" s="6" t="n">
        <f aca="false">MAX(AG67,AB67)</f>
        <v>571831.597279404</v>
      </c>
      <c r="AI67" s="6" t="n">
        <f aca="false">MAX(AH67,AC67)</f>
        <v>660930.735484562</v>
      </c>
      <c r="AJ67" s="6" t="n">
        <f aca="false">MAX(AI67,AD67)</f>
        <v>660930.735484562</v>
      </c>
      <c r="AK67" s="6" t="n">
        <f aca="false">MAX(AJ67,AE67)</f>
        <v>660930.735484562</v>
      </c>
      <c r="AL67" s="8" t="n">
        <f aca="false">MIN(Z67/AF67-1,AA67/AG67-1,AB67/AH67-1,AC67/AI67-1,AD67/AJ67-1,AE67/AK67-1)</f>
        <v>-0.223201428915216</v>
      </c>
      <c r="AM67" s="6" t="n">
        <f aca="false">AE67-Assumptions!$B$35</f>
        <v>103179.944580893</v>
      </c>
    </row>
    <row r="68" customFormat="false" ht="15" hidden="false" customHeight="false" outlineLevel="0" collapsed="false">
      <c r="A68" s="0" t="n">
        <f aca="false">ROW()-1</f>
        <v>67</v>
      </c>
      <c r="B68" s="0" t="str">
        <f aca="true">IF(RAND()&lt;Assumptions!$B$11,"Bull","Bear")</f>
        <v>Bull</v>
      </c>
      <c r="C68" s="0" t="str">
        <f aca="true">IF(B68="Bull",IF(RAND()&lt;Assumptions!$B$7,"Bull","Bear"),IF(RAND()&lt;Assumptions!$B$10,"Bear","Bull"))</f>
        <v>Bull</v>
      </c>
      <c r="D68" s="0" t="str">
        <f aca="true">IF(C68="Bull",IF(RAND()&lt;Assumptions!$B$7,"Bull","Bear"),IF(RAND()&lt;Assumptions!$B$10,"Bear","Bull"))</f>
        <v>Bear</v>
      </c>
      <c r="E68" s="0" t="str">
        <f aca="true">IF(D68="Bull",IF(RAND()&lt;Assumptions!$B$7,"Bull","Bear"),IF(RAND()&lt;Assumptions!$B$10,"Bear","Bull"))</f>
        <v>Bear</v>
      </c>
      <c r="F68" s="0" t="str">
        <f aca="true">IF(E68="Bull",IF(RAND()&lt;Assumptions!$B$7,"Bull","Bear"),IF(RAND()&lt;Assumptions!$B$10,"Bear","Bull"))</f>
        <v>Bull</v>
      </c>
      <c r="G68" s="0" t="str">
        <f aca="true">IF(F68="Bull",IF(RAND()&lt;Assumptions!$B$7,"Bull","Bear"),IF(RAND()&lt;Assumptions!$B$10,"Bear","Bull"))</f>
        <v>Bull</v>
      </c>
      <c r="H68" s="8" t="n">
        <f aca="true">IF(B68="Bull",NORMINV(RAND(),Assumptions!$B$5,Assumptions!$B$6),NORMINV(RAND(),Assumptions!$B$8,Assumptions!$B$9))</f>
        <v>0.162553416873776</v>
      </c>
      <c r="I68" s="8" t="n">
        <f aca="true">IF(C68="Bull",NORMINV(RAND(),Assumptions!$B$5,Assumptions!$B$6),NORMINV(RAND(),Assumptions!$B$8,Assumptions!$B$9))</f>
        <v>0.0714956017207899</v>
      </c>
      <c r="J68" s="8" t="n">
        <f aca="true">IF(D68="Bull",NORMINV(RAND(),Assumptions!$B$5,Assumptions!$B$6),NORMINV(RAND(),Assumptions!$B$8,Assumptions!$B$9))</f>
        <v>0.162124847612245</v>
      </c>
      <c r="K68" s="8" t="n">
        <f aca="true">IF(E68="Bull",NORMINV(RAND(),Assumptions!$B$5,Assumptions!$B$6),NORMINV(RAND(),Assumptions!$B$8,Assumptions!$B$9))</f>
        <v>0.04959668988864</v>
      </c>
      <c r="L68" s="8" t="n">
        <f aca="true">IF(F68="Bull",NORMINV(RAND(),Assumptions!$B$5,Assumptions!$B$6),NORMINV(RAND(),Assumptions!$B$8,Assumptions!$B$9))</f>
        <v>0.210880585460942</v>
      </c>
      <c r="M68" s="8" t="n">
        <f aca="true">IF(G68="Bull",NORMINV(RAND(),Assumptions!$B$5,Assumptions!$B$6),NORMINV(RAND(),Assumptions!$B$8,Assumptions!$B$9))</f>
        <v>0.245872347884569</v>
      </c>
      <c r="N68" s="8" t="n">
        <f aca="true">NORMINV(RAND(),Assumptions!$B$14,Assumptions!$B$15)</f>
        <v>0.0448098465164928</v>
      </c>
      <c r="O68" s="8" t="n">
        <f aca="true">NORMINV(RAND(),Assumptions!$B$14,Assumptions!$B$15)</f>
        <v>0.0715495208412789</v>
      </c>
      <c r="P68" s="8" t="n">
        <f aca="true">NORMINV(RAND(),Assumptions!$B$14,Assumptions!$B$15)</f>
        <v>0.0744475075330232</v>
      </c>
      <c r="Q68" s="8" t="n">
        <f aca="true">NORMINV(RAND(),Assumptions!$B$14,Assumptions!$B$15)</f>
        <v>0.0650411069227275</v>
      </c>
      <c r="R68" s="8" t="n">
        <f aca="true">NORMINV(RAND(),Assumptions!$B$14,Assumptions!$B$15)</f>
        <v>0.0670349045538711</v>
      </c>
      <c r="S68" s="8" t="n">
        <f aca="true">NORMINV(RAND(),Assumptions!$B$14,Assumptions!$B$15)</f>
        <v>0.0593018715478119</v>
      </c>
      <c r="T68" s="8" t="n">
        <f aca="false">Assumptions!$B$19*H68+(1-Assumptions!$B$19)*N68</f>
        <v>0.162553416873776</v>
      </c>
      <c r="U68" s="8" t="n">
        <f aca="false">Assumptions!$B$20*I68+(1-Assumptions!$B$20)*O68</f>
        <v>0.0714956017207899</v>
      </c>
      <c r="V68" s="8" t="n">
        <f aca="false">Assumptions!$B$21*J68+(1-Assumptions!$B$21)*P68</f>
        <v>0.162124847612245</v>
      </c>
      <c r="W68" s="8" t="n">
        <f aca="false">Assumptions!$B$22*K68+(1-Assumptions!$B$22)*Q68</f>
        <v>0.04959668988864</v>
      </c>
      <c r="X68" s="8" t="n">
        <f aca="false">Assumptions!$B$23*L68+(1-Assumptions!$B$23)*R68</f>
        <v>0.182111449279528</v>
      </c>
      <c r="Y68" s="8" t="n">
        <f aca="false">Assumptions!$B$24*M68+(1-Assumptions!$B$24)*S68</f>
        <v>0.171244157349866</v>
      </c>
      <c r="Z68" s="6" t="n">
        <f aca="false">Assumptions!$B$27*(1+T68)</f>
        <v>348766.025062133</v>
      </c>
      <c r="AA68" s="6" t="n">
        <f aca="false">(Z68+Assumptions!$B$28)*(1+U68)</f>
        <v>534425.602141837</v>
      </c>
      <c r="AB68" s="6" t="n">
        <f aca="false">AA68*(1+V68)</f>
        <v>621069.271449164</v>
      </c>
      <c r="AC68" s="6" t="n">
        <f aca="false">AB68*(1+W68)</f>
        <v>651872.251504592</v>
      </c>
      <c r="AD68" s="6" t="n">
        <f aca="false">AC68*(1+X68)</f>
        <v>770585.651971202</v>
      </c>
      <c r="AE68" s="6" t="n">
        <f aca="false">AD68*(1+Y68)</f>
        <v>902543.942608908</v>
      </c>
      <c r="AF68" s="6" t="n">
        <f aca="false">Z68</f>
        <v>348766.025062133</v>
      </c>
      <c r="AG68" s="6" t="n">
        <f aca="false">MAX(AF68,AA68)</f>
        <v>534425.602141837</v>
      </c>
      <c r="AH68" s="6" t="n">
        <f aca="false">MAX(AG68,AB68)</f>
        <v>621069.271449164</v>
      </c>
      <c r="AI68" s="6" t="n">
        <f aca="false">MAX(AH68,AC68)</f>
        <v>651872.251504592</v>
      </c>
      <c r="AJ68" s="6" t="n">
        <f aca="false">MAX(AI68,AD68)</f>
        <v>770585.651971202</v>
      </c>
      <c r="AK68" s="6" t="n">
        <f aca="false">MAX(AJ68,AE68)</f>
        <v>902543.942608908</v>
      </c>
      <c r="AL68" s="8" t="n">
        <f aca="false">MIN(Z68/AF68-1,AA68/AG68-1,AB68/AH68-1,AC68/AI68-1,AD68/AJ68-1,AE68/AK68-1)</f>
        <v>0</v>
      </c>
      <c r="AM68" s="6" t="n">
        <f aca="false">AE68-Assumptions!$B$35</f>
        <v>461279.945946405</v>
      </c>
    </row>
    <row r="69" customFormat="false" ht="15" hidden="false" customHeight="false" outlineLevel="0" collapsed="false">
      <c r="A69" s="0" t="n">
        <f aca="false">ROW()-1</f>
        <v>68</v>
      </c>
      <c r="B69" s="0" t="str">
        <f aca="true">IF(RAND()&lt;Assumptions!$B$11,"Bull","Bear")</f>
        <v>Bear</v>
      </c>
      <c r="C69" s="0" t="str">
        <f aca="true">IF(B69="Bull",IF(RAND()&lt;Assumptions!$B$7,"Bull","Bear"),IF(RAND()&lt;Assumptions!$B$10,"Bear","Bull"))</f>
        <v>Bear</v>
      </c>
      <c r="D69" s="0" t="str">
        <f aca="true">IF(C69="Bull",IF(RAND()&lt;Assumptions!$B$7,"Bull","Bear"),IF(RAND()&lt;Assumptions!$B$10,"Bear","Bull"))</f>
        <v>Bear</v>
      </c>
      <c r="E69" s="0" t="str">
        <f aca="true">IF(D69="Bull",IF(RAND()&lt;Assumptions!$B$7,"Bull","Bear"),IF(RAND()&lt;Assumptions!$B$10,"Bear","Bull"))</f>
        <v>Bear</v>
      </c>
      <c r="F69" s="0" t="str">
        <f aca="true">IF(E69="Bull",IF(RAND()&lt;Assumptions!$B$7,"Bull","Bear"),IF(RAND()&lt;Assumptions!$B$10,"Bear","Bull"))</f>
        <v>Bear</v>
      </c>
      <c r="G69" s="0" t="str">
        <f aca="true">IF(F69="Bull",IF(RAND()&lt;Assumptions!$B$7,"Bull","Bear"),IF(RAND()&lt;Assumptions!$B$10,"Bear","Bull"))</f>
        <v>Bear</v>
      </c>
      <c r="H69" s="8" t="n">
        <f aca="true">IF(B69="Bull",NORMINV(RAND(),Assumptions!$B$5,Assumptions!$B$6),NORMINV(RAND(),Assumptions!$B$8,Assumptions!$B$9))</f>
        <v>0.321947847923324</v>
      </c>
      <c r="I69" s="8" t="n">
        <f aca="true">IF(C69="Bull",NORMINV(RAND(),Assumptions!$B$5,Assumptions!$B$6),NORMINV(RAND(),Assumptions!$B$8,Assumptions!$B$9))</f>
        <v>0.086210220367513</v>
      </c>
      <c r="J69" s="8" t="n">
        <f aca="true">IF(D69="Bull",NORMINV(RAND(),Assumptions!$B$5,Assumptions!$B$6),NORMINV(RAND(),Assumptions!$B$8,Assumptions!$B$9))</f>
        <v>-0.154195359582027</v>
      </c>
      <c r="K69" s="8" t="n">
        <f aca="true">IF(E69="Bull",NORMINV(RAND(),Assumptions!$B$5,Assumptions!$B$6),NORMINV(RAND(),Assumptions!$B$8,Assumptions!$B$9))</f>
        <v>-0.14850780372454</v>
      </c>
      <c r="L69" s="8" t="n">
        <f aca="true">IF(F69="Bull",NORMINV(RAND(),Assumptions!$B$5,Assumptions!$B$6),NORMINV(RAND(),Assumptions!$B$8,Assumptions!$B$9))</f>
        <v>-0.114289869911658</v>
      </c>
      <c r="M69" s="8" t="n">
        <f aca="true">IF(G69="Bull",NORMINV(RAND(),Assumptions!$B$5,Assumptions!$B$6),NORMINV(RAND(),Assumptions!$B$8,Assumptions!$B$9))</f>
        <v>-0.138732118148559</v>
      </c>
      <c r="N69" s="8" t="n">
        <f aca="true">NORMINV(RAND(),Assumptions!$B$14,Assumptions!$B$15)</f>
        <v>0.0889391902244322</v>
      </c>
      <c r="O69" s="8" t="n">
        <f aca="true">NORMINV(RAND(),Assumptions!$B$14,Assumptions!$B$15)</f>
        <v>0.0709294488540663</v>
      </c>
      <c r="P69" s="8" t="n">
        <f aca="true">NORMINV(RAND(),Assumptions!$B$14,Assumptions!$B$15)</f>
        <v>0.0491870713236077</v>
      </c>
      <c r="Q69" s="8" t="n">
        <f aca="true">NORMINV(RAND(),Assumptions!$B$14,Assumptions!$B$15)</f>
        <v>0.0334819014231415</v>
      </c>
      <c r="R69" s="8" t="n">
        <f aca="true">NORMINV(RAND(),Assumptions!$B$14,Assumptions!$B$15)</f>
        <v>0.0542408791265885</v>
      </c>
      <c r="S69" s="8" t="n">
        <f aca="true">NORMINV(RAND(),Assumptions!$B$14,Assumptions!$B$15)</f>
        <v>0.0281010246109626</v>
      </c>
      <c r="T69" s="8" t="n">
        <f aca="false">Assumptions!$B$19*H69+(1-Assumptions!$B$19)*N69</f>
        <v>0.321947847923324</v>
      </c>
      <c r="U69" s="8" t="n">
        <f aca="false">Assumptions!$B$20*I69+(1-Assumptions!$B$20)*O69</f>
        <v>0.086210220367513</v>
      </c>
      <c r="V69" s="8" t="n">
        <f aca="false">Assumptions!$B$21*J69+(1-Assumptions!$B$21)*P69</f>
        <v>-0.154195359582027</v>
      </c>
      <c r="W69" s="8" t="n">
        <f aca="false">Assumptions!$B$22*K69+(1-Assumptions!$B$22)*Q69</f>
        <v>-0.14850780372454</v>
      </c>
      <c r="X69" s="8" t="n">
        <f aca="false">Assumptions!$B$23*L69+(1-Assumptions!$B$23)*R69</f>
        <v>-0.0805837201040089</v>
      </c>
      <c r="Y69" s="8" t="n">
        <f aca="false">Assumptions!$B$24*M69+(1-Assumptions!$B$24)*S69</f>
        <v>-0.0719988610447501</v>
      </c>
      <c r="Z69" s="6" t="n">
        <f aca="false">Assumptions!$B$27*(1+T69)</f>
        <v>396584.354376997</v>
      </c>
      <c r="AA69" s="6" t="n">
        <f aca="false">(Z69+Assumptions!$B$28)*(1+U69)</f>
        <v>593705.512017273</v>
      </c>
      <c r="AB69" s="6" t="n">
        <f aca="false">AA69*(1+V69)</f>
        <v>502158.877105938</v>
      </c>
      <c r="AC69" s="6" t="n">
        <f aca="false">AB69*(1+W69)</f>
        <v>427584.365146154</v>
      </c>
      <c r="AD69" s="6" t="n">
        <f aca="false">AC69*(1+X69)</f>
        <v>393128.026344366</v>
      </c>
      <c r="AE69" s="6" t="n">
        <f aca="false">AD69*(1+Y69)</f>
        <v>364823.256202801</v>
      </c>
      <c r="AF69" s="6" t="n">
        <f aca="false">Z69</f>
        <v>396584.354376997</v>
      </c>
      <c r="AG69" s="6" t="n">
        <f aca="false">MAX(AF69,AA69)</f>
        <v>593705.512017273</v>
      </c>
      <c r="AH69" s="6" t="n">
        <f aca="false">MAX(AG69,AB69)</f>
        <v>593705.512017273</v>
      </c>
      <c r="AI69" s="6" t="n">
        <f aca="false">MAX(AH69,AC69)</f>
        <v>593705.512017273</v>
      </c>
      <c r="AJ69" s="6" t="n">
        <f aca="false">MAX(AI69,AD69)</f>
        <v>593705.512017273</v>
      </c>
      <c r="AK69" s="6" t="n">
        <f aca="false">MAX(AJ69,AE69)</f>
        <v>593705.512017273</v>
      </c>
      <c r="AL69" s="8" t="n">
        <f aca="false">MIN(Z69/AF69-1,AA69/AG69-1,AB69/AH69-1,AC69/AI69-1,AD69/AJ69-1,AE69/AK69-1)</f>
        <v>-0.385514790045966</v>
      </c>
      <c r="AM69" s="6" t="n">
        <f aca="false">AE69-Assumptions!$B$35</f>
        <v>-76440.7404597024</v>
      </c>
    </row>
    <row r="70" customFormat="false" ht="15" hidden="false" customHeight="false" outlineLevel="0" collapsed="false">
      <c r="A70" s="0" t="n">
        <f aca="false">ROW()-1</f>
        <v>69</v>
      </c>
      <c r="B70" s="0" t="str">
        <f aca="true">IF(RAND()&lt;Assumptions!$B$11,"Bull","Bear")</f>
        <v>Bear</v>
      </c>
      <c r="C70" s="0" t="str">
        <f aca="true">IF(B70="Bull",IF(RAND()&lt;Assumptions!$B$7,"Bull","Bear"),IF(RAND()&lt;Assumptions!$B$10,"Bear","Bull"))</f>
        <v>Bull</v>
      </c>
      <c r="D70" s="0" t="str">
        <f aca="true">IF(C70="Bull",IF(RAND()&lt;Assumptions!$B$7,"Bull","Bear"),IF(RAND()&lt;Assumptions!$B$10,"Bear","Bull"))</f>
        <v>Bull</v>
      </c>
      <c r="E70" s="0" t="str">
        <f aca="true">IF(D70="Bull",IF(RAND()&lt;Assumptions!$B$7,"Bull","Bear"),IF(RAND()&lt;Assumptions!$B$10,"Bear","Bull"))</f>
        <v>Bull</v>
      </c>
      <c r="F70" s="0" t="str">
        <f aca="true">IF(E70="Bull",IF(RAND()&lt;Assumptions!$B$7,"Bull","Bear"),IF(RAND()&lt;Assumptions!$B$10,"Bear","Bull"))</f>
        <v>Bull</v>
      </c>
      <c r="G70" s="0" t="str">
        <f aca="true">IF(F70="Bull",IF(RAND()&lt;Assumptions!$B$7,"Bull","Bear"),IF(RAND()&lt;Assumptions!$B$10,"Bear","Bull"))</f>
        <v>Bull</v>
      </c>
      <c r="H70" s="8" t="n">
        <f aca="true">IF(B70="Bull",NORMINV(RAND(),Assumptions!$B$5,Assumptions!$B$6),NORMINV(RAND(),Assumptions!$B$8,Assumptions!$B$9))</f>
        <v>0.185290680957927</v>
      </c>
      <c r="I70" s="8" t="n">
        <f aca="true">IF(C70="Bull",NORMINV(RAND(),Assumptions!$B$5,Assumptions!$B$6),NORMINV(RAND(),Assumptions!$B$8,Assumptions!$B$9))</f>
        <v>0.13096686765165</v>
      </c>
      <c r="J70" s="8" t="n">
        <f aca="true">IF(D70="Bull",NORMINV(RAND(),Assumptions!$B$5,Assumptions!$B$6),NORMINV(RAND(),Assumptions!$B$8,Assumptions!$B$9))</f>
        <v>0.264458992798001</v>
      </c>
      <c r="K70" s="8" t="n">
        <f aca="true">IF(E70="Bull",NORMINV(RAND(),Assumptions!$B$5,Assumptions!$B$6),NORMINV(RAND(),Assumptions!$B$8,Assumptions!$B$9))</f>
        <v>0.077688525099455</v>
      </c>
      <c r="L70" s="8" t="n">
        <f aca="true">IF(F70="Bull",NORMINV(RAND(),Assumptions!$B$5,Assumptions!$B$6),NORMINV(RAND(),Assumptions!$B$8,Assumptions!$B$9))</f>
        <v>0.160929013756232</v>
      </c>
      <c r="M70" s="8" t="n">
        <f aca="true">IF(G70="Bull",NORMINV(RAND(),Assumptions!$B$5,Assumptions!$B$6),NORMINV(RAND(),Assumptions!$B$8,Assumptions!$B$9))</f>
        <v>-0.000172774849882318</v>
      </c>
      <c r="N70" s="8" t="n">
        <f aca="true">NORMINV(RAND(),Assumptions!$B$14,Assumptions!$B$15)</f>
        <v>0.0406554424653505</v>
      </c>
      <c r="O70" s="8" t="n">
        <f aca="true">NORMINV(RAND(),Assumptions!$B$14,Assumptions!$B$15)</f>
        <v>0.0699430051515569</v>
      </c>
      <c r="P70" s="8" t="n">
        <f aca="true">NORMINV(RAND(),Assumptions!$B$14,Assumptions!$B$15)</f>
        <v>0.043192122464221</v>
      </c>
      <c r="Q70" s="8" t="n">
        <f aca="true">NORMINV(RAND(),Assumptions!$B$14,Assumptions!$B$15)</f>
        <v>0.0383686720356317</v>
      </c>
      <c r="R70" s="8" t="n">
        <f aca="true">NORMINV(RAND(),Assumptions!$B$14,Assumptions!$B$15)</f>
        <v>0.0856600649735582</v>
      </c>
      <c r="S70" s="8" t="n">
        <f aca="true">NORMINV(RAND(),Assumptions!$B$14,Assumptions!$B$15)</f>
        <v>0.0598152046042237</v>
      </c>
      <c r="T70" s="8" t="n">
        <f aca="false">Assumptions!$B$19*H70+(1-Assumptions!$B$19)*N70</f>
        <v>0.185290680957927</v>
      </c>
      <c r="U70" s="8" t="n">
        <f aca="false">Assumptions!$B$20*I70+(1-Assumptions!$B$20)*O70</f>
        <v>0.13096686765165</v>
      </c>
      <c r="V70" s="8" t="n">
        <f aca="false">Assumptions!$B$21*J70+(1-Assumptions!$B$21)*P70</f>
        <v>0.264458992798001</v>
      </c>
      <c r="W70" s="8" t="n">
        <f aca="false">Assumptions!$B$22*K70+(1-Assumptions!$B$22)*Q70</f>
        <v>0.077688525099455</v>
      </c>
      <c r="X70" s="8" t="n">
        <f aca="false">Assumptions!$B$23*L70+(1-Assumptions!$B$23)*R70</f>
        <v>0.145875223999697</v>
      </c>
      <c r="Y70" s="8" t="n">
        <f aca="false">Assumptions!$B$24*M70+(1-Assumptions!$B$24)*S70</f>
        <v>0.0238224169317601</v>
      </c>
      <c r="Z70" s="6" t="n">
        <f aca="false">Assumptions!$B$27*(1+T70)</f>
        <v>355587.204287378</v>
      </c>
      <c r="AA70" s="6" t="n">
        <f aca="false">(Z70+Assumptions!$B$28)*(1+U70)</f>
        <v>571802.376757651</v>
      </c>
      <c r="AB70" s="6" t="n">
        <f aca="false">AA70*(1+V70)</f>
        <v>723020.657394482</v>
      </c>
      <c r="AC70" s="6" t="n">
        <f aca="false">AB70*(1+W70)</f>
        <v>779191.065883898</v>
      </c>
      <c r="AD70" s="6" t="n">
        <f aca="false">AC70*(1+X70)</f>
        <v>892855.737158274</v>
      </c>
      <c r="AE70" s="6" t="n">
        <f aca="false">AD70*(1+Y70)</f>
        <v>914125.718788773</v>
      </c>
      <c r="AF70" s="6" t="n">
        <f aca="false">Z70</f>
        <v>355587.204287378</v>
      </c>
      <c r="AG70" s="6" t="n">
        <f aca="false">MAX(AF70,AA70)</f>
        <v>571802.376757651</v>
      </c>
      <c r="AH70" s="6" t="n">
        <f aca="false">MAX(AG70,AB70)</f>
        <v>723020.657394482</v>
      </c>
      <c r="AI70" s="6" t="n">
        <f aca="false">MAX(AH70,AC70)</f>
        <v>779191.065883898</v>
      </c>
      <c r="AJ70" s="6" t="n">
        <f aca="false">MAX(AI70,AD70)</f>
        <v>892855.737158274</v>
      </c>
      <c r="AK70" s="6" t="n">
        <f aca="false">MAX(AJ70,AE70)</f>
        <v>914125.718788773</v>
      </c>
      <c r="AL70" s="8" t="n">
        <f aca="false">MIN(Z70/AF70-1,AA70/AG70-1,AB70/AH70-1,AC70/AI70-1,AD70/AJ70-1,AE70/AK70-1)</f>
        <v>0</v>
      </c>
      <c r="AM70" s="6" t="n">
        <f aca="false">AE70-Assumptions!$B$35</f>
        <v>472861.722126269</v>
      </c>
    </row>
    <row r="71" customFormat="false" ht="15" hidden="false" customHeight="false" outlineLevel="0" collapsed="false">
      <c r="A71" s="0" t="n">
        <f aca="false">ROW()-1</f>
        <v>70</v>
      </c>
      <c r="B71" s="0" t="str">
        <f aca="true">IF(RAND()&lt;Assumptions!$B$11,"Bull","Bear")</f>
        <v>Bull</v>
      </c>
      <c r="C71" s="0" t="str">
        <f aca="true">IF(B71="Bull",IF(RAND()&lt;Assumptions!$B$7,"Bull","Bear"),IF(RAND()&lt;Assumptions!$B$10,"Bear","Bull"))</f>
        <v>Bear</v>
      </c>
      <c r="D71" s="0" t="str">
        <f aca="true">IF(C71="Bull",IF(RAND()&lt;Assumptions!$B$7,"Bull","Bear"),IF(RAND()&lt;Assumptions!$B$10,"Bear","Bull"))</f>
        <v>Bear</v>
      </c>
      <c r="E71" s="0" t="str">
        <f aca="true">IF(D71="Bull",IF(RAND()&lt;Assumptions!$B$7,"Bull","Bear"),IF(RAND()&lt;Assumptions!$B$10,"Bear","Bull"))</f>
        <v>Bull</v>
      </c>
      <c r="F71" s="0" t="str">
        <f aca="true">IF(E71="Bull",IF(RAND()&lt;Assumptions!$B$7,"Bull","Bear"),IF(RAND()&lt;Assumptions!$B$10,"Bear","Bull"))</f>
        <v>Bull</v>
      </c>
      <c r="G71" s="0" t="str">
        <f aca="true">IF(F71="Bull",IF(RAND()&lt;Assumptions!$B$7,"Bull","Bear"),IF(RAND()&lt;Assumptions!$B$10,"Bear","Bull"))</f>
        <v>Bull</v>
      </c>
      <c r="H71" s="8" t="n">
        <f aca="true">IF(B71="Bull",NORMINV(RAND(),Assumptions!$B$5,Assumptions!$B$6),NORMINV(RAND(),Assumptions!$B$8,Assumptions!$B$9))</f>
        <v>0.131578197042054</v>
      </c>
      <c r="I71" s="8" t="n">
        <f aca="true">IF(C71="Bull",NORMINV(RAND(),Assumptions!$B$5,Assumptions!$B$6),NORMINV(RAND(),Assumptions!$B$8,Assumptions!$B$9))</f>
        <v>-0.530482667121667</v>
      </c>
      <c r="J71" s="8" t="n">
        <f aca="true">IF(D71="Bull",NORMINV(RAND(),Assumptions!$B$5,Assumptions!$B$6),NORMINV(RAND(),Assumptions!$B$8,Assumptions!$B$9))</f>
        <v>0.242551594949224</v>
      </c>
      <c r="K71" s="8" t="n">
        <f aca="true">IF(E71="Bull",NORMINV(RAND(),Assumptions!$B$5,Assumptions!$B$6),NORMINV(RAND(),Assumptions!$B$8,Assumptions!$B$9))</f>
        <v>0.289181057131356</v>
      </c>
      <c r="L71" s="8" t="n">
        <f aca="true">IF(F71="Bull",NORMINV(RAND(),Assumptions!$B$5,Assumptions!$B$6),NORMINV(RAND(),Assumptions!$B$8,Assumptions!$B$9))</f>
        <v>0.191702146877891</v>
      </c>
      <c r="M71" s="8" t="n">
        <f aca="true">IF(G71="Bull",NORMINV(RAND(),Assumptions!$B$5,Assumptions!$B$6),NORMINV(RAND(),Assumptions!$B$8,Assumptions!$B$9))</f>
        <v>0.149197158614081</v>
      </c>
      <c r="N71" s="8" t="n">
        <f aca="true">NORMINV(RAND(),Assumptions!$B$14,Assumptions!$B$15)</f>
        <v>0.018646481641697</v>
      </c>
      <c r="O71" s="8" t="n">
        <f aca="true">NORMINV(RAND(),Assumptions!$B$14,Assumptions!$B$15)</f>
        <v>0.0353081436713688</v>
      </c>
      <c r="P71" s="8" t="n">
        <f aca="true">NORMINV(RAND(),Assumptions!$B$14,Assumptions!$B$15)</f>
        <v>0.0921631366456133</v>
      </c>
      <c r="Q71" s="8" t="n">
        <f aca="true">NORMINV(RAND(),Assumptions!$B$14,Assumptions!$B$15)</f>
        <v>0.0803300593999752</v>
      </c>
      <c r="R71" s="8" t="n">
        <f aca="true">NORMINV(RAND(),Assumptions!$B$14,Assumptions!$B$15)</f>
        <v>0.0589998833241922</v>
      </c>
      <c r="S71" s="8" t="n">
        <f aca="true">NORMINV(RAND(),Assumptions!$B$14,Assumptions!$B$15)</f>
        <v>0.13048815638543</v>
      </c>
      <c r="T71" s="8" t="n">
        <f aca="false">Assumptions!$B$19*H71+(1-Assumptions!$B$19)*N71</f>
        <v>0.131578197042054</v>
      </c>
      <c r="U71" s="8" t="n">
        <f aca="false">Assumptions!$B$20*I71+(1-Assumptions!$B$20)*O71</f>
        <v>-0.530482667121667</v>
      </c>
      <c r="V71" s="8" t="n">
        <f aca="false">Assumptions!$B$21*J71+(1-Assumptions!$B$21)*P71</f>
        <v>0.242551594949224</v>
      </c>
      <c r="W71" s="8" t="n">
        <f aca="false">Assumptions!$B$22*K71+(1-Assumptions!$B$22)*Q71</f>
        <v>0.289181057131356</v>
      </c>
      <c r="X71" s="8" t="n">
        <f aca="false">Assumptions!$B$23*L71+(1-Assumptions!$B$23)*R71</f>
        <v>0.165161694167151</v>
      </c>
      <c r="Y71" s="8" t="n">
        <f aca="false">Assumptions!$B$24*M71+(1-Assumptions!$B$24)*S71</f>
        <v>0.141713557722621</v>
      </c>
      <c r="Z71" s="6" t="n">
        <f aca="false">Assumptions!$B$27*(1+T71)</f>
        <v>339473.459112616</v>
      </c>
      <c r="AA71" s="6" t="n">
        <f aca="false">(Z71+Assumptions!$B$28)*(1+U71)</f>
        <v>229816.273037287</v>
      </c>
      <c r="AB71" s="6" t="n">
        <f aca="false">AA71*(1+V71)</f>
        <v>285558.576607768</v>
      </c>
      <c r="AC71" s="6" t="n">
        <f aca="false">AB71*(1+W71)</f>
        <v>368136.707664127</v>
      </c>
      <c r="AD71" s="6" t="n">
        <f aca="false">AC71*(1+X71)</f>
        <v>428938.789987052</v>
      </c>
      <c r="AE71" s="6" t="n">
        <f aca="false">AD71*(1+Y71)</f>
        <v>489725.231961353</v>
      </c>
      <c r="AF71" s="6" t="n">
        <f aca="false">Z71</f>
        <v>339473.459112616</v>
      </c>
      <c r="AG71" s="6" t="n">
        <f aca="false">MAX(AF71,AA71)</f>
        <v>339473.459112616</v>
      </c>
      <c r="AH71" s="6" t="n">
        <f aca="false">MAX(AG71,AB71)</f>
        <v>339473.459112616</v>
      </c>
      <c r="AI71" s="6" t="n">
        <f aca="false">MAX(AH71,AC71)</f>
        <v>368136.707664127</v>
      </c>
      <c r="AJ71" s="6" t="n">
        <f aca="false">MAX(AI71,AD71)</f>
        <v>428938.789987052</v>
      </c>
      <c r="AK71" s="6" t="n">
        <f aca="false">MAX(AJ71,AE71)</f>
        <v>489725.231961353</v>
      </c>
      <c r="AL71" s="8" t="n">
        <f aca="false">MIN(Z71/AF71-1,AA71/AG71-1,AB71/AH71-1,AC71/AI71-1,AD71/AJ71-1,AE71/AK71-1)</f>
        <v>-0.323021382472647</v>
      </c>
      <c r="AM71" s="6" t="n">
        <f aca="false">AE71-Assumptions!$B$35</f>
        <v>48461.2352988494</v>
      </c>
    </row>
    <row r="72" customFormat="false" ht="15" hidden="false" customHeight="false" outlineLevel="0" collapsed="false">
      <c r="A72" s="0" t="n">
        <f aca="false">ROW()-1</f>
        <v>71</v>
      </c>
      <c r="B72" s="0" t="str">
        <f aca="true">IF(RAND()&lt;Assumptions!$B$11,"Bull","Bear")</f>
        <v>Bull</v>
      </c>
      <c r="C72" s="0" t="str">
        <f aca="true">IF(B72="Bull",IF(RAND()&lt;Assumptions!$B$7,"Bull","Bear"),IF(RAND()&lt;Assumptions!$B$10,"Bear","Bull"))</f>
        <v>Bull</v>
      </c>
      <c r="D72" s="0" t="str">
        <f aca="true">IF(C72="Bull",IF(RAND()&lt;Assumptions!$B$7,"Bull","Bear"),IF(RAND()&lt;Assumptions!$B$10,"Bear","Bull"))</f>
        <v>Bull</v>
      </c>
      <c r="E72" s="0" t="str">
        <f aca="true">IF(D72="Bull",IF(RAND()&lt;Assumptions!$B$7,"Bull","Bear"),IF(RAND()&lt;Assumptions!$B$10,"Bear","Bull"))</f>
        <v>Bull</v>
      </c>
      <c r="F72" s="0" t="str">
        <f aca="true">IF(E72="Bull",IF(RAND()&lt;Assumptions!$B$7,"Bull","Bear"),IF(RAND()&lt;Assumptions!$B$10,"Bear","Bull"))</f>
        <v>Bull</v>
      </c>
      <c r="G72" s="0" t="str">
        <f aca="true">IF(F72="Bull",IF(RAND()&lt;Assumptions!$B$7,"Bull","Bear"),IF(RAND()&lt;Assumptions!$B$10,"Bear","Bull"))</f>
        <v>Bull</v>
      </c>
      <c r="H72" s="8" t="n">
        <f aca="true">IF(B72="Bull",NORMINV(RAND(),Assumptions!$B$5,Assumptions!$B$6),NORMINV(RAND(),Assumptions!$B$8,Assumptions!$B$9))</f>
        <v>0.14467679751171</v>
      </c>
      <c r="I72" s="8" t="n">
        <f aca="true">IF(C72="Bull",NORMINV(RAND(),Assumptions!$B$5,Assumptions!$B$6),NORMINV(RAND(),Assumptions!$B$8,Assumptions!$B$9))</f>
        <v>0.133543650094127</v>
      </c>
      <c r="J72" s="8" t="n">
        <f aca="true">IF(D72="Bull",NORMINV(RAND(),Assumptions!$B$5,Assumptions!$B$6),NORMINV(RAND(),Assumptions!$B$8,Assumptions!$B$9))</f>
        <v>0.128944328139583</v>
      </c>
      <c r="K72" s="8" t="n">
        <f aca="true">IF(E72="Bull",NORMINV(RAND(),Assumptions!$B$5,Assumptions!$B$6),NORMINV(RAND(),Assumptions!$B$8,Assumptions!$B$9))</f>
        <v>0.0175577234016898</v>
      </c>
      <c r="L72" s="8" t="n">
        <f aca="true">IF(F72="Bull",NORMINV(RAND(),Assumptions!$B$5,Assumptions!$B$6),NORMINV(RAND(),Assumptions!$B$8,Assumptions!$B$9))</f>
        <v>0.130942435656662</v>
      </c>
      <c r="M72" s="8" t="n">
        <f aca="true">IF(G72="Bull",NORMINV(RAND(),Assumptions!$B$5,Assumptions!$B$6),NORMINV(RAND(),Assumptions!$B$8,Assumptions!$B$9))</f>
        <v>0.184975167781343</v>
      </c>
      <c r="N72" s="8" t="n">
        <f aca="true">NORMINV(RAND(),Assumptions!$B$14,Assumptions!$B$15)</f>
        <v>0.0634847301442115</v>
      </c>
      <c r="O72" s="8" t="n">
        <f aca="true">NORMINV(RAND(),Assumptions!$B$14,Assumptions!$B$15)</f>
        <v>0.0398341418840168</v>
      </c>
      <c r="P72" s="8" t="n">
        <f aca="true">NORMINV(RAND(),Assumptions!$B$14,Assumptions!$B$15)</f>
        <v>0.0515454193280523</v>
      </c>
      <c r="Q72" s="8" t="n">
        <f aca="true">NORMINV(RAND(),Assumptions!$B$14,Assumptions!$B$15)</f>
        <v>0.016573526500135</v>
      </c>
      <c r="R72" s="8" t="n">
        <f aca="true">NORMINV(RAND(),Assumptions!$B$14,Assumptions!$B$15)</f>
        <v>0.000682983982040357</v>
      </c>
      <c r="S72" s="8" t="n">
        <f aca="true">NORMINV(RAND(),Assumptions!$B$14,Assumptions!$B$15)</f>
        <v>-0.0130243764899882</v>
      </c>
      <c r="T72" s="8" t="n">
        <f aca="false">Assumptions!$B$19*H72+(1-Assumptions!$B$19)*N72</f>
        <v>0.14467679751171</v>
      </c>
      <c r="U72" s="8" t="n">
        <f aca="false">Assumptions!$B$20*I72+(1-Assumptions!$B$20)*O72</f>
        <v>0.133543650094127</v>
      </c>
      <c r="V72" s="8" t="n">
        <f aca="false">Assumptions!$B$21*J72+(1-Assumptions!$B$21)*P72</f>
        <v>0.128944328139583</v>
      </c>
      <c r="W72" s="8" t="n">
        <f aca="false">Assumptions!$B$22*K72+(1-Assumptions!$B$22)*Q72</f>
        <v>0.0175577234016898</v>
      </c>
      <c r="X72" s="8" t="n">
        <f aca="false">Assumptions!$B$23*L72+(1-Assumptions!$B$23)*R72</f>
        <v>0.104890545321737</v>
      </c>
      <c r="Y72" s="8" t="n">
        <f aca="false">Assumptions!$B$24*M72+(1-Assumptions!$B$24)*S72</f>
        <v>0.10577535007281</v>
      </c>
      <c r="Z72" s="6" t="n">
        <f aca="false">Assumptions!$B$27*(1+T72)</f>
        <v>343403.039253513</v>
      </c>
      <c r="AA72" s="6" t="n">
        <f aca="false">(Z72+Assumptions!$B$28)*(1+U72)</f>
        <v>559293.882082963</v>
      </c>
      <c r="AB72" s="6" t="n">
        <f aca="false">AA72*(1+V72)</f>
        <v>631411.65594073</v>
      </c>
      <c r="AC72" s="6" t="n">
        <f aca="false">AB72*(1+W72)</f>
        <v>642497.80714834</v>
      </c>
      <c r="AD72" s="6" t="n">
        <f aca="false">AC72*(1+X72)</f>
        <v>709889.75250815</v>
      </c>
      <c r="AE72" s="6" t="n">
        <f aca="false">AD72*(1+Y72)</f>
        <v>784978.5895928</v>
      </c>
      <c r="AF72" s="6" t="n">
        <f aca="false">Z72</f>
        <v>343403.039253513</v>
      </c>
      <c r="AG72" s="6" t="n">
        <f aca="false">MAX(AF72,AA72)</f>
        <v>559293.882082963</v>
      </c>
      <c r="AH72" s="6" t="n">
        <f aca="false">MAX(AG72,AB72)</f>
        <v>631411.65594073</v>
      </c>
      <c r="AI72" s="6" t="n">
        <f aca="false">MAX(AH72,AC72)</f>
        <v>642497.80714834</v>
      </c>
      <c r="AJ72" s="6" t="n">
        <f aca="false">MAX(AI72,AD72)</f>
        <v>709889.75250815</v>
      </c>
      <c r="AK72" s="6" t="n">
        <f aca="false">MAX(AJ72,AE72)</f>
        <v>784978.5895928</v>
      </c>
      <c r="AL72" s="8" t="n">
        <f aca="false">MIN(Z72/AF72-1,AA72/AG72-1,AB72/AH72-1,AC72/AI72-1,AD72/AJ72-1,AE72/AK72-1)</f>
        <v>0</v>
      </c>
      <c r="AM72" s="6" t="n">
        <f aca="false">AE72-Assumptions!$B$35</f>
        <v>343714.592930297</v>
      </c>
    </row>
    <row r="73" customFormat="false" ht="15" hidden="false" customHeight="false" outlineLevel="0" collapsed="false">
      <c r="A73" s="0" t="n">
        <f aca="false">ROW()-1</f>
        <v>72</v>
      </c>
      <c r="B73" s="0" t="str">
        <f aca="true">IF(RAND()&lt;Assumptions!$B$11,"Bull","Bear")</f>
        <v>Bear</v>
      </c>
      <c r="C73" s="0" t="str">
        <f aca="true">IF(B73="Bull",IF(RAND()&lt;Assumptions!$B$7,"Bull","Bear"),IF(RAND()&lt;Assumptions!$B$10,"Bear","Bull"))</f>
        <v>Bull</v>
      </c>
      <c r="D73" s="0" t="str">
        <f aca="true">IF(C73="Bull",IF(RAND()&lt;Assumptions!$B$7,"Bull","Bear"),IF(RAND()&lt;Assumptions!$B$10,"Bear","Bull"))</f>
        <v>Bull</v>
      </c>
      <c r="E73" s="0" t="str">
        <f aca="true">IF(D73="Bull",IF(RAND()&lt;Assumptions!$B$7,"Bull","Bear"),IF(RAND()&lt;Assumptions!$B$10,"Bear","Bull"))</f>
        <v>Bull</v>
      </c>
      <c r="F73" s="0" t="str">
        <f aca="true">IF(E73="Bull",IF(RAND()&lt;Assumptions!$B$7,"Bull","Bear"),IF(RAND()&lt;Assumptions!$B$10,"Bear","Bull"))</f>
        <v>Bear</v>
      </c>
      <c r="G73" s="0" t="str">
        <f aca="true">IF(F73="Bull",IF(RAND()&lt;Assumptions!$B$7,"Bull","Bear"),IF(RAND()&lt;Assumptions!$B$10,"Bear","Bull"))</f>
        <v>Bear</v>
      </c>
      <c r="H73" s="8" t="n">
        <f aca="true">IF(B73="Bull",NORMINV(RAND(),Assumptions!$B$5,Assumptions!$B$6),NORMINV(RAND(),Assumptions!$B$8,Assumptions!$B$9))</f>
        <v>0.111193706471775</v>
      </c>
      <c r="I73" s="8" t="n">
        <f aca="true">IF(C73="Bull",NORMINV(RAND(),Assumptions!$B$5,Assumptions!$B$6),NORMINV(RAND(),Assumptions!$B$8,Assumptions!$B$9))</f>
        <v>0.0627404717699211</v>
      </c>
      <c r="J73" s="8" t="n">
        <f aca="true">IF(D73="Bull",NORMINV(RAND(),Assumptions!$B$5,Assumptions!$B$6),NORMINV(RAND(),Assumptions!$B$8,Assumptions!$B$9))</f>
        <v>-0.0532309163723437</v>
      </c>
      <c r="K73" s="8" t="n">
        <f aca="true">IF(E73="Bull",NORMINV(RAND(),Assumptions!$B$5,Assumptions!$B$6),NORMINV(RAND(),Assumptions!$B$8,Assumptions!$B$9))</f>
        <v>0.111479602074412</v>
      </c>
      <c r="L73" s="8" t="n">
        <f aca="true">IF(F73="Bull",NORMINV(RAND(),Assumptions!$B$5,Assumptions!$B$6),NORMINV(RAND(),Assumptions!$B$8,Assumptions!$B$9))</f>
        <v>-0.00760251541410939</v>
      </c>
      <c r="M73" s="8" t="n">
        <f aca="true">IF(G73="Bull",NORMINV(RAND(),Assumptions!$B$5,Assumptions!$B$6),NORMINV(RAND(),Assumptions!$B$8,Assumptions!$B$9))</f>
        <v>-0.0500836818983301</v>
      </c>
      <c r="N73" s="8" t="n">
        <f aca="true">NORMINV(RAND(),Assumptions!$B$14,Assumptions!$B$15)</f>
        <v>0.0604020105074781</v>
      </c>
      <c r="O73" s="8" t="n">
        <f aca="true">NORMINV(RAND(),Assumptions!$B$14,Assumptions!$B$15)</f>
        <v>0.0479222378957176</v>
      </c>
      <c r="P73" s="8" t="n">
        <f aca="true">NORMINV(RAND(),Assumptions!$B$14,Assumptions!$B$15)</f>
        <v>-0.0100017909691237</v>
      </c>
      <c r="Q73" s="8" t="n">
        <f aca="true">NORMINV(RAND(),Assumptions!$B$14,Assumptions!$B$15)</f>
        <v>0.016718502671556</v>
      </c>
      <c r="R73" s="8" t="n">
        <f aca="true">NORMINV(RAND(),Assumptions!$B$14,Assumptions!$B$15)</f>
        <v>0.0433728784899214</v>
      </c>
      <c r="S73" s="8" t="n">
        <f aca="true">NORMINV(RAND(),Assumptions!$B$14,Assumptions!$B$15)</f>
        <v>0.0522417409084158</v>
      </c>
      <c r="T73" s="8" t="n">
        <f aca="false">Assumptions!$B$19*H73+(1-Assumptions!$B$19)*N73</f>
        <v>0.111193706471775</v>
      </c>
      <c r="U73" s="8" t="n">
        <f aca="false">Assumptions!$B$20*I73+(1-Assumptions!$B$20)*O73</f>
        <v>0.0627404717699211</v>
      </c>
      <c r="V73" s="8" t="n">
        <f aca="false">Assumptions!$B$21*J73+(1-Assumptions!$B$21)*P73</f>
        <v>-0.0532309163723437</v>
      </c>
      <c r="W73" s="8" t="n">
        <f aca="false">Assumptions!$B$22*K73+(1-Assumptions!$B$22)*Q73</f>
        <v>0.111479602074412</v>
      </c>
      <c r="X73" s="8" t="n">
        <f aca="false">Assumptions!$B$23*L73+(1-Assumptions!$B$23)*R73</f>
        <v>0.00259256336669677</v>
      </c>
      <c r="Y73" s="8" t="n">
        <f aca="false">Assumptions!$B$24*M73+(1-Assumptions!$B$24)*S73</f>
        <v>-0.00915351277563176</v>
      </c>
      <c r="Z73" s="6" t="n">
        <f aca="false">Assumptions!$B$27*(1+T73)</f>
        <v>333358.111941533</v>
      </c>
      <c r="AA73" s="6" t="n">
        <f aca="false">(Z73+Assumptions!$B$28)*(1+U73)</f>
        <v>513684.227918563</v>
      </c>
      <c r="AB73" s="6" t="n">
        <f aca="false">AA73*(1+V73)</f>
        <v>486340.345740438</v>
      </c>
      <c r="AC73" s="6" t="n">
        <f aca="false">AB73*(1+W73)</f>
        <v>540557.373956314</v>
      </c>
      <c r="AD73" s="6" t="n">
        <f aca="false">AC73*(1+X73)</f>
        <v>541958.803201631</v>
      </c>
      <c r="AE73" s="6" t="n">
        <f aca="false">AD73*(1+Y73)</f>
        <v>536997.976372659</v>
      </c>
      <c r="AF73" s="6" t="n">
        <f aca="false">Z73</f>
        <v>333358.111941533</v>
      </c>
      <c r="AG73" s="6" t="n">
        <f aca="false">MAX(AF73,AA73)</f>
        <v>513684.227918563</v>
      </c>
      <c r="AH73" s="6" t="n">
        <f aca="false">MAX(AG73,AB73)</f>
        <v>513684.227918563</v>
      </c>
      <c r="AI73" s="6" t="n">
        <f aca="false">MAX(AH73,AC73)</f>
        <v>540557.373956314</v>
      </c>
      <c r="AJ73" s="6" t="n">
        <f aca="false">MAX(AI73,AD73)</f>
        <v>541958.803201631</v>
      </c>
      <c r="AK73" s="6" t="n">
        <f aca="false">MAX(AJ73,AE73)</f>
        <v>541958.803201631</v>
      </c>
      <c r="AL73" s="8" t="n">
        <f aca="false">MIN(Z73/AF73-1,AA73/AG73-1,AB73/AH73-1,AC73/AI73-1,AD73/AJ73-1,AE73/AK73-1)</f>
        <v>-0.0532309163723437</v>
      </c>
      <c r="AM73" s="6" t="n">
        <f aca="false">AE73-Assumptions!$B$35</f>
        <v>95733.979710155</v>
      </c>
    </row>
    <row r="74" customFormat="false" ht="15" hidden="false" customHeight="false" outlineLevel="0" collapsed="false">
      <c r="A74" s="0" t="n">
        <f aca="false">ROW()-1</f>
        <v>73</v>
      </c>
      <c r="B74" s="0" t="str">
        <f aca="true">IF(RAND()&lt;Assumptions!$B$11,"Bull","Bear")</f>
        <v>Bull</v>
      </c>
      <c r="C74" s="0" t="str">
        <f aca="true">IF(B74="Bull",IF(RAND()&lt;Assumptions!$B$7,"Bull","Bear"),IF(RAND()&lt;Assumptions!$B$10,"Bear","Bull"))</f>
        <v>Bull</v>
      </c>
      <c r="D74" s="0" t="str">
        <f aca="true">IF(C74="Bull",IF(RAND()&lt;Assumptions!$B$7,"Bull","Bear"),IF(RAND()&lt;Assumptions!$B$10,"Bear","Bull"))</f>
        <v>Bear</v>
      </c>
      <c r="E74" s="0" t="str">
        <f aca="true">IF(D74="Bull",IF(RAND()&lt;Assumptions!$B$7,"Bull","Bear"),IF(RAND()&lt;Assumptions!$B$10,"Bear","Bull"))</f>
        <v>Bull</v>
      </c>
      <c r="F74" s="0" t="str">
        <f aca="true">IF(E74="Bull",IF(RAND()&lt;Assumptions!$B$7,"Bull","Bear"),IF(RAND()&lt;Assumptions!$B$10,"Bear","Bull"))</f>
        <v>Bull</v>
      </c>
      <c r="G74" s="0" t="str">
        <f aca="true">IF(F74="Bull",IF(RAND()&lt;Assumptions!$B$7,"Bull","Bear"),IF(RAND()&lt;Assumptions!$B$10,"Bear","Bull"))</f>
        <v>Bull</v>
      </c>
      <c r="H74" s="8" t="n">
        <f aca="true">IF(B74="Bull",NORMINV(RAND(),Assumptions!$B$5,Assumptions!$B$6),NORMINV(RAND(),Assumptions!$B$8,Assumptions!$B$9))</f>
        <v>0.169843416688555</v>
      </c>
      <c r="I74" s="8" t="n">
        <f aca="true">IF(C74="Bull",NORMINV(RAND(),Assumptions!$B$5,Assumptions!$B$6),NORMINV(RAND(),Assumptions!$B$8,Assumptions!$B$9))</f>
        <v>0.143141421297508</v>
      </c>
      <c r="J74" s="8" t="n">
        <f aca="true">IF(D74="Bull",NORMINV(RAND(),Assumptions!$B$5,Assumptions!$B$6),NORMINV(RAND(),Assumptions!$B$8,Assumptions!$B$9))</f>
        <v>-0.159969108569785</v>
      </c>
      <c r="K74" s="8" t="n">
        <f aca="true">IF(E74="Bull",NORMINV(RAND(),Assumptions!$B$5,Assumptions!$B$6),NORMINV(RAND(),Assumptions!$B$8,Assumptions!$B$9))</f>
        <v>0.279367173442177</v>
      </c>
      <c r="L74" s="8" t="n">
        <f aca="true">IF(F74="Bull",NORMINV(RAND(),Assumptions!$B$5,Assumptions!$B$6),NORMINV(RAND(),Assumptions!$B$8,Assumptions!$B$9))</f>
        <v>0.170713102522824</v>
      </c>
      <c r="M74" s="8" t="n">
        <f aca="true">IF(G74="Bull",NORMINV(RAND(),Assumptions!$B$5,Assumptions!$B$6),NORMINV(RAND(),Assumptions!$B$8,Assumptions!$B$9))</f>
        <v>0.292370716154355</v>
      </c>
      <c r="N74" s="8" t="n">
        <f aca="true">NORMINV(RAND(),Assumptions!$B$14,Assumptions!$B$15)</f>
        <v>0.0437354520565063</v>
      </c>
      <c r="O74" s="8" t="n">
        <f aca="true">NORMINV(RAND(),Assumptions!$B$14,Assumptions!$B$15)</f>
        <v>0.049652046092953</v>
      </c>
      <c r="P74" s="8" t="n">
        <f aca="true">NORMINV(RAND(),Assumptions!$B$14,Assumptions!$B$15)</f>
        <v>0.0276081200545605</v>
      </c>
      <c r="Q74" s="8" t="n">
        <f aca="true">NORMINV(RAND(),Assumptions!$B$14,Assumptions!$B$15)</f>
        <v>0.0542304979554581</v>
      </c>
      <c r="R74" s="8" t="n">
        <f aca="true">NORMINV(RAND(),Assumptions!$B$14,Assumptions!$B$15)</f>
        <v>0.0576114467815959</v>
      </c>
      <c r="S74" s="8" t="n">
        <f aca="true">NORMINV(RAND(),Assumptions!$B$14,Assumptions!$B$15)</f>
        <v>0.0073550597083076</v>
      </c>
      <c r="T74" s="8" t="n">
        <f aca="false">Assumptions!$B$19*H74+(1-Assumptions!$B$19)*N74</f>
        <v>0.169843416688555</v>
      </c>
      <c r="U74" s="8" t="n">
        <f aca="false">Assumptions!$B$20*I74+(1-Assumptions!$B$20)*O74</f>
        <v>0.143141421297508</v>
      </c>
      <c r="V74" s="8" t="n">
        <f aca="false">Assumptions!$B$21*J74+(1-Assumptions!$B$21)*P74</f>
        <v>-0.159969108569785</v>
      </c>
      <c r="W74" s="8" t="n">
        <f aca="false">Assumptions!$B$22*K74+(1-Assumptions!$B$22)*Q74</f>
        <v>0.279367173442177</v>
      </c>
      <c r="X74" s="8" t="n">
        <f aca="false">Assumptions!$B$23*L74+(1-Assumptions!$B$23)*R74</f>
        <v>0.148092771374578</v>
      </c>
      <c r="Y74" s="8" t="n">
        <f aca="false">Assumptions!$B$24*M74+(1-Assumptions!$B$24)*S74</f>
        <v>0.178364453575936</v>
      </c>
      <c r="Z74" s="6" t="n">
        <f aca="false">Assumptions!$B$27*(1+T74)</f>
        <v>350953.025006567</v>
      </c>
      <c r="AA74" s="6" t="n">
        <f aca="false">(Z74+Assumptions!$B$28)*(1+U74)</f>
        <v>572660.153009293</v>
      </c>
      <c r="AB74" s="6" t="n">
        <f aca="false">AA74*(1+V74)</f>
        <v>481052.218818959</v>
      </c>
      <c r="AC74" s="6" t="n">
        <f aca="false">AB74*(1+W74)</f>
        <v>615442.4174685</v>
      </c>
      <c r="AD74" s="6" t="n">
        <f aca="false">AC74*(1+X74)</f>
        <v>706584.99069288</v>
      </c>
      <c r="AE74" s="6" t="n">
        <f aca="false">AD74*(1+Y74)</f>
        <v>832614.636462773</v>
      </c>
      <c r="AF74" s="6" t="n">
        <f aca="false">Z74</f>
        <v>350953.025006567</v>
      </c>
      <c r="AG74" s="6" t="n">
        <f aca="false">MAX(AF74,AA74)</f>
        <v>572660.153009293</v>
      </c>
      <c r="AH74" s="6" t="n">
        <f aca="false">MAX(AG74,AB74)</f>
        <v>572660.153009293</v>
      </c>
      <c r="AI74" s="6" t="n">
        <f aca="false">MAX(AH74,AC74)</f>
        <v>615442.4174685</v>
      </c>
      <c r="AJ74" s="6" t="n">
        <f aca="false">MAX(AI74,AD74)</f>
        <v>706584.99069288</v>
      </c>
      <c r="AK74" s="6" t="n">
        <f aca="false">MAX(AJ74,AE74)</f>
        <v>832614.636462773</v>
      </c>
      <c r="AL74" s="8" t="n">
        <f aca="false">MIN(Z74/AF74-1,AA74/AG74-1,AB74/AH74-1,AC74/AI74-1,AD74/AJ74-1,AE74/AK74-1)</f>
        <v>-0.159969108569785</v>
      </c>
      <c r="AM74" s="6" t="n">
        <f aca="false">AE74-Assumptions!$B$35</f>
        <v>391350.63980027</v>
      </c>
    </row>
    <row r="75" customFormat="false" ht="15" hidden="false" customHeight="false" outlineLevel="0" collapsed="false">
      <c r="A75" s="0" t="n">
        <f aca="false">ROW()-1</f>
        <v>74</v>
      </c>
      <c r="B75" s="0" t="str">
        <f aca="true">IF(RAND()&lt;Assumptions!$B$11,"Bull","Bear")</f>
        <v>Bull</v>
      </c>
      <c r="C75" s="0" t="str">
        <f aca="true">IF(B75="Bull",IF(RAND()&lt;Assumptions!$B$7,"Bull","Bear"),IF(RAND()&lt;Assumptions!$B$10,"Bear","Bull"))</f>
        <v>Bear</v>
      </c>
      <c r="D75" s="0" t="str">
        <f aca="true">IF(C75="Bull",IF(RAND()&lt;Assumptions!$B$7,"Bull","Bear"),IF(RAND()&lt;Assumptions!$B$10,"Bear","Bull"))</f>
        <v>Bull</v>
      </c>
      <c r="E75" s="0" t="str">
        <f aca="true">IF(D75="Bull",IF(RAND()&lt;Assumptions!$B$7,"Bull","Bear"),IF(RAND()&lt;Assumptions!$B$10,"Bear","Bull"))</f>
        <v>Bear</v>
      </c>
      <c r="F75" s="0" t="str">
        <f aca="true">IF(E75="Bull",IF(RAND()&lt;Assumptions!$B$7,"Bull","Bear"),IF(RAND()&lt;Assumptions!$B$10,"Bear","Bull"))</f>
        <v>Bear</v>
      </c>
      <c r="G75" s="0" t="str">
        <f aca="true">IF(F75="Bull",IF(RAND()&lt;Assumptions!$B$7,"Bull","Bear"),IF(RAND()&lt;Assumptions!$B$10,"Bear","Bull"))</f>
        <v>Bear</v>
      </c>
      <c r="H75" s="8" t="n">
        <f aca="true">IF(B75="Bull",NORMINV(RAND(),Assumptions!$B$5,Assumptions!$B$6),NORMINV(RAND(),Assumptions!$B$8,Assumptions!$B$9))</f>
        <v>0.291229121319366</v>
      </c>
      <c r="I75" s="8" t="n">
        <f aca="true">IF(C75="Bull",NORMINV(RAND(),Assumptions!$B$5,Assumptions!$B$6),NORMINV(RAND(),Assumptions!$B$8,Assumptions!$B$9))</f>
        <v>-0.432976338640811</v>
      </c>
      <c r="J75" s="8" t="n">
        <f aca="true">IF(D75="Bull",NORMINV(RAND(),Assumptions!$B$5,Assumptions!$B$6),NORMINV(RAND(),Assumptions!$B$8,Assumptions!$B$9))</f>
        <v>0.0992964180484483</v>
      </c>
      <c r="K75" s="8" t="n">
        <f aca="true">IF(E75="Bull",NORMINV(RAND(),Assumptions!$B$5,Assumptions!$B$6),NORMINV(RAND(),Assumptions!$B$8,Assumptions!$B$9))</f>
        <v>-0.0555980497461686</v>
      </c>
      <c r="L75" s="8" t="n">
        <f aca="true">IF(F75="Bull",NORMINV(RAND(),Assumptions!$B$5,Assumptions!$B$6),NORMINV(RAND(),Assumptions!$B$8,Assumptions!$B$9))</f>
        <v>-0.114100712877397</v>
      </c>
      <c r="M75" s="8" t="n">
        <f aca="true">IF(G75="Bull",NORMINV(RAND(),Assumptions!$B$5,Assumptions!$B$6),NORMINV(RAND(),Assumptions!$B$8,Assumptions!$B$9))</f>
        <v>-0.0713858524156009</v>
      </c>
      <c r="N75" s="8" t="n">
        <f aca="true">NORMINV(RAND(),Assumptions!$B$14,Assumptions!$B$15)</f>
        <v>0.0699181439689385</v>
      </c>
      <c r="O75" s="8" t="n">
        <f aca="true">NORMINV(RAND(),Assumptions!$B$14,Assumptions!$B$15)</f>
        <v>0.0144907580785177</v>
      </c>
      <c r="P75" s="8" t="n">
        <f aca="true">NORMINV(RAND(),Assumptions!$B$14,Assumptions!$B$15)</f>
        <v>0.0207162534782192</v>
      </c>
      <c r="Q75" s="8" t="n">
        <f aca="true">NORMINV(RAND(),Assumptions!$B$14,Assumptions!$B$15)</f>
        <v>0.0187533727911944</v>
      </c>
      <c r="R75" s="8" t="n">
        <f aca="true">NORMINV(RAND(),Assumptions!$B$14,Assumptions!$B$15)</f>
        <v>0.0494302820057316</v>
      </c>
      <c r="S75" s="8" t="n">
        <f aca="true">NORMINV(RAND(),Assumptions!$B$14,Assumptions!$B$15)</f>
        <v>0.0212169032884388</v>
      </c>
      <c r="T75" s="8" t="n">
        <f aca="false">Assumptions!$B$19*H75+(1-Assumptions!$B$19)*N75</f>
        <v>0.291229121319366</v>
      </c>
      <c r="U75" s="8" t="n">
        <f aca="false">Assumptions!$B$20*I75+(1-Assumptions!$B$20)*O75</f>
        <v>-0.432976338640811</v>
      </c>
      <c r="V75" s="8" t="n">
        <f aca="false">Assumptions!$B$21*J75+(1-Assumptions!$B$21)*P75</f>
        <v>0.0992964180484483</v>
      </c>
      <c r="W75" s="8" t="n">
        <f aca="false">Assumptions!$B$22*K75+(1-Assumptions!$B$22)*Q75</f>
        <v>-0.0555980497461686</v>
      </c>
      <c r="X75" s="8" t="n">
        <f aca="false">Assumptions!$B$23*L75+(1-Assumptions!$B$23)*R75</f>
        <v>-0.0813945139007712</v>
      </c>
      <c r="Y75" s="8" t="n">
        <f aca="false">Assumptions!$B$24*M75+(1-Assumptions!$B$24)*S75</f>
        <v>-0.034344750133985</v>
      </c>
      <c r="Z75" s="6" t="n">
        <f aca="false">Assumptions!$B$27*(1+T75)</f>
        <v>387368.73639581</v>
      </c>
      <c r="AA75" s="6" t="n">
        <f aca="false">(Z75+Assumptions!$B$28)*(1+U75)</f>
        <v>304700.788411113</v>
      </c>
      <c r="AB75" s="6" t="n">
        <f aca="false">AA75*(1+V75)</f>
        <v>334956.485276875</v>
      </c>
      <c r="AC75" s="6" t="n">
        <f aca="false">AB75*(1+W75)</f>
        <v>316333.557945649</v>
      </c>
      <c r="AD75" s="6" t="n">
        <f aca="false">AC75*(1+X75)</f>
        <v>290585.741766161</v>
      </c>
      <c r="AE75" s="6" t="n">
        <f aca="false">AD75*(1+Y75)</f>
        <v>280605.647072704</v>
      </c>
      <c r="AF75" s="6" t="n">
        <f aca="false">Z75</f>
        <v>387368.73639581</v>
      </c>
      <c r="AG75" s="6" t="n">
        <f aca="false">MAX(AF75,AA75)</f>
        <v>387368.73639581</v>
      </c>
      <c r="AH75" s="6" t="n">
        <f aca="false">MAX(AG75,AB75)</f>
        <v>387368.73639581</v>
      </c>
      <c r="AI75" s="6" t="n">
        <f aca="false">MAX(AH75,AC75)</f>
        <v>387368.73639581</v>
      </c>
      <c r="AJ75" s="6" t="n">
        <f aca="false">MAX(AI75,AD75)</f>
        <v>387368.73639581</v>
      </c>
      <c r="AK75" s="6" t="n">
        <f aca="false">MAX(AJ75,AE75)</f>
        <v>387368.73639581</v>
      </c>
      <c r="AL75" s="8" t="n">
        <f aca="false">MIN(Z75/AF75-1,AA75/AG75-1,AB75/AH75-1,AC75/AI75-1,AD75/AJ75-1,AE75/AK75-1)</f>
        <v>-0.27561101165897</v>
      </c>
      <c r="AM75" s="6" t="n">
        <f aca="false">AE75-Assumptions!$B$35</f>
        <v>-160658.3495898</v>
      </c>
    </row>
    <row r="76" customFormat="false" ht="15" hidden="false" customHeight="false" outlineLevel="0" collapsed="false">
      <c r="A76" s="0" t="n">
        <f aca="false">ROW()-1</f>
        <v>75</v>
      </c>
      <c r="B76" s="0" t="str">
        <f aca="true">IF(RAND()&lt;Assumptions!$B$11,"Bull","Bear")</f>
        <v>Bull</v>
      </c>
      <c r="C76" s="0" t="str">
        <f aca="true">IF(B76="Bull",IF(RAND()&lt;Assumptions!$B$7,"Bull","Bear"),IF(RAND()&lt;Assumptions!$B$10,"Bear","Bull"))</f>
        <v>Bull</v>
      </c>
      <c r="D76" s="0" t="str">
        <f aca="true">IF(C76="Bull",IF(RAND()&lt;Assumptions!$B$7,"Bull","Bear"),IF(RAND()&lt;Assumptions!$B$10,"Bear","Bull"))</f>
        <v>Bull</v>
      </c>
      <c r="E76" s="0" t="str">
        <f aca="true">IF(D76="Bull",IF(RAND()&lt;Assumptions!$B$7,"Bull","Bear"),IF(RAND()&lt;Assumptions!$B$10,"Bear","Bull"))</f>
        <v>Bull</v>
      </c>
      <c r="F76" s="0" t="str">
        <f aca="true">IF(E76="Bull",IF(RAND()&lt;Assumptions!$B$7,"Bull","Bear"),IF(RAND()&lt;Assumptions!$B$10,"Bear","Bull"))</f>
        <v>Bull</v>
      </c>
      <c r="G76" s="0" t="str">
        <f aca="true">IF(F76="Bull",IF(RAND()&lt;Assumptions!$B$7,"Bull","Bear"),IF(RAND()&lt;Assumptions!$B$10,"Bear","Bull"))</f>
        <v>Bull</v>
      </c>
      <c r="H76" s="8" t="n">
        <f aca="true">IF(B76="Bull",NORMINV(RAND(),Assumptions!$B$5,Assumptions!$B$6),NORMINV(RAND(),Assumptions!$B$8,Assumptions!$B$9))</f>
        <v>0.0298118218706566</v>
      </c>
      <c r="I76" s="8" t="n">
        <f aca="true">IF(C76="Bull",NORMINV(RAND(),Assumptions!$B$5,Assumptions!$B$6),NORMINV(RAND(),Assumptions!$B$8,Assumptions!$B$9))</f>
        <v>0.154410023321099</v>
      </c>
      <c r="J76" s="8" t="n">
        <f aca="true">IF(D76="Bull",NORMINV(RAND(),Assumptions!$B$5,Assumptions!$B$6),NORMINV(RAND(),Assumptions!$B$8,Assumptions!$B$9))</f>
        <v>0.214385788877019</v>
      </c>
      <c r="K76" s="8" t="n">
        <f aca="true">IF(E76="Bull",NORMINV(RAND(),Assumptions!$B$5,Assumptions!$B$6),NORMINV(RAND(),Assumptions!$B$8,Assumptions!$B$9))</f>
        <v>0.110092880821832</v>
      </c>
      <c r="L76" s="8" t="n">
        <f aca="true">IF(F76="Bull",NORMINV(RAND(),Assumptions!$B$5,Assumptions!$B$6),NORMINV(RAND(),Assumptions!$B$8,Assumptions!$B$9))</f>
        <v>0.139130132556318</v>
      </c>
      <c r="M76" s="8" t="n">
        <f aca="true">IF(G76="Bull",NORMINV(RAND(),Assumptions!$B$5,Assumptions!$B$6),NORMINV(RAND(),Assumptions!$B$8,Assumptions!$B$9))</f>
        <v>0.267742556616963</v>
      </c>
      <c r="N76" s="8" t="n">
        <f aca="true">NORMINV(RAND(),Assumptions!$B$14,Assumptions!$B$15)</f>
        <v>0.0624534377933872</v>
      </c>
      <c r="O76" s="8" t="n">
        <f aca="true">NORMINV(RAND(),Assumptions!$B$14,Assumptions!$B$15)</f>
        <v>0.0934585099997479</v>
      </c>
      <c r="P76" s="8" t="n">
        <f aca="true">NORMINV(RAND(),Assumptions!$B$14,Assumptions!$B$15)</f>
        <v>0.0360426832743255</v>
      </c>
      <c r="Q76" s="8" t="n">
        <f aca="true">NORMINV(RAND(),Assumptions!$B$14,Assumptions!$B$15)</f>
        <v>0.072889300798881</v>
      </c>
      <c r="R76" s="8" t="n">
        <f aca="true">NORMINV(RAND(),Assumptions!$B$14,Assumptions!$B$15)</f>
        <v>0.0849422667361957</v>
      </c>
      <c r="S76" s="8" t="n">
        <f aca="true">NORMINV(RAND(),Assumptions!$B$14,Assumptions!$B$15)</f>
        <v>0.0974829877864193</v>
      </c>
      <c r="T76" s="8" t="n">
        <f aca="false">Assumptions!$B$19*H76+(1-Assumptions!$B$19)*N76</f>
        <v>0.0298118218706566</v>
      </c>
      <c r="U76" s="8" t="n">
        <f aca="false">Assumptions!$B$20*I76+(1-Assumptions!$B$20)*O76</f>
        <v>0.154410023321099</v>
      </c>
      <c r="V76" s="8" t="n">
        <f aca="false">Assumptions!$B$21*J76+(1-Assumptions!$B$21)*P76</f>
        <v>0.214385788877019</v>
      </c>
      <c r="W76" s="8" t="n">
        <f aca="false">Assumptions!$B$22*K76+(1-Assumptions!$B$22)*Q76</f>
        <v>0.110092880821832</v>
      </c>
      <c r="X76" s="8" t="n">
        <f aca="false">Assumptions!$B$23*L76+(1-Assumptions!$B$23)*R76</f>
        <v>0.128292559392293</v>
      </c>
      <c r="Y76" s="8" t="n">
        <f aca="false">Assumptions!$B$24*M76+(1-Assumptions!$B$24)*S76</f>
        <v>0.199638729084746</v>
      </c>
      <c r="Z76" s="6" t="n">
        <f aca="false">Assumptions!$B$27*(1+T76)</f>
        <v>308943.546561197</v>
      </c>
      <c r="AA76" s="6" t="n">
        <f aca="false">(Z76+Assumptions!$B$28)*(1+U76)</f>
        <v>529809.03028878</v>
      </c>
      <c r="AB76" s="6" t="n">
        <f aca="false">AA76*(1+V76)</f>
        <v>643392.557201408</v>
      </c>
      <c r="AC76" s="6" t="n">
        <f aca="false">AB76*(1+W76)</f>
        <v>714225.497323036</v>
      </c>
      <c r="AD76" s="6" t="n">
        <f aca="false">AC76*(1+X76)</f>
        <v>805855.314357842</v>
      </c>
      <c r="AE76" s="6" t="n">
        <f aca="false">AD76*(1+Y76)</f>
        <v>966735.24514243</v>
      </c>
      <c r="AF76" s="6" t="n">
        <f aca="false">Z76</f>
        <v>308943.546561197</v>
      </c>
      <c r="AG76" s="6" t="n">
        <f aca="false">MAX(AF76,AA76)</f>
        <v>529809.03028878</v>
      </c>
      <c r="AH76" s="6" t="n">
        <f aca="false">MAX(AG76,AB76)</f>
        <v>643392.557201408</v>
      </c>
      <c r="AI76" s="6" t="n">
        <f aca="false">MAX(AH76,AC76)</f>
        <v>714225.497323036</v>
      </c>
      <c r="AJ76" s="6" t="n">
        <f aca="false">MAX(AI76,AD76)</f>
        <v>805855.314357842</v>
      </c>
      <c r="AK76" s="6" t="n">
        <f aca="false">MAX(AJ76,AE76)</f>
        <v>966735.24514243</v>
      </c>
      <c r="AL76" s="8" t="n">
        <f aca="false">MIN(Z76/AF76-1,AA76/AG76-1,AB76/AH76-1,AC76/AI76-1,AD76/AJ76-1,AE76/AK76-1)</f>
        <v>0</v>
      </c>
      <c r="AM76" s="6" t="n">
        <f aca="false">AE76-Assumptions!$B$35</f>
        <v>525471.248479926</v>
      </c>
    </row>
    <row r="77" customFormat="false" ht="15" hidden="false" customHeight="false" outlineLevel="0" collapsed="false">
      <c r="A77" s="0" t="n">
        <f aca="false">ROW()-1</f>
        <v>76</v>
      </c>
      <c r="B77" s="0" t="str">
        <f aca="true">IF(RAND()&lt;Assumptions!$B$11,"Bull","Bear")</f>
        <v>Bear</v>
      </c>
      <c r="C77" s="0" t="str">
        <f aca="true">IF(B77="Bull",IF(RAND()&lt;Assumptions!$B$7,"Bull","Bear"),IF(RAND()&lt;Assumptions!$B$10,"Bear","Bull"))</f>
        <v>Bear</v>
      </c>
      <c r="D77" s="0" t="str">
        <f aca="true">IF(C77="Bull",IF(RAND()&lt;Assumptions!$B$7,"Bull","Bear"),IF(RAND()&lt;Assumptions!$B$10,"Bear","Bull"))</f>
        <v>Bear</v>
      </c>
      <c r="E77" s="0" t="str">
        <f aca="true">IF(D77="Bull",IF(RAND()&lt;Assumptions!$B$7,"Bull","Bear"),IF(RAND()&lt;Assumptions!$B$10,"Bear","Bull"))</f>
        <v>Bear</v>
      </c>
      <c r="F77" s="0" t="str">
        <f aca="true">IF(E77="Bull",IF(RAND()&lt;Assumptions!$B$7,"Bull","Bear"),IF(RAND()&lt;Assumptions!$B$10,"Bear","Bull"))</f>
        <v>Bull</v>
      </c>
      <c r="G77" s="0" t="str">
        <f aca="true">IF(F77="Bull",IF(RAND()&lt;Assumptions!$B$7,"Bull","Bear"),IF(RAND()&lt;Assumptions!$B$10,"Bear","Bull"))</f>
        <v>Bull</v>
      </c>
      <c r="H77" s="8" t="n">
        <f aca="true">IF(B77="Bull",NORMINV(RAND(),Assumptions!$B$5,Assumptions!$B$6),NORMINV(RAND(),Assumptions!$B$8,Assumptions!$B$9))</f>
        <v>-0.218308729047303</v>
      </c>
      <c r="I77" s="8" t="n">
        <f aca="true">IF(C77="Bull",NORMINV(RAND(),Assumptions!$B$5,Assumptions!$B$6),NORMINV(RAND(),Assumptions!$B$8,Assumptions!$B$9))</f>
        <v>-0.38777844649457</v>
      </c>
      <c r="J77" s="8" t="n">
        <f aca="true">IF(D77="Bull",NORMINV(RAND(),Assumptions!$B$5,Assumptions!$B$6),NORMINV(RAND(),Assumptions!$B$8,Assumptions!$B$9))</f>
        <v>-0.26972941152282</v>
      </c>
      <c r="K77" s="8" t="n">
        <f aca="true">IF(E77="Bull",NORMINV(RAND(),Assumptions!$B$5,Assumptions!$B$6),NORMINV(RAND(),Assumptions!$B$8,Assumptions!$B$9))</f>
        <v>-0.217694449850616</v>
      </c>
      <c r="L77" s="8" t="n">
        <f aca="true">IF(F77="Bull",NORMINV(RAND(),Assumptions!$B$5,Assumptions!$B$6),NORMINV(RAND(),Assumptions!$B$8,Assumptions!$B$9))</f>
        <v>0.156710131487395</v>
      </c>
      <c r="M77" s="8" t="n">
        <f aca="true">IF(G77="Bull",NORMINV(RAND(),Assumptions!$B$5,Assumptions!$B$6),NORMINV(RAND(),Assumptions!$B$8,Assumptions!$B$9))</f>
        <v>0.247987674039</v>
      </c>
      <c r="N77" s="8" t="n">
        <f aca="true">NORMINV(RAND(),Assumptions!$B$14,Assumptions!$B$15)</f>
        <v>0.068457374282838</v>
      </c>
      <c r="O77" s="8" t="n">
        <f aca="true">NORMINV(RAND(),Assumptions!$B$14,Assumptions!$B$15)</f>
        <v>0.0313362988320793</v>
      </c>
      <c r="P77" s="8" t="n">
        <f aca="true">NORMINV(RAND(),Assumptions!$B$14,Assumptions!$B$15)</f>
        <v>0.00836012861740481</v>
      </c>
      <c r="Q77" s="8" t="n">
        <f aca="true">NORMINV(RAND(),Assumptions!$B$14,Assumptions!$B$15)</f>
        <v>0.0469584949535418</v>
      </c>
      <c r="R77" s="8" t="n">
        <f aca="true">NORMINV(RAND(),Assumptions!$B$14,Assumptions!$B$15)</f>
        <v>0.0441235396506252</v>
      </c>
      <c r="S77" s="8" t="n">
        <f aca="true">NORMINV(RAND(),Assumptions!$B$14,Assumptions!$B$15)</f>
        <v>0.0789625270297664</v>
      </c>
      <c r="T77" s="8" t="n">
        <f aca="false">Assumptions!$B$19*H77+(1-Assumptions!$B$19)*N77</f>
        <v>-0.218308729047303</v>
      </c>
      <c r="U77" s="8" t="n">
        <f aca="false">Assumptions!$B$20*I77+(1-Assumptions!$B$20)*O77</f>
        <v>-0.38777844649457</v>
      </c>
      <c r="V77" s="8" t="n">
        <f aca="false">Assumptions!$B$21*J77+(1-Assumptions!$B$21)*P77</f>
        <v>-0.26972941152282</v>
      </c>
      <c r="W77" s="8" t="n">
        <f aca="false">Assumptions!$B$22*K77+(1-Assumptions!$B$22)*Q77</f>
        <v>-0.217694449850616</v>
      </c>
      <c r="X77" s="8" t="n">
        <f aca="false">Assumptions!$B$23*L77+(1-Assumptions!$B$23)*R77</f>
        <v>0.134192813120041</v>
      </c>
      <c r="Y77" s="8" t="n">
        <f aca="false">Assumptions!$B$24*M77+(1-Assumptions!$B$24)*S77</f>
        <v>0.180377615235307</v>
      </c>
      <c r="Z77" s="6" t="n">
        <f aca="false">Assumptions!$B$27*(1+T77)</f>
        <v>234507.381285809</v>
      </c>
      <c r="AA77" s="6" t="n">
        <f aca="false">(Z77+Assumptions!$B$28)*(1+U77)</f>
        <v>235403.706305103</v>
      </c>
      <c r="AB77" s="6" t="n">
        <f aca="false">AA77*(1+V77)</f>
        <v>171908.403133137</v>
      </c>
      <c r="AC77" s="6" t="n">
        <f aca="false">AB77*(1+W77)</f>
        <v>134484.897888371</v>
      </c>
      <c r="AD77" s="6" t="n">
        <f aca="false">AC77*(1+X77)</f>
        <v>152531.804658172</v>
      </c>
      <c r="AE77" s="6" t="n">
        <f aca="false">AD77*(1+Y77)</f>
        <v>180045.127829951</v>
      </c>
      <c r="AF77" s="6" t="n">
        <f aca="false">Z77</f>
        <v>234507.381285809</v>
      </c>
      <c r="AG77" s="6" t="n">
        <f aca="false">MAX(AF77,AA77)</f>
        <v>235403.706305103</v>
      </c>
      <c r="AH77" s="6" t="n">
        <f aca="false">MAX(AG77,AB77)</f>
        <v>235403.706305103</v>
      </c>
      <c r="AI77" s="6" t="n">
        <f aca="false">MAX(AH77,AC77)</f>
        <v>235403.706305103</v>
      </c>
      <c r="AJ77" s="6" t="n">
        <f aca="false">MAX(AI77,AD77)</f>
        <v>235403.706305103</v>
      </c>
      <c r="AK77" s="6" t="n">
        <f aca="false">MAX(AJ77,AE77)</f>
        <v>235403.706305103</v>
      </c>
      <c r="AL77" s="8" t="n">
        <f aca="false">MIN(Z77/AF77-1,AA77/AG77-1,AB77/AH77-1,AC77/AI77-1,AD77/AJ77-1,AE77/AK77-1)</f>
        <v>-0.428705265523445</v>
      </c>
      <c r="AM77" s="6" t="n">
        <f aca="false">AE77-Assumptions!$B$35</f>
        <v>-261218.868832552</v>
      </c>
    </row>
    <row r="78" customFormat="false" ht="15" hidden="false" customHeight="false" outlineLevel="0" collapsed="false">
      <c r="A78" s="0" t="n">
        <f aca="false">ROW()-1</f>
        <v>77</v>
      </c>
      <c r="B78" s="0" t="str">
        <f aca="true">IF(RAND()&lt;Assumptions!$B$11,"Bull","Bear")</f>
        <v>Bull</v>
      </c>
      <c r="C78" s="0" t="str">
        <f aca="true">IF(B78="Bull",IF(RAND()&lt;Assumptions!$B$7,"Bull","Bear"),IF(RAND()&lt;Assumptions!$B$10,"Bear","Bull"))</f>
        <v>Bull</v>
      </c>
      <c r="D78" s="0" t="str">
        <f aca="true">IF(C78="Bull",IF(RAND()&lt;Assumptions!$B$7,"Bull","Bear"),IF(RAND()&lt;Assumptions!$B$10,"Bear","Bull"))</f>
        <v>Bear</v>
      </c>
      <c r="E78" s="0" t="str">
        <f aca="true">IF(D78="Bull",IF(RAND()&lt;Assumptions!$B$7,"Bull","Bear"),IF(RAND()&lt;Assumptions!$B$10,"Bear","Bull"))</f>
        <v>Bear</v>
      </c>
      <c r="F78" s="0" t="str">
        <f aca="true">IF(E78="Bull",IF(RAND()&lt;Assumptions!$B$7,"Bull","Bear"),IF(RAND()&lt;Assumptions!$B$10,"Bear","Bull"))</f>
        <v>Bear</v>
      </c>
      <c r="G78" s="0" t="str">
        <f aca="true">IF(F78="Bull",IF(RAND()&lt;Assumptions!$B$7,"Bull","Bear"),IF(RAND()&lt;Assumptions!$B$10,"Bear","Bull"))</f>
        <v>Bear</v>
      </c>
      <c r="H78" s="8" t="n">
        <f aca="true">IF(B78="Bull",NORMINV(RAND(),Assumptions!$B$5,Assumptions!$B$6),NORMINV(RAND(),Assumptions!$B$8,Assumptions!$B$9))</f>
        <v>0.280293998472142</v>
      </c>
      <c r="I78" s="8" t="n">
        <f aca="true">IF(C78="Bull",NORMINV(RAND(),Assumptions!$B$5,Assumptions!$B$6),NORMINV(RAND(),Assumptions!$B$8,Assumptions!$B$9))</f>
        <v>0.294694862700845</v>
      </c>
      <c r="J78" s="8" t="n">
        <f aca="true">IF(D78="Bull",NORMINV(RAND(),Assumptions!$B$5,Assumptions!$B$6),NORMINV(RAND(),Assumptions!$B$8,Assumptions!$B$9))</f>
        <v>-0.0769105817018771</v>
      </c>
      <c r="K78" s="8" t="n">
        <f aca="true">IF(E78="Bull",NORMINV(RAND(),Assumptions!$B$5,Assumptions!$B$6),NORMINV(RAND(),Assumptions!$B$8,Assumptions!$B$9))</f>
        <v>-0.276335628675943</v>
      </c>
      <c r="L78" s="8" t="n">
        <f aca="true">IF(F78="Bull",NORMINV(RAND(),Assumptions!$B$5,Assumptions!$B$6),NORMINV(RAND(),Assumptions!$B$8,Assumptions!$B$9))</f>
        <v>-0.0775390395679707</v>
      </c>
      <c r="M78" s="8" t="n">
        <f aca="true">IF(G78="Bull",NORMINV(RAND(),Assumptions!$B$5,Assumptions!$B$6),NORMINV(RAND(),Assumptions!$B$8,Assumptions!$B$9))</f>
        <v>-0.000751204186095797</v>
      </c>
      <c r="N78" s="8" t="n">
        <f aca="true">NORMINV(RAND(),Assumptions!$B$14,Assumptions!$B$15)</f>
        <v>0.0835259731031671</v>
      </c>
      <c r="O78" s="8" t="n">
        <f aca="true">NORMINV(RAND(),Assumptions!$B$14,Assumptions!$B$15)</f>
        <v>0.0306691247917693</v>
      </c>
      <c r="P78" s="8" t="n">
        <f aca="true">NORMINV(RAND(),Assumptions!$B$14,Assumptions!$B$15)</f>
        <v>0.0210877120011067</v>
      </c>
      <c r="Q78" s="8" t="n">
        <f aca="true">NORMINV(RAND(),Assumptions!$B$14,Assumptions!$B$15)</f>
        <v>-0.00621534908192636</v>
      </c>
      <c r="R78" s="8" t="n">
        <f aca="true">NORMINV(RAND(),Assumptions!$B$14,Assumptions!$B$15)</f>
        <v>0.052461124175418</v>
      </c>
      <c r="S78" s="8" t="n">
        <f aca="true">NORMINV(RAND(),Assumptions!$B$14,Assumptions!$B$15)</f>
        <v>0.0719769638076111</v>
      </c>
      <c r="T78" s="8" t="n">
        <f aca="false">Assumptions!$B$19*H78+(1-Assumptions!$B$19)*N78</f>
        <v>0.280293998472142</v>
      </c>
      <c r="U78" s="8" t="n">
        <f aca="false">Assumptions!$B$20*I78+(1-Assumptions!$B$20)*O78</f>
        <v>0.294694862700845</v>
      </c>
      <c r="V78" s="8" t="n">
        <f aca="false">Assumptions!$B$21*J78+(1-Assumptions!$B$21)*P78</f>
        <v>-0.0769105817018771</v>
      </c>
      <c r="W78" s="8" t="n">
        <f aca="false">Assumptions!$B$22*K78+(1-Assumptions!$B$22)*Q78</f>
        <v>-0.276335628675943</v>
      </c>
      <c r="X78" s="8" t="n">
        <f aca="false">Assumptions!$B$23*L78+(1-Assumptions!$B$23)*R78</f>
        <v>-0.051539006819293</v>
      </c>
      <c r="Y78" s="8" t="n">
        <f aca="false">Assumptions!$B$24*M78+(1-Assumptions!$B$24)*S78</f>
        <v>0.028340063011387</v>
      </c>
      <c r="Z78" s="6" t="n">
        <f aca="false">Assumptions!$B$27*(1+T78)</f>
        <v>384088.199541643</v>
      </c>
      <c r="AA78" s="6" t="n">
        <f aca="false">(Z78+Assumptions!$B$28)*(1+U78)</f>
        <v>691481.248175709</v>
      </c>
      <c r="AB78" s="6" t="n">
        <f aca="false">AA78*(1+V78)</f>
        <v>638299.023142575</v>
      </c>
      <c r="AC78" s="6" t="n">
        <f aca="false">AB78*(1+W78)</f>
        <v>461914.261299231</v>
      </c>
      <c r="AD78" s="6" t="n">
        <f aca="false">AC78*(1+X78)</f>
        <v>438107.659036202</v>
      </c>
      <c r="AE78" s="6" t="n">
        <f aca="false">AD78*(1+Y78)</f>
        <v>450523.657699059</v>
      </c>
      <c r="AF78" s="6" t="n">
        <f aca="false">Z78</f>
        <v>384088.199541643</v>
      </c>
      <c r="AG78" s="6" t="n">
        <f aca="false">MAX(AF78,AA78)</f>
        <v>691481.248175709</v>
      </c>
      <c r="AH78" s="6" t="n">
        <f aca="false">MAX(AG78,AB78)</f>
        <v>691481.248175709</v>
      </c>
      <c r="AI78" s="6" t="n">
        <f aca="false">MAX(AH78,AC78)</f>
        <v>691481.248175709</v>
      </c>
      <c r="AJ78" s="6" t="n">
        <f aca="false">MAX(AI78,AD78)</f>
        <v>691481.248175709</v>
      </c>
      <c r="AK78" s="6" t="n">
        <f aca="false">MAX(AJ78,AE78)</f>
        <v>691481.248175709</v>
      </c>
      <c r="AL78" s="8" t="n">
        <f aca="false">MIN(Z78/AF78-1,AA78/AG78-1,AB78/AH78-1,AC78/AI78-1,AD78/AJ78-1,AE78/AK78-1)</f>
        <v>-0.366421489820537</v>
      </c>
      <c r="AM78" s="6" t="n">
        <f aca="false">AE78-Assumptions!$B$35</f>
        <v>9259.66103655519</v>
      </c>
    </row>
    <row r="79" customFormat="false" ht="15" hidden="false" customHeight="false" outlineLevel="0" collapsed="false">
      <c r="A79" s="0" t="n">
        <f aca="false">ROW()-1</f>
        <v>78</v>
      </c>
      <c r="B79" s="0" t="str">
        <f aca="true">IF(RAND()&lt;Assumptions!$B$11,"Bull","Bear")</f>
        <v>Bull</v>
      </c>
      <c r="C79" s="0" t="str">
        <f aca="true">IF(B79="Bull",IF(RAND()&lt;Assumptions!$B$7,"Bull","Bear"),IF(RAND()&lt;Assumptions!$B$10,"Bear","Bull"))</f>
        <v>Bear</v>
      </c>
      <c r="D79" s="0" t="str">
        <f aca="true">IF(C79="Bull",IF(RAND()&lt;Assumptions!$B$7,"Bull","Bear"),IF(RAND()&lt;Assumptions!$B$10,"Bear","Bull"))</f>
        <v>Bear</v>
      </c>
      <c r="E79" s="0" t="str">
        <f aca="true">IF(D79="Bull",IF(RAND()&lt;Assumptions!$B$7,"Bull","Bear"),IF(RAND()&lt;Assumptions!$B$10,"Bear","Bull"))</f>
        <v>Bear</v>
      </c>
      <c r="F79" s="0" t="str">
        <f aca="true">IF(E79="Bull",IF(RAND()&lt;Assumptions!$B$7,"Bull","Bear"),IF(RAND()&lt;Assumptions!$B$10,"Bear","Bull"))</f>
        <v>Bear</v>
      </c>
      <c r="G79" s="0" t="str">
        <f aca="true">IF(F79="Bull",IF(RAND()&lt;Assumptions!$B$7,"Bull","Bear"),IF(RAND()&lt;Assumptions!$B$10,"Bear","Bull"))</f>
        <v>Bull</v>
      </c>
      <c r="H79" s="8" t="n">
        <f aca="true">IF(B79="Bull",NORMINV(RAND(),Assumptions!$B$5,Assumptions!$B$6),NORMINV(RAND(),Assumptions!$B$8,Assumptions!$B$9))</f>
        <v>0.225496748729189</v>
      </c>
      <c r="I79" s="8" t="n">
        <f aca="true">IF(C79="Bull",NORMINV(RAND(),Assumptions!$B$5,Assumptions!$B$6),NORMINV(RAND(),Assumptions!$B$8,Assumptions!$B$9))</f>
        <v>-0.0432145397892138</v>
      </c>
      <c r="J79" s="8" t="n">
        <f aca="true">IF(D79="Bull",NORMINV(RAND(),Assumptions!$B$5,Assumptions!$B$6),NORMINV(RAND(),Assumptions!$B$8,Assumptions!$B$9))</f>
        <v>-0.136357650037218</v>
      </c>
      <c r="K79" s="8" t="n">
        <f aca="true">IF(E79="Bull",NORMINV(RAND(),Assumptions!$B$5,Assumptions!$B$6),NORMINV(RAND(),Assumptions!$B$8,Assumptions!$B$9))</f>
        <v>-0.438731182155621</v>
      </c>
      <c r="L79" s="8" t="n">
        <f aca="true">IF(F79="Bull",NORMINV(RAND(),Assumptions!$B$5,Assumptions!$B$6),NORMINV(RAND(),Assumptions!$B$8,Assumptions!$B$9))</f>
        <v>-0.223654187691377</v>
      </c>
      <c r="M79" s="8" t="n">
        <f aca="true">IF(G79="Bull",NORMINV(RAND(),Assumptions!$B$5,Assumptions!$B$6),NORMINV(RAND(),Assumptions!$B$8,Assumptions!$B$9))</f>
        <v>0.0983548297002087</v>
      </c>
      <c r="N79" s="8" t="n">
        <f aca="true">NORMINV(RAND(),Assumptions!$B$14,Assumptions!$B$15)</f>
        <v>0.0595216221708915</v>
      </c>
      <c r="O79" s="8" t="n">
        <f aca="true">NORMINV(RAND(),Assumptions!$B$14,Assumptions!$B$15)</f>
        <v>0.0379908383742158</v>
      </c>
      <c r="P79" s="8" t="n">
        <f aca="true">NORMINV(RAND(),Assumptions!$B$14,Assumptions!$B$15)</f>
        <v>-0.010970360405032</v>
      </c>
      <c r="Q79" s="8" t="n">
        <f aca="true">NORMINV(RAND(),Assumptions!$B$14,Assumptions!$B$15)</f>
        <v>0.0724290856725364</v>
      </c>
      <c r="R79" s="8" t="n">
        <f aca="true">NORMINV(RAND(),Assumptions!$B$14,Assumptions!$B$15)</f>
        <v>0.0975332003030175</v>
      </c>
      <c r="S79" s="8" t="n">
        <f aca="true">NORMINV(RAND(),Assumptions!$B$14,Assumptions!$B$15)</f>
        <v>0.0583490949550598</v>
      </c>
      <c r="T79" s="8" t="n">
        <f aca="false">Assumptions!$B$19*H79+(1-Assumptions!$B$19)*N79</f>
        <v>0.225496748729189</v>
      </c>
      <c r="U79" s="8" t="n">
        <f aca="false">Assumptions!$B$20*I79+(1-Assumptions!$B$20)*O79</f>
        <v>-0.0432145397892138</v>
      </c>
      <c r="V79" s="8" t="n">
        <f aca="false">Assumptions!$B$21*J79+(1-Assumptions!$B$21)*P79</f>
        <v>-0.136357650037218</v>
      </c>
      <c r="W79" s="8" t="n">
        <f aca="false">Assumptions!$B$22*K79+(1-Assumptions!$B$22)*Q79</f>
        <v>-0.438731182155621</v>
      </c>
      <c r="X79" s="8" t="n">
        <f aca="false">Assumptions!$B$23*L79+(1-Assumptions!$B$23)*R79</f>
        <v>-0.159416710092498</v>
      </c>
      <c r="Y79" s="8" t="n">
        <f aca="false">Assumptions!$B$24*M79+(1-Assumptions!$B$24)*S79</f>
        <v>0.0823525358021491</v>
      </c>
      <c r="Z79" s="6" t="n">
        <f aca="false">Assumptions!$B$27*(1+T79)</f>
        <v>367649.024618757</v>
      </c>
      <c r="AA79" s="6" t="n">
        <f aca="false">(Z79+Assumptions!$B$28)*(1+U79)</f>
        <v>495279.060247522</v>
      </c>
      <c r="AB79" s="6" t="n">
        <f aca="false">AA79*(1+V79)</f>
        <v>427743.971479528</v>
      </c>
      <c r="AC79" s="6" t="n">
        <f aca="false">AB79*(1+W79)</f>
        <v>240079.353212375</v>
      </c>
      <c r="AD79" s="6" t="n">
        <f aca="false">AC79*(1+X79)</f>
        <v>201806.692562123</v>
      </c>
      <c r="AE79" s="6" t="n">
        <f aca="false">AD79*(1+Y79)</f>
        <v>218425.985436459</v>
      </c>
      <c r="AF79" s="6" t="n">
        <f aca="false">Z79</f>
        <v>367649.024618757</v>
      </c>
      <c r="AG79" s="6" t="n">
        <f aca="false">MAX(AF79,AA79)</f>
        <v>495279.060247522</v>
      </c>
      <c r="AH79" s="6" t="n">
        <f aca="false">MAX(AG79,AB79)</f>
        <v>495279.060247522</v>
      </c>
      <c r="AI79" s="6" t="n">
        <f aca="false">MAX(AH79,AC79)</f>
        <v>495279.060247522</v>
      </c>
      <c r="AJ79" s="6" t="n">
        <f aca="false">MAX(AI79,AD79)</f>
        <v>495279.060247522</v>
      </c>
      <c r="AK79" s="6" t="n">
        <f aca="false">MAX(AJ79,AE79)</f>
        <v>495279.060247522</v>
      </c>
      <c r="AL79" s="8" t="n">
        <f aca="false">MIN(Z79/AF79-1,AA79/AG79-1,AB79/AH79-1,AC79/AI79-1,AD79/AJ79-1,AE79/AK79-1)</f>
        <v>-0.592539421187587</v>
      </c>
      <c r="AM79" s="6" t="n">
        <f aca="false">AE79-Assumptions!$B$35</f>
        <v>-222838.011226045</v>
      </c>
    </row>
    <row r="80" customFormat="false" ht="15" hidden="false" customHeight="false" outlineLevel="0" collapsed="false">
      <c r="A80" s="0" t="n">
        <f aca="false">ROW()-1</f>
        <v>79</v>
      </c>
      <c r="B80" s="0" t="str">
        <f aca="true">IF(RAND()&lt;Assumptions!$B$11,"Bull","Bear")</f>
        <v>Bear</v>
      </c>
      <c r="C80" s="0" t="str">
        <f aca="true">IF(B80="Bull",IF(RAND()&lt;Assumptions!$B$7,"Bull","Bear"),IF(RAND()&lt;Assumptions!$B$10,"Bear","Bull"))</f>
        <v>Bull</v>
      </c>
      <c r="D80" s="0" t="str">
        <f aca="true">IF(C80="Bull",IF(RAND()&lt;Assumptions!$B$7,"Bull","Bear"),IF(RAND()&lt;Assumptions!$B$10,"Bear","Bull"))</f>
        <v>Bear</v>
      </c>
      <c r="E80" s="0" t="str">
        <f aca="true">IF(D80="Bull",IF(RAND()&lt;Assumptions!$B$7,"Bull","Bear"),IF(RAND()&lt;Assumptions!$B$10,"Bear","Bull"))</f>
        <v>Bear</v>
      </c>
      <c r="F80" s="0" t="str">
        <f aca="true">IF(E80="Bull",IF(RAND()&lt;Assumptions!$B$7,"Bull","Bear"),IF(RAND()&lt;Assumptions!$B$10,"Bear","Bull"))</f>
        <v>Bull</v>
      </c>
      <c r="G80" s="0" t="str">
        <f aca="true">IF(F80="Bull",IF(RAND()&lt;Assumptions!$B$7,"Bull","Bear"),IF(RAND()&lt;Assumptions!$B$10,"Bear","Bull"))</f>
        <v>Bear</v>
      </c>
      <c r="H80" s="8" t="n">
        <f aca="true">IF(B80="Bull",NORMINV(RAND(),Assumptions!$B$5,Assumptions!$B$6),NORMINV(RAND(),Assumptions!$B$8,Assumptions!$B$9))</f>
        <v>0.0899572533902023</v>
      </c>
      <c r="I80" s="8" t="n">
        <f aca="true">IF(C80="Bull",NORMINV(RAND(),Assumptions!$B$5,Assumptions!$B$6),NORMINV(RAND(),Assumptions!$B$8,Assumptions!$B$9))</f>
        <v>0.133119658293111</v>
      </c>
      <c r="J80" s="8" t="n">
        <f aca="true">IF(D80="Bull",NORMINV(RAND(),Assumptions!$B$5,Assumptions!$B$6),NORMINV(RAND(),Assumptions!$B$8,Assumptions!$B$9))</f>
        <v>-0.27239995346193</v>
      </c>
      <c r="K80" s="8" t="n">
        <f aca="true">IF(E80="Bull",NORMINV(RAND(),Assumptions!$B$5,Assumptions!$B$6),NORMINV(RAND(),Assumptions!$B$8,Assumptions!$B$9))</f>
        <v>-0.294441180030014</v>
      </c>
      <c r="L80" s="8" t="n">
        <f aca="true">IF(F80="Bull",NORMINV(RAND(),Assumptions!$B$5,Assumptions!$B$6),NORMINV(RAND(),Assumptions!$B$8,Assumptions!$B$9))</f>
        <v>0.139427546222025</v>
      </c>
      <c r="M80" s="8" t="n">
        <f aca="true">IF(G80="Bull",NORMINV(RAND(),Assumptions!$B$5,Assumptions!$B$6),NORMINV(RAND(),Assumptions!$B$8,Assumptions!$B$9))</f>
        <v>-0.0740205585318387</v>
      </c>
      <c r="N80" s="8" t="n">
        <f aca="true">NORMINV(RAND(),Assumptions!$B$14,Assumptions!$B$15)</f>
        <v>0.0638372068253007</v>
      </c>
      <c r="O80" s="8" t="n">
        <f aca="true">NORMINV(RAND(),Assumptions!$B$14,Assumptions!$B$15)</f>
        <v>0.0494799377807418</v>
      </c>
      <c r="P80" s="8" t="n">
        <f aca="true">NORMINV(RAND(),Assumptions!$B$14,Assumptions!$B$15)</f>
        <v>0.114823325975971</v>
      </c>
      <c r="Q80" s="8" t="n">
        <f aca="true">NORMINV(RAND(),Assumptions!$B$14,Assumptions!$B$15)</f>
        <v>0.07876165350265</v>
      </c>
      <c r="R80" s="8" t="n">
        <f aca="true">NORMINV(RAND(),Assumptions!$B$14,Assumptions!$B$15)</f>
        <v>0.065829923609143</v>
      </c>
      <c r="S80" s="8" t="n">
        <f aca="true">NORMINV(RAND(),Assumptions!$B$14,Assumptions!$B$15)</f>
        <v>0.012688539373313</v>
      </c>
      <c r="T80" s="8" t="n">
        <f aca="false">Assumptions!$B$19*H80+(1-Assumptions!$B$19)*N80</f>
        <v>0.0899572533902023</v>
      </c>
      <c r="U80" s="8" t="n">
        <f aca="false">Assumptions!$B$20*I80+(1-Assumptions!$B$20)*O80</f>
        <v>0.133119658293111</v>
      </c>
      <c r="V80" s="8" t="n">
        <f aca="false">Assumptions!$B$21*J80+(1-Assumptions!$B$21)*P80</f>
        <v>-0.27239995346193</v>
      </c>
      <c r="W80" s="8" t="n">
        <f aca="false">Assumptions!$B$22*K80+(1-Assumptions!$B$22)*Q80</f>
        <v>-0.294441180030014</v>
      </c>
      <c r="X80" s="8" t="n">
        <f aca="false">Assumptions!$B$23*L80+(1-Assumptions!$B$23)*R80</f>
        <v>0.124708021699449</v>
      </c>
      <c r="Y80" s="8" t="n">
        <f aca="false">Assumptions!$B$24*M80+(1-Assumptions!$B$24)*S80</f>
        <v>-0.0393369193697781</v>
      </c>
      <c r="Z80" s="6" t="n">
        <f aca="false">Assumptions!$B$27*(1+T80)</f>
        <v>326987.176017061</v>
      </c>
      <c r="AA80" s="6" t="n">
        <f aca="false">(Z80+Assumptions!$B$28)*(1+U80)</f>
        <v>540483.545898648</v>
      </c>
      <c r="AB80" s="6" t="n">
        <f aca="false">AA80*(1+V80)</f>
        <v>393255.853148917</v>
      </c>
      <c r="AC80" s="6" t="n">
        <f aca="false">AB80*(1+W80)</f>
        <v>277465.13569404</v>
      </c>
      <c r="AD80" s="6" t="n">
        <f aca="false">AC80*(1+X80)</f>
        <v>312067.263857013</v>
      </c>
      <c r="AE80" s="6" t="n">
        <f aca="false">AD80*(1+Y80)</f>
        <v>299791.499060723</v>
      </c>
      <c r="AF80" s="6" t="n">
        <f aca="false">Z80</f>
        <v>326987.176017061</v>
      </c>
      <c r="AG80" s="6" t="n">
        <f aca="false">MAX(AF80,AA80)</f>
        <v>540483.545898648</v>
      </c>
      <c r="AH80" s="6" t="n">
        <f aca="false">MAX(AG80,AB80)</f>
        <v>540483.545898648</v>
      </c>
      <c r="AI80" s="6" t="n">
        <f aca="false">MAX(AH80,AC80)</f>
        <v>540483.545898648</v>
      </c>
      <c r="AJ80" s="6" t="n">
        <f aca="false">MAX(AI80,AD80)</f>
        <v>540483.545898648</v>
      </c>
      <c r="AK80" s="6" t="n">
        <f aca="false">MAX(AJ80,AE80)</f>
        <v>540483.545898648</v>
      </c>
      <c r="AL80" s="8" t="n">
        <f aca="false">MIN(Z80/AF80-1,AA80/AG80-1,AB80/AH80-1,AC80/AI80-1,AD80/AJ80-1,AE80/AK80-1)</f>
        <v>-0.486635369754492</v>
      </c>
      <c r="AM80" s="6" t="n">
        <f aca="false">AE80-Assumptions!$B$35</f>
        <v>-141472.497601781</v>
      </c>
    </row>
    <row r="81" customFormat="false" ht="15" hidden="false" customHeight="false" outlineLevel="0" collapsed="false">
      <c r="A81" s="0" t="n">
        <f aca="false">ROW()-1</f>
        <v>80</v>
      </c>
      <c r="B81" s="0" t="str">
        <f aca="true">IF(RAND()&lt;Assumptions!$B$11,"Bull","Bear")</f>
        <v>Bull</v>
      </c>
      <c r="C81" s="0" t="str">
        <f aca="true">IF(B81="Bull",IF(RAND()&lt;Assumptions!$B$7,"Bull","Bear"),IF(RAND()&lt;Assumptions!$B$10,"Bear","Bull"))</f>
        <v>Bear</v>
      </c>
      <c r="D81" s="0" t="str">
        <f aca="true">IF(C81="Bull",IF(RAND()&lt;Assumptions!$B$7,"Bull","Bear"),IF(RAND()&lt;Assumptions!$B$10,"Bear","Bull"))</f>
        <v>Bull</v>
      </c>
      <c r="E81" s="0" t="str">
        <f aca="true">IF(D81="Bull",IF(RAND()&lt;Assumptions!$B$7,"Bull","Bear"),IF(RAND()&lt;Assumptions!$B$10,"Bear","Bull"))</f>
        <v>Bull</v>
      </c>
      <c r="F81" s="0" t="str">
        <f aca="true">IF(E81="Bull",IF(RAND()&lt;Assumptions!$B$7,"Bull","Bear"),IF(RAND()&lt;Assumptions!$B$10,"Bear","Bull"))</f>
        <v>Bull</v>
      </c>
      <c r="G81" s="0" t="str">
        <f aca="true">IF(F81="Bull",IF(RAND()&lt;Assumptions!$B$7,"Bull","Bear"),IF(RAND()&lt;Assumptions!$B$10,"Bear","Bull"))</f>
        <v>Bull</v>
      </c>
      <c r="H81" s="8" t="n">
        <f aca="true">IF(B81="Bull",NORMINV(RAND(),Assumptions!$B$5,Assumptions!$B$6),NORMINV(RAND(),Assumptions!$B$8,Assumptions!$B$9))</f>
        <v>0.134521600635926</v>
      </c>
      <c r="I81" s="8" t="n">
        <f aca="true">IF(C81="Bull",NORMINV(RAND(),Assumptions!$B$5,Assumptions!$B$6),NORMINV(RAND(),Assumptions!$B$8,Assumptions!$B$9))</f>
        <v>-0.300705270776631</v>
      </c>
      <c r="J81" s="8" t="n">
        <f aca="true">IF(D81="Bull",NORMINV(RAND(),Assumptions!$B$5,Assumptions!$B$6),NORMINV(RAND(),Assumptions!$B$8,Assumptions!$B$9))</f>
        <v>0.115091053294748</v>
      </c>
      <c r="K81" s="8" t="n">
        <f aca="true">IF(E81="Bull",NORMINV(RAND(),Assumptions!$B$5,Assumptions!$B$6),NORMINV(RAND(),Assumptions!$B$8,Assumptions!$B$9))</f>
        <v>0.134824470392038</v>
      </c>
      <c r="L81" s="8" t="n">
        <f aca="true">IF(F81="Bull",NORMINV(RAND(),Assumptions!$B$5,Assumptions!$B$6),NORMINV(RAND(),Assumptions!$B$8,Assumptions!$B$9))</f>
        <v>0.141687742546253</v>
      </c>
      <c r="M81" s="8" t="n">
        <f aca="true">IF(G81="Bull",NORMINV(RAND(),Assumptions!$B$5,Assumptions!$B$6),NORMINV(RAND(),Assumptions!$B$8,Assumptions!$B$9))</f>
        <v>-0.0159852570565151</v>
      </c>
      <c r="N81" s="8" t="n">
        <f aca="true">NORMINV(RAND(),Assumptions!$B$14,Assumptions!$B$15)</f>
        <v>0.0107973974541431</v>
      </c>
      <c r="O81" s="8" t="n">
        <f aca="true">NORMINV(RAND(),Assumptions!$B$14,Assumptions!$B$15)</f>
        <v>0.0492173519245079</v>
      </c>
      <c r="P81" s="8" t="n">
        <f aca="true">NORMINV(RAND(),Assumptions!$B$14,Assumptions!$B$15)</f>
        <v>0.0493081071173586</v>
      </c>
      <c r="Q81" s="8" t="n">
        <f aca="true">NORMINV(RAND(),Assumptions!$B$14,Assumptions!$B$15)</f>
        <v>0.0926569107699049</v>
      </c>
      <c r="R81" s="8" t="n">
        <f aca="true">NORMINV(RAND(),Assumptions!$B$14,Assumptions!$B$15)</f>
        <v>0.0304112983438971</v>
      </c>
      <c r="S81" s="8" t="n">
        <f aca="true">NORMINV(RAND(),Assumptions!$B$14,Assumptions!$B$15)</f>
        <v>0.0990463275409777</v>
      </c>
      <c r="T81" s="8" t="n">
        <f aca="false">Assumptions!$B$19*H81+(1-Assumptions!$B$19)*N81</f>
        <v>0.134521600635926</v>
      </c>
      <c r="U81" s="8" t="n">
        <f aca="false">Assumptions!$B$20*I81+(1-Assumptions!$B$20)*O81</f>
        <v>-0.300705270776631</v>
      </c>
      <c r="V81" s="8" t="n">
        <f aca="false">Assumptions!$B$21*J81+(1-Assumptions!$B$21)*P81</f>
        <v>0.115091053294748</v>
      </c>
      <c r="W81" s="8" t="n">
        <f aca="false">Assumptions!$B$22*K81+(1-Assumptions!$B$22)*Q81</f>
        <v>0.134824470392038</v>
      </c>
      <c r="X81" s="8" t="n">
        <f aca="false">Assumptions!$B$23*L81+(1-Assumptions!$B$23)*R81</f>
        <v>0.119432453705782</v>
      </c>
      <c r="Y81" s="8" t="n">
        <f aca="false">Assumptions!$B$24*M81+(1-Assumptions!$B$24)*S81</f>
        <v>0.030027376782482</v>
      </c>
      <c r="Z81" s="6" t="n">
        <f aca="false">Assumptions!$B$27*(1+T81)</f>
        <v>340356.480190778</v>
      </c>
      <c r="AA81" s="6" t="n">
        <f aca="false">(Z81+Assumptions!$B$28)*(1+U81)</f>
        <v>342903.702037934</v>
      </c>
      <c r="AB81" s="6" t="n">
        <f aca="false">AA81*(1+V81)</f>
        <v>382368.850284148</v>
      </c>
      <c r="AC81" s="6" t="n">
        <f aca="false">AB81*(1+W81)</f>
        <v>433921.528018121</v>
      </c>
      <c r="AD81" s="6" t="n">
        <f aca="false">AC81*(1+X81)</f>
        <v>485745.840825088</v>
      </c>
      <c r="AE81" s="6" t="n">
        <f aca="false">AD81*(1+Y81)</f>
        <v>500331.514208066</v>
      </c>
      <c r="AF81" s="6" t="n">
        <f aca="false">Z81</f>
        <v>340356.480190778</v>
      </c>
      <c r="AG81" s="6" t="n">
        <f aca="false">MAX(AF81,AA81)</f>
        <v>342903.702037934</v>
      </c>
      <c r="AH81" s="6" t="n">
        <f aca="false">MAX(AG81,AB81)</f>
        <v>382368.850284148</v>
      </c>
      <c r="AI81" s="6" t="n">
        <f aca="false">MAX(AH81,AC81)</f>
        <v>433921.528018121</v>
      </c>
      <c r="AJ81" s="6" t="n">
        <f aca="false">MAX(AI81,AD81)</f>
        <v>485745.840825088</v>
      </c>
      <c r="AK81" s="6" t="n">
        <f aca="false">MAX(AJ81,AE81)</f>
        <v>500331.514208066</v>
      </c>
      <c r="AL81" s="8" t="n">
        <f aca="false">MIN(Z81/AF81-1,AA81/AG81-1,AB81/AH81-1,AC81/AI81-1,AD81/AJ81-1,AE81/AK81-1)</f>
        <v>0</v>
      </c>
      <c r="AM81" s="6" t="n">
        <f aca="false">AE81-Assumptions!$B$35</f>
        <v>59067.5175455624</v>
      </c>
    </row>
    <row r="82" customFormat="false" ht="15" hidden="false" customHeight="false" outlineLevel="0" collapsed="false">
      <c r="A82" s="0" t="n">
        <f aca="false">ROW()-1</f>
        <v>81</v>
      </c>
      <c r="B82" s="0" t="str">
        <f aca="true">IF(RAND()&lt;Assumptions!$B$11,"Bull","Bear")</f>
        <v>Bear</v>
      </c>
      <c r="C82" s="0" t="str">
        <f aca="true">IF(B82="Bull",IF(RAND()&lt;Assumptions!$B$7,"Bull","Bear"),IF(RAND()&lt;Assumptions!$B$10,"Bear","Bull"))</f>
        <v>Bear</v>
      </c>
      <c r="D82" s="0" t="str">
        <f aca="true">IF(C82="Bull",IF(RAND()&lt;Assumptions!$B$7,"Bull","Bear"),IF(RAND()&lt;Assumptions!$B$10,"Bear","Bull"))</f>
        <v>Bear</v>
      </c>
      <c r="E82" s="0" t="str">
        <f aca="true">IF(D82="Bull",IF(RAND()&lt;Assumptions!$B$7,"Bull","Bear"),IF(RAND()&lt;Assumptions!$B$10,"Bear","Bull"))</f>
        <v>Bear</v>
      </c>
      <c r="F82" s="0" t="str">
        <f aca="true">IF(E82="Bull",IF(RAND()&lt;Assumptions!$B$7,"Bull","Bear"),IF(RAND()&lt;Assumptions!$B$10,"Bear","Bull"))</f>
        <v>Bull</v>
      </c>
      <c r="G82" s="0" t="str">
        <f aca="true">IF(F82="Bull",IF(RAND()&lt;Assumptions!$B$7,"Bull","Bear"),IF(RAND()&lt;Assumptions!$B$10,"Bear","Bull"))</f>
        <v>Bull</v>
      </c>
      <c r="H82" s="8" t="n">
        <f aca="true">IF(B82="Bull",NORMINV(RAND(),Assumptions!$B$5,Assumptions!$B$6),NORMINV(RAND(),Assumptions!$B$8,Assumptions!$B$9))</f>
        <v>0.0553879630249075</v>
      </c>
      <c r="I82" s="8" t="n">
        <f aca="true">IF(C82="Bull",NORMINV(RAND(),Assumptions!$B$5,Assumptions!$B$6),NORMINV(RAND(),Assumptions!$B$8,Assumptions!$B$9))</f>
        <v>0.380589510429916</v>
      </c>
      <c r="J82" s="8" t="n">
        <f aca="true">IF(D82="Bull",NORMINV(RAND(),Assumptions!$B$5,Assumptions!$B$6),NORMINV(RAND(),Assumptions!$B$8,Assumptions!$B$9))</f>
        <v>-0.745090394402089</v>
      </c>
      <c r="K82" s="8" t="n">
        <f aca="true">IF(E82="Bull",NORMINV(RAND(),Assumptions!$B$5,Assumptions!$B$6),NORMINV(RAND(),Assumptions!$B$8,Assumptions!$B$9))</f>
        <v>0.0232122961879387</v>
      </c>
      <c r="L82" s="8" t="n">
        <f aca="true">IF(F82="Bull",NORMINV(RAND(),Assumptions!$B$5,Assumptions!$B$6),NORMINV(RAND(),Assumptions!$B$8,Assumptions!$B$9))</f>
        <v>0.0797266149179253</v>
      </c>
      <c r="M82" s="8" t="n">
        <f aca="true">IF(G82="Bull",NORMINV(RAND(),Assumptions!$B$5,Assumptions!$B$6),NORMINV(RAND(),Assumptions!$B$8,Assumptions!$B$9))</f>
        <v>0.259132223858162</v>
      </c>
      <c r="N82" s="8" t="n">
        <f aca="true">NORMINV(RAND(),Assumptions!$B$14,Assumptions!$B$15)</f>
        <v>0.0641355720592794</v>
      </c>
      <c r="O82" s="8" t="n">
        <f aca="true">NORMINV(RAND(),Assumptions!$B$14,Assumptions!$B$15)</f>
        <v>0.0630412287574744</v>
      </c>
      <c r="P82" s="8" t="n">
        <f aca="true">NORMINV(RAND(),Assumptions!$B$14,Assumptions!$B$15)</f>
        <v>0.0282558685434228</v>
      </c>
      <c r="Q82" s="8" t="n">
        <f aca="true">NORMINV(RAND(),Assumptions!$B$14,Assumptions!$B$15)</f>
        <v>0.0411823134275909</v>
      </c>
      <c r="R82" s="8" t="n">
        <f aca="true">NORMINV(RAND(),Assumptions!$B$14,Assumptions!$B$15)</f>
        <v>0.034419502755302</v>
      </c>
      <c r="S82" s="8" t="n">
        <f aca="true">NORMINV(RAND(),Assumptions!$B$14,Assumptions!$B$15)</f>
        <v>0.0997387349264198</v>
      </c>
      <c r="T82" s="8" t="n">
        <f aca="false">Assumptions!$B$19*H82+(1-Assumptions!$B$19)*N82</f>
        <v>0.0553879630249075</v>
      </c>
      <c r="U82" s="8" t="n">
        <f aca="false">Assumptions!$B$20*I82+(1-Assumptions!$B$20)*O82</f>
        <v>0.380589510429916</v>
      </c>
      <c r="V82" s="8" t="n">
        <f aca="false">Assumptions!$B$21*J82+(1-Assumptions!$B$21)*P82</f>
        <v>-0.745090394402089</v>
      </c>
      <c r="W82" s="8" t="n">
        <f aca="false">Assumptions!$B$22*K82+(1-Assumptions!$B$22)*Q82</f>
        <v>0.0232122961879387</v>
      </c>
      <c r="X82" s="8" t="n">
        <f aca="false">Assumptions!$B$23*L82+(1-Assumptions!$B$23)*R82</f>
        <v>0.0706651924854007</v>
      </c>
      <c r="Y82" s="8" t="n">
        <f aca="false">Assumptions!$B$24*M82+(1-Assumptions!$B$24)*S82</f>
        <v>0.195374828285465</v>
      </c>
      <c r="Z82" s="6" t="n">
        <f aca="false">Assumptions!$B$27*(1+T82)</f>
        <v>316616.388907472</v>
      </c>
      <c r="AA82" s="6" t="n">
        <f aca="false">(Z82+Assumptions!$B$28)*(1+U82)</f>
        <v>644205.691920343</v>
      </c>
      <c r="AB82" s="6" t="n">
        <f aca="false">AA82*(1+V82)</f>
        <v>164214.218851344</v>
      </c>
      <c r="AC82" s="6" t="n">
        <f aca="false">AB82*(1+W82)</f>
        <v>168026.007937592</v>
      </c>
      <c r="AD82" s="6" t="n">
        <f aca="false">AC82*(1+X82)</f>
        <v>179899.598131056</v>
      </c>
      <c r="AE82" s="6" t="n">
        <f aca="false">AD82*(1+Y82)</f>
        <v>215047.451224535</v>
      </c>
      <c r="AF82" s="6" t="n">
        <f aca="false">Z82</f>
        <v>316616.388907472</v>
      </c>
      <c r="AG82" s="6" t="n">
        <f aca="false">MAX(AF82,AA82)</f>
        <v>644205.691920343</v>
      </c>
      <c r="AH82" s="6" t="n">
        <f aca="false">MAX(AG82,AB82)</f>
        <v>644205.691920343</v>
      </c>
      <c r="AI82" s="6" t="n">
        <f aca="false">MAX(AH82,AC82)</f>
        <v>644205.691920343</v>
      </c>
      <c r="AJ82" s="6" t="n">
        <f aca="false">MAX(AI82,AD82)</f>
        <v>644205.691920343</v>
      </c>
      <c r="AK82" s="6" t="n">
        <f aca="false">MAX(AJ82,AE82)</f>
        <v>644205.691920343</v>
      </c>
      <c r="AL82" s="8" t="n">
        <f aca="false">MIN(Z82/AF82-1,AA82/AG82-1,AB82/AH82-1,AC82/AI82-1,AD82/AJ82-1,AE82/AK82-1)</f>
        <v>-0.745090394402089</v>
      </c>
      <c r="AM82" s="6" t="n">
        <f aca="false">AE82-Assumptions!$B$35</f>
        <v>-226216.545437969</v>
      </c>
    </row>
    <row r="83" customFormat="false" ht="15" hidden="false" customHeight="false" outlineLevel="0" collapsed="false">
      <c r="A83" s="0" t="n">
        <f aca="false">ROW()-1</f>
        <v>82</v>
      </c>
      <c r="B83" s="0" t="str">
        <f aca="true">IF(RAND()&lt;Assumptions!$B$11,"Bull","Bear")</f>
        <v>Bear</v>
      </c>
      <c r="C83" s="0" t="str">
        <f aca="true">IF(B83="Bull",IF(RAND()&lt;Assumptions!$B$7,"Bull","Bear"),IF(RAND()&lt;Assumptions!$B$10,"Bear","Bull"))</f>
        <v>Bull</v>
      </c>
      <c r="D83" s="0" t="str">
        <f aca="true">IF(C83="Bull",IF(RAND()&lt;Assumptions!$B$7,"Bull","Bear"),IF(RAND()&lt;Assumptions!$B$10,"Bear","Bull"))</f>
        <v>Bull</v>
      </c>
      <c r="E83" s="0" t="str">
        <f aca="true">IF(D83="Bull",IF(RAND()&lt;Assumptions!$B$7,"Bull","Bear"),IF(RAND()&lt;Assumptions!$B$10,"Bear","Bull"))</f>
        <v>Bull</v>
      </c>
      <c r="F83" s="0" t="str">
        <f aca="true">IF(E83="Bull",IF(RAND()&lt;Assumptions!$B$7,"Bull","Bear"),IF(RAND()&lt;Assumptions!$B$10,"Bear","Bull"))</f>
        <v>Bull</v>
      </c>
      <c r="G83" s="0" t="str">
        <f aca="true">IF(F83="Bull",IF(RAND()&lt;Assumptions!$B$7,"Bull","Bear"),IF(RAND()&lt;Assumptions!$B$10,"Bear","Bull"))</f>
        <v>Bull</v>
      </c>
      <c r="H83" s="8" t="n">
        <f aca="true">IF(B83="Bull",NORMINV(RAND(),Assumptions!$B$5,Assumptions!$B$6),NORMINV(RAND(),Assumptions!$B$8,Assumptions!$B$9))</f>
        <v>-0.234879342158479</v>
      </c>
      <c r="I83" s="8" t="n">
        <f aca="true">IF(C83="Bull",NORMINV(RAND(),Assumptions!$B$5,Assumptions!$B$6),NORMINV(RAND(),Assumptions!$B$8,Assumptions!$B$9))</f>
        <v>0.220621425655106</v>
      </c>
      <c r="J83" s="8" t="n">
        <f aca="true">IF(D83="Bull",NORMINV(RAND(),Assumptions!$B$5,Assumptions!$B$6),NORMINV(RAND(),Assumptions!$B$8,Assumptions!$B$9))</f>
        <v>0.144328317816738</v>
      </c>
      <c r="K83" s="8" t="n">
        <f aca="true">IF(E83="Bull",NORMINV(RAND(),Assumptions!$B$5,Assumptions!$B$6),NORMINV(RAND(),Assumptions!$B$8,Assumptions!$B$9))</f>
        <v>0.410719046065991</v>
      </c>
      <c r="L83" s="8" t="n">
        <f aca="true">IF(F83="Bull",NORMINV(RAND(),Assumptions!$B$5,Assumptions!$B$6),NORMINV(RAND(),Assumptions!$B$8,Assumptions!$B$9))</f>
        <v>0.251221759922432</v>
      </c>
      <c r="M83" s="8" t="n">
        <f aca="true">IF(G83="Bull",NORMINV(RAND(),Assumptions!$B$5,Assumptions!$B$6),NORMINV(RAND(),Assumptions!$B$8,Assumptions!$B$9))</f>
        <v>0.178752196117189</v>
      </c>
      <c r="N83" s="8" t="n">
        <f aca="true">NORMINV(RAND(),Assumptions!$B$14,Assumptions!$B$15)</f>
        <v>0.114495061860379</v>
      </c>
      <c r="O83" s="8" t="n">
        <f aca="true">NORMINV(RAND(),Assumptions!$B$14,Assumptions!$B$15)</f>
        <v>0.0705356989960658</v>
      </c>
      <c r="P83" s="8" t="n">
        <f aca="true">NORMINV(RAND(),Assumptions!$B$14,Assumptions!$B$15)</f>
        <v>0.0634001173507207</v>
      </c>
      <c r="Q83" s="8" t="n">
        <f aca="true">NORMINV(RAND(),Assumptions!$B$14,Assumptions!$B$15)</f>
        <v>0.0580838845345559</v>
      </c>
      <c r="R83" s="8" t="n">
        <f aca="true">NORMINV(RAND(),Assumptions!$B$14,Assumptions!$B$15)</f>
        <v>0.060013828793028</v>
      </c>
      <c r="S83" s="8" t="n">
        <f aca="true">NORMINV(RAND(),Assumptions!$B$14,Assumptions!$B$15)</f>
        <v>0.0629325136225013</v>
      </c>
      <c r="T83" s="8" t="n">
        <f aca="false">Assumptions!$B$19*H83+(1-Assumptions!$B$19)*N83</f>
        <v>-0.234879342158479</v>
      </c>
      <c r="U83" s="8" t="n">
        <f aca="false">Assumptions!$B$20*I83+(1-Assumptions!$B$20)*O83</f>
        <v>0.220621425655106</v>
      </c>
      <c r="V83" s="8" t="n">
        <f aca="false">Assumptions!$B$21*J83+(1-Assumptions!$B$21)*P83</f>
        <v>0.144328317816738</v>
      </c>
      <c r="W83" s="8" t="n">
        <f aca="false">Assumptions!$B$22*K83+(1-Assumptions!$B$22)*Q83</f>
        <v>0.410719046065991</v>
      </c>
      <c r="X83" s="8" t="n">
        <f aca="false">Assumptions!$B$23*L83+(1-Assumptions!$B$23)*R83</f>
        <v>0.212980173696551</v>
      </c>
      <c r="Y83" s="8" t="n">
        <f aca="false">Assumptions!$B$24*M83+(1-Assumptions!$B$24)*S83</f>
        <v>0.132424323119314</v>
      </c>
      <c r="Z83" s="6" t="n">
        <f aca="false">Assumptions!$B$27*(1+T83)</f>
        <v>229536.197352456</v>
      </c>
      <c r="AA83" s="6" t="n">
        <f aca="false">(Z83+Assumptions!$B$28)*(1+U83)</f>
        <v>463270.014300073</v>
      </c>
      <c r="AB83" s="6" t="n">
        <f aca="false">AA83*(1+V83)</f>
        <v>530132.996158939</v>
      </c>
      <c r="AC83" s="6" t="n">
        <f aca="false">AB83*(1+W83)</f>
        <v>747868.714629444</v>
      </c>
      <c r="AD83" s="6" t="n">
        <f aca="false">AC83*(1+X83)</f>
        <v>907149.923373439</v>
      </c>
      <c r="AE83" s="6" t="n">
        <f aca="false">AD83*(1+Y83)</f>
        <v>1027278.6379439</v>
      </c>
      <c r="AF83" s="6" t="n">
        <f aca="false">Z83</f>
        <v>229536.197352456</v>
      </c>
      <c r="AG83" s="6" t="n">
        <f aca="false">MAX(AF83,AA83)</f>
        <v>463270.014300073</v>
      </c>
      <c r="AH83" s="6" t="n">
        <f aca="false">MAX(AG83,AB83)</f>
        <v>530132.996158939</v>
      </c>
      <c r="AI83" s="6" t="n">
        <f aca="false">MAX(AH83,AC83)</f>
        <v>747868.714629444</v>
      </c>
      <c r="AJ83" s="6" t="n">
        <f aca="false">MAX(AI83,AD83)</f>
        <v>907149.923373439</v>
      </c>
      <c r="AK83" s="6" t="n">
        <f aca="false">MAX(AJ83,AE83)</f>
        <v>1027278.6379439</v>
      </c>
      <c r="AL83" s="8" t="n">
        <f aca="false">MIN(Z83/AF83-1,AA83/AG83-1,AB83/AH83-1,AC83/AI83-1,AD83/AJ83-1,AE83/AK83-1)</f>
        <v>0</v>
      </c>
      <c r="AM83" s="6" t="n">
        <f aca="false">AE83-Assumptions!$B$35</f>
        <v>586014.641281401</v>
      </c>
    </row>
    <row r="84" customFormat="false" ht="15" hidden="false" customHeight="false" outlineLevel="0" collapsed="false">
      <c r="A84" s="0" t="n">
        <f aca="false">ROW()-1</f>
        <v>83</v>
      </c>
      <c r="B84" s="0" t="str">
        <f aca="true">IF(RAND()&lt;Assumptions!$B$11,"Bull","Bear")</f>
        <v>Bear</v>
      </c>
      <c r="C84" s="0" t="str">
        <f aca="true">IF(B84="Bull",IF(RAND()&lt;Assumptions!$B$7,"Bull","Bear"),IF(RAND()&lt;Assumptions!$B$10,"Bear","Bull"))</f>
        <v>Bear</v>
      </c>
      <c r="D84" s="0" t="str">
        <f aca="true">IF(C84="Bull",IF(RAND()&lt;Assumptions!$B$7,"Bull","Bear"),IF(RAND()&lt;Assumptions!$B$10,"Bear","Bull"))</f>
        <v>Bear</v>
      </c>
      <c r="E84" s="0" t="str">
        <f aca="true">IF(D84="Bull",IF(RAND()&lt;Assumptions!$B$7,"Bull","Bear"),IF(RAND()&lt;Assumptions!$B$10,"Bear","Bull"))</f>
        <v>Bull</v>
      </c>
      <c r="F84" s="0" t="str">
        <f aca="true">IF(E84="Bull",IF(RAND()&lt;Assumptions!$B$7,"Bull","Bear"),IF(RAND()&lt;Assumptions!$B$10,"Bear","Bull"))</f>
        <v>Bull</v>
      </c>
      <c r="G84" s="0" t="str">
        <f aca="true">IF(F84="Bull",IF(RAND()&lt;Assumptions!$B$7,"Bull","Bear"),IF(RAND()&lt;Assumptions!$B$10,"Bear","Bull"))</f>
        <v>Bear</v>
      </c>
      <c r="H84" s="8" t="n">
        <f aca="true">IF(B84="Bull",NORMINV(RAND(),Assumptions!$B$5,Assumptions!$B$6),NORMINV(RAND(),Assumptions!$B$8,Assumptions!$B$9))</f>
        <v>0.0225041177362668</v>
      </c>
      <c r="I84" s="8" t="n">
        <f aca="true">IF(C84="Bull",NORMINV(RAND(),Assumptions!$B$5,Assumptions!$B$6),NORMINV(RAND(),Assumptions!$B$8,Assumptions!$B$9))</f>
        <v>-0.467879169542512</v>
      </c>
      <c r="J84" s="8" t="n">
        <f aca="true">IF(D84="Bull",NORMINV(RAND(),Assumptions!$B$5,Assumptions!$B$6),NORMINV(RAND(),Assumptions!$B$8,Assumptions!$B$9))</f>
        <v>-0.406963917916317</v>
      </c>
      <c r="K84" s="8" t="n">
        <f aca="true">IF(E84="Bull",NORMINV(RAND(),Assumptions!$B$5,Assumptions!$B$6),NORMINV(RAND(),Assumptions!$B$8,Assumptions!$B$9))</f>
        <v>0.231746557266368</v>
      </c>
      <c r="L84" s="8" t="n">
        <f aca="true">IF(F84="Bull",NORMINV(RAND(),Assumptions!$B$5,Assumptions!$B$6),NORMINV(RAND(),Assumptions!$B$8,Assumptions!$B$9))</f>
        <v>0.248703833901942</v>
      </c>
      <c r="M84" s="8" t="n">
        <f aca="true">IF(G84="Bull",NORMINV(RAND(),Assumptions!$B$5,Assumptions!$B$6),NORMINV(RAND(),Assumptions!$B$8,Assumptions!$B$9))</f>
        <v>0.00628475531728065</v>
      </c>
      <c r="N84" s="8" t="n">
        <f aca="true">NORMINV(RAND(),Assumptions!$B$14,Assumptions!$B$15)</f>
        <v>0.0156992636770395</v>
      </c>
      <c r="O84" s="8" t="n">
        <f aca="true">NORMINV(RAND(),Assumptions!$B$14,Assumptions!$B$15)</f>
        <v>0.0295427884413592</v>
      </c>
      <c r="P84" s="8" t="n">
        <f aca="true">NORMINV(RAND(),Assumptions!$B$14,Assumptions!$B$15)</f>
        <v>0.0259627895852302</v>
      </c>
      <c r="Q84" s="8" t="n">
        <f aca="true">NORMINV(RAND(),Assumptions!$B$14,Assumptions!$B$15)</f>
        <v>0.0293112722958187</v>
      </c>
      <c r="R84" s="8" t="n">
        <f aca="true">NORMINV(RAND(),Assumptions!$B$14,Assumptions!$B$15)</f>
        <v>0.0394343682967196</v>
      </c>
      <c r="S84" s="8" t="n">
        <f aca="true">NORMINV(RAND(),Assumptions!$B$14,Assumptions!$B$15)</f>
        <v>0.0463122962389896</v>
      </c>
      <c r="T84" s="8" t="n">
        <f aca="false">Assumptions!$B$19*H84+(1-Assumptions!$B$19)*N84</f>
        <v>0.0225041177362668</v>
      </c>
      <c r="U84" s="8" t="n">
        <f aca="false">Assumptions!$B$20*I84+(1-Assumptions!$B$20)*O84</f>
        <v>-0.467879169542512</v>
      </c>
      <c r="V84" s="8" t="n">
        <f aca="false">Assumptions!$B$21*J84+(1-Assumptions!$B$21)*P84</f>
        <v>-0.406963917916317</v>
      </c>
      <c r="W84" s="8" t="n">
        <f aca="false">Assumptions!$B$22*K84+(1-Assumptions!$B$22)*Q84</f>
        <v>0.231746557266368</v>
      </c>
      <c r="X84" s="8" t="n">
        <f aca="false">Assumptions!$B$23*L84+(1-Assumptions!$B$23)*R84</f>
        <v>0.206849940780898</v>
      </c>
      <c r="Y84" s="8" t="n">
        <f aca="false">Assumptions!$B$24*M84+(1-Assumptions!$B$24)*S84</f>
        <v>0.0222957716859642</v>
      </c>
      <c r="Z84" s="6" t="n">
        <f aca="false">Assumptions!$B$27*(1+T84)</f>
        <v>306751.23532088</v>
      </c>
      <c r="AA84" s="6" t="n">
        <f aca="false">(Z84+Assumptions!$B$28)*(1+U84)</f>
        <v>243046.84665143</v>
      </c>
      <c r="AB84" s="6" t="n">
        <f aca="false">AA84*(1+V84)</f>
        <v>144135.549700958</v>
      </c>
      <c r="AC84" s="6" t="n">
        <f aca="false">AB84*(1+W84)</f>
        <v>177538.46712385</v>
      </c>
      <c r="AD84" s="6" t="n">
        <f aca="false">AC84*(1+X84)</f>
        <v>214262.28853475</v>
      </c>
      <c r="AE84" s="6" t="n">
        <f aca="false">AD84*(1+Y84)</f>
        <v>219039.431600833</v>
      </c>
      <c r="AF84" s="6" t="n">
        <f aca="false">Z84</f>
        <v>306751.23532088</v>
      </c>
      <c r="AG84" s="6" t="n">
        <f aca="false">MAX(AF84,AA84)</f>
        <v>306751.23532088</v>
      </c>
      <c r="AH84" s="6" t="n">
        <f aca="false">MAX(AG84,AB84)</f>
        <v>306751.23532088</v>
      </c>
      <c r="AI84" s="6" t="n">
        <f aca="false">MAX(AH84,AC84)</f>
        <v>306751.23532088</v>
      </c>
      <c r="AJ84" s="6" t="n">
        <f aca="false">MAX(AI84,AD84)</f>
        <v>306751.23532088</v>
      </c>
      <c r="AK84" s="6" t="n">
        <f aca="false">MAX(AJ84,AE84)</f>
        <v>306751.23532088</v>
      </c>
      <c r="AL84" s="8" t="n">
        <f aca="false">MIN(Z84/AF84-1,AA84/AG84-1,AB84/AH84-1,AC84/AI84-1,AD84/AJ84-1,AE84/AK84-1)</f>
        <v>-0.530122349629062</v>
      </c>
      <c r="AM84" s="6" t="n">
        <f aca="false">AE84-Assumptions!$B$35</f>
        <v>-222224.565061671</v>
      </c>
    </row>
    <row r="85" customFormat="false" ht="15" hidden="false" customHeight="false" outlineLevel="0" collapsed="false">
      <c r="A85" s="0" t="n">
        <f aca="false">ROW()-1</f>
        <v>84</v>
      </c>
      <c r="B85" s="0" t="str">
        <f aca="true">IF(RAND()&lt;Assumptions!$B$11,"Bull","Bear")</f>
        <v>Bear</v>
      </c>
      <c r="C85" s="0" t="str">
        <f aca="true">IF(B85="Bull",IF(RAND()&lt;Assumptions!$B$7,"Bull","Bear"),IF(RAND()&lt;Assumptions!$B$10,"Bear","Bull"))</f>
        <v>Bull</v>
      </c>
      <c r="D85" s="0" t="str">
        <f aca="true">IF(C85="Bull",IF(RAND()&lt;Assumptions!$B$7,"Bull","Bear"),IF(RAND()&lt;Assumptions!$B$10,"Bear","Bull"))</f>
        <v>Bear</v>
      </c>
      <c r="E85" s="0" t="str">
        <f aca="true">IF(D85="Bull",IF(RAND()&lt;Assumptions!$B$7,"Bull","Bear"),IF(RAND()&lt;Assumptions!$B$10,"Bear","Bull"))</f>
        <v>Bear</v>
      </c>
      <c r="F85" s="0" t="str">
        <f aca="true">IF(E85="Bull",IF(RAND()&lt;Assumptions!$B$7,"Bull","Bear"),IF(RAND()&lt;Assumptions!$B$10,"Bear","Bull"))</f>
        <v>Bull</v>
      </c>
      <c r="G85" s="0" t="str">
        <f aca="true">IF(F85="Bull",IF(RAND()&lt;Assumptions!$B$7,"Bull","Bear"),IF(RAND()&lt;Assumptions!$B$10,"Bear","Bull"))</f>
        <v>Bull</v>
      </c>
      <c r="H85" s="8" t="n">
        <f aca="true">IF(B85="Bull",NORMINV(RAND(),Assumptions!$B$5,Assumptions!$B$6),NORMINV(RAND(),Assumptions!$B$8,Assumptions!$B$9))</f>
        <v>0.0921152817928416</v>
      </c>
      <c r="I85" s="8" t="n">
        <f aca="true">IF(C85="Bull",NORMINV(RAND(),Assumptions!$B$5,Assumptions!$B$6),NORMINV(RAND(),Assumptions!$B$8,Assumptions!$B$9))</f>
        <v>0.140952301368115</v>
      </c>
      <c r="J85" s="8" t="n">
        <f aca="true">IF(D85="Bull",NORMINV(RAND(),Assumptions!$B$5,Assumptions!$B$6),NORMINV(RAND(),Assumptions!$B$8,Assumptions!$B$9))</f>
        <v>-0.440306161892304</v>
      </c>
      <c r="K85" s="8" t="n">
        <f aca="true">IF(E85="Bull",NORMINV(RAND(),Assumptions!$B$5,Assumptions!$B$6),NORMINV(RAND(),Assumptions!$B$8,Assumptions!$B$9))</f>
        <v>-0.0438352856124593</v>
      </c>
      <c r="L85" s="8" t="n">
        <f aca="true">IF(F85="Bull",NORMINV(RAND(),Assumptions!$B$5,Assumptions!$B$6),NORMINV(RAND(),Assumptions!$B$8,Assumptions!$B$9))</f>
        <v>0.053457666570674</v>
      </c>
      <c r="M85" s="8" t="n">
        <f aca="true">IF(G85="Bull",NORMINV(RAND(),Assumptions!$B$5,Assumptions!$B$6),NORMINV(RAND(),Assumptions!$B$8,Assumptions!$B$9))</f>
        <v>-0.11553623796527</v>
      </c>
      <c r="N85" s="8" t="n">
        <f aca="true">NORMINV(RAND(),Assumptions!$B$14,Assumptions!$B$15)</f>
        <v>0.0514925491412324</v>
      </c>
      <c r="O85" s="8" t="n">
        <f aca="true">NORMINV(RAND(),Assumptions!$B$14,Assumptions!$B$15)</f>
        <v>0.0445513484202706</v>
      </c>
      <c r="P85" s="8" t="n">
        <f aca="true">NORMINV(RAND(),Assumptions!$B$14,Assumptions!$B$15)</f>
        <v>0.089356194184275</v>
      </c>
      <c r="Q85" s="8" t="n">
        <f aca="true">NORMINV(RAND(),Assumptions!$B$14,Assumptions!$B$15)</f>
        <v>0.066975817737002</v>
      </c>
      <c r="R85" s="8" t="n">
        <f aca="true">NORMINV(RAND(),Assumptions!$B$14,Assumptions!$B$15)</f>
        <v>0.0273757928064613</v>
      </c>
      <c r="S85" s="8" t="n">
        <f aca="true">NORMINV(RAND(),Assumptions!$B$14,Assumptions!$B$15)</f>
        <v>0.0379446818152471</v>
      </c>
      <c r="T85" s="8" t="n">
        <f aca="false">Assumptions!$B$19*H85+(1-Assumptions!$B$19)*N85</f>
        <v>0.0921152817928416</v>
      </c>
      <c r="U85" s="8" t="n">
        <f aca="false">Assumptions!$B$20*I85+(1-Assumptions!$B$20)*O85</f>
        <v>0.140952301368115</v>
      </c>
      <c r="V85" s="8" t="n">
        <f aca="false">Assumptions!$B$21*J85+(1-Assumptions!$B$21)*P85</f>
        <v>-0.440306161892304</v>
      </c>
      <c r="W85" s="8" t="n">
        <f aca="false">Assumptions!$B$22*K85+(1-Assumptions!$B$22)*Q85</f>
        <v>-0.0438352856124593</v>
      </c>
      <c r="X85" s="8" t="n">
        <f aca="false">Assumptions!$B$23*L85+(1-Assumptions!$B$23)*R85</f>
        <v>0.0482412918178315</v>
      </c>
      <c r="Y85" s="8" t="n">
        <f aca="false">Assumptions!$B$24*M85+(1-Assumptions!$B$24)*S85</f>
        <v>-0.0541438700530632</v>
      </c>
      <c r="Z85" s="6" t="n">
        <f aca="false">Assumptions!$B$27*(1+T85)</f>
        <v>327634.584537853</v>
      </c>
      <c r="AA85" s="6" t="n">
        <f aca="false">(Z85+Assumptions!$B$28)*(1+U85)</f>
        <v>544958.278441466</v>
      </c>
      <c r="AB85" s="6" t="n">
        <f aca="false">AA85*(1+V85)</f>
        <v>305009.790469467</v>
      </c>
      <c r="AC85" s="6" t="n">
        <f aca="false">AB85*(1+W85)</f>
        <v>291639.599189641</v>
      </c>
      <c r="AD85" s="6" t="n">
        <f aca="false">AC85*(1+X85)</f>
        <v>305708.670199784</v>
      </c>
      <c r="AE85" s="6" t="n">
        <f aca="false">AD85*(1+Y85)</f>
        <v>289156.419686392</v>
      </c>
      <c r="AF85" s="6" t="n">
        <f aca="false">Z85</f>
        <v>327634.584537853</v>
      </c>
      <c r="AG85" s="6" t="n">
        <f aca="false">MAX(AF85,AA85)</f>
        <v>544958.278441466</v>
      </c>
      <c r="AH85" s="6" t="n">
        <f aca="false">MAX(AG85,AB85)</f>
        <v>544958.278441466</v>
      </c>
      <c r="AI85" s="6" t="n">
        <f aca="false">MAX(AH85,AC85)</f>
        <v>544958.278441466</v>
      </c>
      <c r="AJ85" s="6" t="n">
        <f aca="false">MAX(AI85,AD85)</f>
        <v>544958.278441466</v>
      </c>
      <c r="AK85" s="6" t="n">
        <f aca="false">MAX(AJ85,AE85)</f>
        <v>544958.278441466</v>
      </c>
      <c r="AL85" s="8" t="n">
        <f aca="false">MIN(Z85/AF85-1,AA85/AG85-1,AB85/AH85-1,AC85/AI85-1,AD85/AJ85-1,AE85/AK85-1)</f>
        <v>-0.469397142633828</v>
      </c>
      <c r="AM85" s="6" t="n">
        <f aca="false">AE85-Assumptions!$B$35</f>
        <v>-152107.576976111</v>
      </c>
    </row>
    <row r="86" customFormat="false" ht="15" hidden="false" customHeight="false" outlineLevel="0" collapsed="false">
      <c r="A86" s="0" t="n">
        <f aca="false">ROW()-1</f>
        <v>85</v>
      </c>
      <c r="B86" s="0" t="str">
        <f aca="true">IF(RAND()&lt;Assumptions!$B$11,"Bull","Bear")</f>
        <v>Bull</v>
      </c>
      <c r="C86" s="0" t="str">
        <f aca="true">IF(B86="Bull",IF(RAND()&lt;Assumptions!$B$7,"Bull","Bear"),IF(RAND()&lt;Assumptions!$B$10,"Bear","Bull"))</f>
        <v>Bull</v>
      </c>
      <c r="D86" s="0" t="str">
        <f aca="true">IF(C86="Bull",IF(RAND()&lt;Assumptions!$B$7,"Bull","Bear"),IF(RAND()&lt;Assumptions!$B$10,"Bear","Bull"))</f>
        <v>Bull</v>
      </c>
      <c r="E86" s="0" t="str">
        <f aca="true">IF(D86="Bull",IF(RAND()&lt;Assumptions!$B$7,"Bull","Bear"),IF(RAND()&lt;Assumptions!$B$10,"Bear","Bull"))</f>
        <v>Bull</v>
      </c>
      <c r="F86" s="0" t="str">
        <f aca="true">IF(E86="Bull",IF(RAND()&lt;Assumptions!$B$7,"Bull","Bear"),IF(RAND()&lt;Assumptions!$B$10,"Bear","Bull"))</f>
        <v>Bull</v>
      </c>
      <c r="G86" s="0" t="str">
        <f aca="true">IF(F86="Bull",IF(RAND()&lt;Assumptions!$B$7,"Bull","Bear"),IF(RAND()&lt;Assumptions!$B$10,"Bear","Bull"))</f>
        <v>Bear</v>
      </c>
      <c r="H86" s="8" t="n">
        <f aca="true">IF(B86="Bull",NORMINV(RAND(),Assumptions!$B$5,Assumptions!$B$6),NORMINV(RAND(),Assumptions!$B$8,Assumptions!$B$9))</f>
        <v>0.0704788035082264</v>
      </c>
      <c r="I86" s="8" t="n">
        <f aca="true">IF(C86="Bull",NORMINV(RAND(),Assumptions!$B$5,Assumptions!$B$6),NORMINV(RAND(),Assumptions!$B$8,Assumptions!$B$9))</f>
        <v>0.128404582245206</v>
      </c>
      <c r="J86" s="8" t="n">
        <f aca="true">IF(D86="Bull",NORMINV(RAND(),Assumptions!$B$5,Assumptions!$B$6),NORMINV(RAND(),Assumptions!$B$8,Assumptions!$B$9))</f>
        <v>0.243406758646159</v>
      </c>
      <c r="K86" s="8" t="n">
        <f aca="true">IF(E86="Bull",NORMINV(RAND(),Assumptions!$B$5,Assumptions!$B$6),NORMINV(RAND(),Assumptions!$B$8,Assumptions!$B$9))</f>
        <v>0.300321796558807</v>
      </c>
      <c r="L86" s="8" t="n">
        <f aca="true">IF(F86="Bull",NORMINV(RAND(),Assumptions!$B$5,Assumptions!$B$6),NORMINV(RAND(),Assumptions!$B$8,Assumptions!$B$9))</f>
        <v>0.188224043455842</v>
      </c>
      <c r="M86" s="8" t="n">
        <f aca="true">IF(G86="Bull",NORMINV(RAND(),Assumptions!$B$5,Assumptions!$B$6),NORMINV(RAND(),Assumptions!$B$8,Assumptions!$B$9))</f>
        <v>-0.324277960812252</v>
      </c>
      <c r="N86" s="8" t="n">
        <f aca="true">NORMINV(RAND(),Assumptions!$B$14,Assumptions!$B$15)</f>
        <v>0.0448654889045184</v>
      </c>
      <c r="O86" s="8" t="n">
        <f aca="true">NORMINV(RAND(),Assumptions!$B$14,Assumptions!$B$15)</f>
        <v>0.0257090836822429</v>
      </c>
      <c r="P86" s="8" t="n">
        <f aca="true">NORMINV(RAND(),Assumptions!$B$14,Assumptions!$B$15)</f>
        <v>0.0233263044303095</v>
      </c>
      <c r="Q86" s="8" t="n">
        <f aca="true">NORMINV(RAND(),Assumptions!$B$14,Assumptions!$B$15)</f>
        <v>0.0495803588892882</v>
      </c>
      <c r="R86" s="8" t="n">
        <f aca="true">NORMINV(RAND(),Assumptions!$B$14,Assumptions!$B$15)</f>
        <v>0.0630885674125067</v>
      </c>
      <c r="S86" s="8" t="n">
        <f aca="true">NORMINV(RAND(),Assumptions!$B$14,Assumptions!$B$15)</f>
        <v>-0.0115057760424361</v>
      </c>
      <c r="T86" s="8" t="n">
        <f aca="false">Assumptions!$B$19*H86+(1-Assumptions!$B$19)*N86</f>
        <v>0.0704788035082264</v>
      </c>
      <c r="U86" s="8" t="n">
        <f aca="false">Assumptions!$B$20*I86+(1-Assumptions!$B$20)*O86</f>
        <v>0.128404582245206</v>
      </c>
      <c r="V86" s="8" t="n">
        <f aca="false">Assumptions!$B$21*J86+(1-Assumptions!$B$21)*P86</f>
        <v>0.243406758646159</v>
      </c>
      <c r="W86" s="8" t="n">
        <f aca="false">Assumptions!$B$22*K86+(1-Assumptions!$B$22)*Q86</f>
        <v>0.300321796558807</v>
      </c>
      <c r="X86" s="8" t="n">
        <f aca="false">Assumptions!$B$23*L86+(1-Assumptions!$B$23)*R86</f>
        <v>0.163196948247175</v>
      </c>
      <c r="Y86" s="8" t="n">
        <f aca="false">Assumptions!$B$24*M86+(1-Assumptions!$B$24)*S86</f>
        <v>-0.199169086904326</v>
      </c>
      <c r="Z86" s="6" t="n">
        <f aca="false">Assumptions!$B$27*(1+T86)</f>
        <v>321143.641052468</v>
      </c>
      <c r="AA86" s="6" t="n">
        <f aca="false">(Z86+Assumptions!$B$28)*(1+U86)</f>
        <v>531640.643459295</v>
      </c>
      <c r="AB86" s="6" t="n">
        <f aca="false">AA86*(1+V86)</f>
        <v>661045.569248281</v>
      </c>
      <c r="AC86" s="6" t="n">
        <f aca="false">AB86*(1+W86)</f>
        <v>859571.962212164</v>
      </c>
      <c r="AD86" s="6" t="n">
        <f aca="false">AC86*(1+X86)</f>
        <v>999851.483244026</v>
      </c>
      <c r="AE86" s="6" t="n">
        <f aca="false">AD86*(1+Y86)</f>
        <v>800711.976286377</v>
      </c>
      <c r="AF86" s="6" t="n">
        <f aca="false">Z86</f>
        <v>321143.641052468</v>
      </c>
      <c r="AG86" s="6" t="n">
        <f aca="false">MAX(AF86,AA86)</f>
        <v>531640.643459295</v>
      </c>
      <c r="AH86" s="6" t="n">
        <f aca="false">MAX(AG86,AB86)</f>
        <v>661045.569248281</v>
      </c>
      <c r="AI86" s="6" t="n">
        <f aca="false">MAX(AH86,AC86)</f>
        <v>859571.962212164</v>
      </c>
      <c r="AJ86" s="6" t="n">
        <f aca="false">MAX(AI86,AD86)</f>
        <v>999851.483244026</v>
      </c>
      <c r="AK86" s="6" t="n">
        <f aca="false">MAX(AJ86,AE86)</f>
        <v>999851.483244026</v>
      </c>
      <c r="AL86" s="8" t="n">
        <f aca="false">MIN(Z86/AF86-1,AA86/AG86-1,AB86/AH86-1,AC86/AI86-1,AD86/AJ86-1,AE86/AK86-1)</f>
        <v>-0.199169086904326</v>
      </c>
      <c r="AM86" s="6" t="n">
        <f aca="false">AE86-Assumptions!$B$35</f>
        <v>359447.979623874</v>
      </c>
    </row>
    <row r="87" customFormat="false" ht="15" hidden="false" customHeight="false" outlineLevel="0" collapsed="false">
      <c r="A87" s="0" t="n">
        <f aca="false">ROW()-1</f>
        <v>86</v>
      </c>
      <c r="B87" s="0" t="str">
        <f aca="true">IF(RAND()&lt;Assumptions!$B$11,"Bull","Bear")</f>
        <v>Bull</v>
      </c>
      <c r="C87" s="0" t="str">
        <f aca="true">IF(B87="Bull",IF(RAND()&lt;Assumptions!$B$7,"Bull","Bear"),IF(RAND()&lt;Assumptions!$B$10,"Bear","Bull"))</f>
        <v>Bull</v>
      </c>
      <c r="D87" s="0" t="str">
        <f aca="true">IF(C87="Bull",IF(RAND()&lt;Assumptions!$B$7,"Bull","Bear"),IF(RAND()&lt;Assumptions!$B$10,"Bear","Bull"))</f>
        <v>Bull</v>
      </c>
      <c r="E87" s="0" t="str">
        <f aca="true">IF(D87="Bull",IF(RAND()&lt;Assumptions!$B$7,"Bull","Bear"),IF(RAND()&lt;Assumptions!$B$10,"Bear","Bull"))</f>
        <v>Bull</v>
      </c>
      <c r="F87" s="0" t="str">
        <f aca="true">IF(E87="Bull",IF(RAND()&lt;Assumptions!$B$7,"Bull","Bear"),IF(RAND()&lt;Assumptions!$B$10,"Bear","Bull"))</f>
        <v>Bull</v>
      </c>
      <c r="G87" s="0" t="str">
        <f aca="true">IF(F87="Bull",IF(RAND()&lt;Assumptions!$B$7,"Bull","Bear"),IF(RAND()&lt;Assumptions!$B$10,"Bear","Bull"))</f>
        <v>Bear</v>
      </c>
      <c r="H87" s="8" t="n">
        <f aca="true">IF(B87="Bull",NORMINV(RAND(),Assumptions!$B$5,Assumptions!$B$6),NORMINV(RAND(),Assumptions!$B$8,Assumptions!$B$9))</f>
        <v>0.212295646900129</v>
      </c>
      <c r="I87" s="8" t="n">
        <f aca="true">IF(C87="Bull",NORMINV(RAND(),Assumptions!$B$5,Assumptions!$B$6),NORMINV(RAND(),Assumptions!$B$8,Assumptions!$B$9))</f>
        <v>0.200733636028611</v>
      </c>
      <c r="J87" s="8" t="n">
        <f aca="true">IF(D87="Bull",NORMINV(RAND(),Assumptions!$B$5,Assumptions!$B$6),NORMINV(RAND(),Assumptions!$B$8,Assumptions!$B$9))</f>
        <v>0.13620256776255</v>
      </c>
      <c r="K87" s="8" t="n">
        <f aca="true">IF(E87="Bull",NORMINV(RAND(),Assumptions!$B$5,Assumptions!$B$6),NORMINV(RAND(),Assumptions!$B$8,Assumptions!$B$9))</f>
        <v>0.170893596651714</v>
      </c>
      <c r="L87" s="8" t="n">
        <f aca="true">IF(F87="Bull",NORMINV(RAND(),Assumptions!$B$5,Assumptions!$B$6),NORMINV(RAND(),Assumptions!$B$8,Assumptions!$B$9))</f>
        <v>0.041674858591247</v>
      </c>
      <c r="M87" s="8" t="n">
        <f aca="true">IF(G87="Bull",NORMINV(RAND(),Assumptions!$B$5,Assumptions!$B$6),NORMINV(RAND(),Assumptions!$B$8,Assumptions!$B$9))</f>
        <v>-0.183513455781254</v>
      </c>
      <c r="N87" s="8" t="n">
        <f aca="true">NORMINV(RAND(),Assumptions!$B$14,Assumptions!$B$15)</f>
        <v>0.0394397528539231</v>
      </c>
      <c r="O87" s="8" t="n">
        <f aca="true">NORMINV(RAND(),Assumptions!$B$14,Assumptions!$B$15)</f>
        <v>0.025633519550621</v>
      </c>
      <c r="P87" s="8" t="n">
        <f aca="true">NORMINV(RAND(),Assumptions!$B$14,Assumptions!$B$15)</f>
        <v>0.0680246454804614</v>
      </c>
      <c r="Q87" s="8" t="n">
        <f aca="true">NORMINV(RAND(),Assumptions!$B$14,Assumptions!$B$15)</f>
        <v>0.0715166579239569</v>
      </c>
      <c r="R87" s="8" t="n">
        <f aca="true">NORMINV(RAND(),Assumptions!$B$14,Assumptions!$B$15)</f>
        <v>0.0416079527797979</v>
      </c>
      <c r="S87" s="8" t="n">
        <f aca="true">NORMINV(RAND(),Assumptions!$B$14,Assumptions!$B$15)</f>
        <v>0.0878565346385132</v>
      </c>
      <c r="T87" s="8" t="n">
        <f aca="false">Assumptions!$B$19*H87+(1-Assumptions!$B$19)*N87</f>
        <v>0.212295646900129</v>
      </c>
      <c r="U87" s="8" t="n">
        <f aca="false">Assumptions!$B$20*I87+(1-Assumptions!$B$20)*O87</f>
        <v>0.200733636028611</v>
      </c>
      <c r="V87" s="8" t="n">
        <f aca="false">Assumptions!$B$21*J87+(1-Assumptions!$B$21)*P87</f>
        <v>0.13620256776255</v>
      </c>
      <c r="W87" s="8" t="n">
        <f aca="false">Assumptions!$B$22*K87+(1-Assumptions!$B$22)*Q87</f>
        <v>0.170893596651714</v>
      </c>
      <c r="X87" s="8" t="n">
        <f aca="false">Assumptions!$B$23*L87+(1-Assumptions!$B$23)*R87</f>
        <v>0.0416614774289572</v>
      </c>
      <c r="Y87" s="8" t="n">
        <f aca="false">Assumptions!$B$24*M87+(1-Assumptions!$B$24)*S87</f>
        <v>-0.0749654596133473</v>
      </c>
      <c r="Z87" s="6" t="n">
        <f aca="false">Assumptions!$B$27*(1+T87)</f>
        <v>363688.694070039</v>
      </c>
      <c r="AA87" s="6" t="n">
        <f aca="false">(Z87+Assumptions!$B$28)*(1+U87)</f>
        <v>616803.293417506</v>
      </c>
      <c r="AB87" s="6" t="n">
        <f aca="false">AA87*(1+V87)</f>
        <v>700813.485785368</v>
      </c>
      <c r="AC87" s="6" t="n">
        <f aca="false">AB87*(1+W87)</f>
        <v>820578.022953254</v>
      </c>
      <c r="AD87" s="6" t="n">
        <f aca="false">AC87*(1+X87)</f>
        <v>854764.51573522</v>
      </c>
      <c r="AE87" s="6" t="n">
        <f aca="false">AD87*(1+Y87)</f>
        <v>790686.700951949</v>
      </c>
      <c r="AF87" s="6" t="n">
        <f aca="false">Z87</f>
        <v>363688.694070039</v>
      </c>
      <c r="AG87" s="6" t="n">
        <f aca="false">MAX(AF87,AA87)</f>
        <v>616803.293417506</v>
      </c>
      <c r="AH87" s="6" t="n">
        <f aca="false">MAX(AG87,AB87)</f>
        <v>700813.485785368</v>
      </c>
      <c r="AI87" s="6" t="n">
        <f aca="false">MAX(AH87,AC87)</f>
        <v>820578.022953254</v>
      </c>
      <c r="AJ87" s="6" t="n">
        <f aca="false">MAX(AI87,AD87)</f>
        <v>854764.51573522</v>
      </c>
      <c r="AK87" s="6" t="n">
        <f aca="false">MAX(AJ87,AE87)</f>
        <v>854764.51573522</v>
      </c>
      <c r="AL87" s="8" t="n">
        <f aca="false">MIN(Z87/AF87-1,AA87/AG87-1,AB87/AH87-1,AC87/AI87-1,AD87/AJ87-1,AE87/AK87-1)</f>
        <v>-0.0749654596133472</v>
      </c>
      <c r="AM87" s="6" t="n">
        <f aca="false">AE87-Assumptions!$B$35</f>
        <v>349422.704289445</v>
      </c>
    </row>
    <row r="88" customFormat="false" ht="15" hidden="false" customHeight="false" outlineLevel="0" collapsed="false">
      <c r="A88" s="0" t="n">
        <f aca="false">ROW()-1</f>
        <v>87</v>
      </c>
      <c r="B88" s="0" t="str">
        <f aca="true">IF(RAND()&lt;Assumptions!$B$11,"Bull","Bear")</f>
        <v>Bull</v>
      </c>
      <c r="C88" s="0" t="str">
        <f aca="true">IF(B88="Bull",IF(RAND()&lt;Assumptions!$B$7,"Bull","Bear"),IF(RAND()&lt;Assumptions!$B$10,"Bear","Bull"))</f>
        <v>Bull</v>
      </c>
      <c r="D88" s="0" t="str">
        <f aca="true">IF(C88="Bull",IF(RAND()&lt;Assumptions!$B$7,"Bull","Bear"),IF(RAND()&lt;Assumptions!$B$10,"Bear","Bull"))</f>
        <v>Bull</v>
      </c>
      <c r="E88" s="0" t="str">
        <f aca="true">IF(D88="Bull",IF(RAND()&lt;Assumptions!$B$7,"Bull","Bear"),IF(RAND()&lt;Assumptions!$B$10,"Bear","Bull"))</f>
        <v>Bull</v>
      </c>
      <c r="F88" s="0" t="str">
        <f aca="true">IF(E88="Bull",IF(RAND()&lt;Assumptions!$B$7,"Bull","Bear"),IF(RAND()&lt;Assumptions!$B$10,"Bear","Bull"))</f>
        <v>Bull</v>
      </c>
      <c r="G88" s="0" t="str">
        <f aca="true">IF(F88="Bull",IF(RAND()&lt;Assumptions!$B$7,"Bull","Bear"),IF(RAND()&lt;Assumptions!$B$10,"Bear","Bull"))</f>
        <v>Bull</v>
      </c>
      <c r="H88" s="8" t="n">
        <f aca="true">IF(B88="Bull",NORMINV(RAND(),Assumptions!$B$5,Assumptions!$B$6),NORMINV(RAND(),Assumptions!$B$8,Assumptions!$B$9))</f>
        <v>-0.0529663512523424</v>
      </c>
      <c r="I88" s="8" t="n">
        <f aca="true">IF(C88="Bull",NORMINV(RAND(),Assumptions!$B$5,Assumptions!$B$6),NORMINV(RAND(),Assumptions!$B$8,Assumptions!$B$9))</f>
        <v>0.0404670816940344</v>
      </c>
      <c r="J88" s="8" t="n">
        <f aca="true">IF(D88="Bull",NORMINV(RAND(),Assumptions!$B$5,Assumptions!$B$6),NORMINV(RAND(),Assumptions!$B$8,Assumptions!$B$9))</f>
        <v>0.217865272738187</v>
      </c>
      <c r="K88" s="8" t="n">
        <f aca="true">IF(E88="Bull",NORMINV(RAND(),Assumptions!$B$5,Assumptions!$B$6),NORMINV(RAND(),Assumptions!$B$8,Assumptions!$B$9))</f>
        <v>0.0709368751005903</v>
      </c>
      <c r="L88" s="8" t="n">
        <f aca="true">IF(F88="Bull",NORMINV(RAND(),Assumptions!$B$5,Assumptions!$B$6),NORMINV(RAND(),Assumptions!$B$8,Assumptions!$B$9))</f>
        <v>0.057001313905078</v>
      </c>
      <c r="M88" s="8" t="n">
        <f aca="true">IF(G88="Bull",NORMINV(RAND(),Assumptions!$B$5,Assumptions!$B$6),NORMINV(RAND(),Assumptions!$B$8,Assumptions!$B$9))</f>
        <v>0.0403822996666626</v>
      </c>
      <c r="N88" s="8" t="n">
        <f aca="true">NORMINV(RAND(),Assumptions!$B$14,Assumptions!$B$15)</f>
        <v>0.0927813753181256</v>
      </c>
      <c r="O88" s="8" t="n">
        <f aca="true">NORMINV(RAND(),Assumptions!$B$14,Assumptions!$B$15)</f>
        <v>0.0296094025020774</v>
      </c>
      <c r="P88" s="8" t="n">
        <f aca="true">NORMINV(RAND(),Assumptions!$B$14,Assumptions!$B$15)</f>
        <v>0.040667972627954</v>
      </c>
      <c r="Q88" s="8" t="n">
        <f aca="true">NORMINV(RAND(),Assumptions!$B$14,Assumptions!$B$15)</f>
        <v>0.042217953044379</v>
      </c>
      <c r="R88" s="8" t="n">
        <f aca="true">NORMINV(RAND(),Assumptions!$B$14,Assumptions!$B$15)</f>
        <v>0.0228325224821507</v>
      </c>
      <c r="S88" s="8" t="n">
        <f aca="true">NORMINV(RAND(),Assumptions!$B$14,Assumptions!$B$15)</f>
        <v>0.0544161405367245</v>
      </c>
      <c r="T88" s="8" t="n">
        <f aca="false">Assumptions!$B$19*H88+(1-Assumptions!$B$19)*N88</f>
        <v>-0.0529663512523424</v>
      </c>
      <c r="U88" s="8" t="n">
        <f aca="false">Assumptions!$B$20*I88+(1-Assumptions!$B$20)*O88</f>
        <v>0.0404670816940344</v>
      </c>
      <c r="V88" s="8" t="n">
        <f aca="false">Assumptions!$B$21*J88+(1-Assumptions!$B$21)*P88</f>
        <v>0.217865272738187</v>
      </c>
      <c r="W88" s="8" t="n">
        <f aca="false">Assumptions!$B$22*K88+(1-Assumptions!$B$22)*Q88</f>
        <v>0.0709368751005903</v>
      </c>
      <c r="X88" s="8" t="n">
        <f aca="false">Assumptions!$B$23*L88+(1-Assumptions!$B$23)*R88</f>
        <v>0.0501675556204926</v>
      </c>
      <c r="Y88" s="8" t="n">
        <f aca="false">Assumptions!$B$24*M88+(1-Assumptions!$B$24)*S88</f>
        <v>0.0459958360146874</v>
      </c>
      <c r="Z88" s="6" t="n">
        <f aca="false">Assumptions!$B$27*(1+T88)</f>
        <v>284110.094624297</v>
      </c>
      <c r="AA88" s="6" t="n">
        <f aca="false">(Z88+Assumptions!$B$28)*(1+U88)</f>
        <v>451677.263287664</v>
      </c>
      <c r="AB88" s="6" t="n">
        <f aca="false">AA88*(1+V88)</f>
        <v>550082.053443469</v>
      </c>
      <c r="AC88" s="6" t="n">
        <f aca="false">AB88*(1+W88)</f>
        <v>589103.155363664</v>
      </c>
      <c r="AD88" s="6" t="n">
        <f aca="false">AC88*(1+X88)</f>
        <v>618657.020676578</v>
      </c>
      <c r="AE88" s="6" t="n">
        <f aca="false">AD88*(1+Y88)</f>
        <v>647112.667548953</v>
      </c>
      <c r="AF88" s="6" t="n">
        <f aca="false">Z88</f>
        <v>284110.094624297</v>
      </c>
      <c r="AG88" s="6" t="n">
        <f aca="false">MAX(AF88,AA88)</f>
        <v>451677.263287664</v>
      </c>
      <c r="AH88" s="6" t="n">
        <f aca="false">MAX(AG88,AB88)</f>
        <v>550082.053443469</v>
      </c>
      <c r="AI88" s="6" t="n">
        <f aca="false">MAX(AH88,AC88)</f>
        <v>589103.155363664</v>
      </c>
      <c r="AJ88" s="6" t="n">
        <f aca="false">MAX(AI88,AD88)</f>
        <v>618657.020676578</v>
      </c>
      <c r="AK88" s="6" t="n">
        <f aca="false">MAX(AJ88,AE88)</f>
        <v>647112.667548953</v>
      </c>
      <c r="AL88" s="8" t="n">
        <f aca="false">MIN(Z88/AF88-1,AA88/AG88-1,AB88/AH88-1,AC88/AI88-1,AD88/AJ88-1,AE88/AK88-1)</f>
        <v>0</v>
      </c>
      <c r="AM88" s="6" t="n">
        <f aca="false">AE88-Assumptions!$B$35</f>
        <v>205848.67088645</v>
      </c>
    </row>
    <row r="89" customFormat="false" ht="15" hidden="false" customHeight="false" outlineLevel="0" collapsed="false">
      <c r="A89" s="0" t="n">
        <f aca="false">ROW()-1</f>
        <v>88</v>
      </c>
      <c r="B89" s="0" t="str">
        <f aca="true">IF(RAND()&lt;Assumptions!$B$11,"Bull","Bear")</f>
        <v>Bull</v>
      </c>
      <c r="C89" s="0" t="str">
        <f aca="true">IF(B89="Bull",IF(RAND()&lt;Assumptions!$B$7,"Bull","Bear"),IF(RAND()&lt;Assumptions!$B$10,"Bear","Bull"))</f>
        <v>Bull</v>
      </c>
      <c r="D89" s="0" t="str">
        <f aca="true">IF(C89="Bull",IF(RAND()&lt;Assumptions!$B$7,"Bull","Bear"),IF(RAND()&lt;Assumptions!$B$10,"Bear","Bull"))</f>
        <v>Bull</v>
      </c>
      <c r="E89" s="0" t="str">
        <f aca="true">IF(D89="Bull",IF(RAND()&lt;Assumptions!$B$7,"Bull","Bear"),IF(RAND()&lt;Assumptions!$B$10,"Bear","Bull"))</f>
        <v>Bull</v>
      </c>
      <c r="F89" s="0" t="str">
        <f aca="true">IF(E89="Bull",IF(RAND()&lt;Assumptions!$B$7,"Bull","Bear"),IF(RAND()&lt;Assumptions!$B$10,"Bear","Bull"))</f>
        <v>Bull</v>
      </c>
      <c r="G89" s="0" t="str">
        <f aca="true">IF(F89="Bull",IF(RAND()&lt;Assumptions!$B$7,"Bull","Bear"),IF(RAND()&lt;Assumptions!$B$10,"Bear","Bull"))</f>
        <v>Bull</v>
      </c>
      <c r="H89" s="8" t="n">
        <f aca="true">IF(B89="Bull",NORMINV(RAND(),Assumptions!$B$5,Assumptions!$B$6),NORMINV(RAND(),Assumptions!$B$8,Assumptions!$B$9))</f>
        <v>0.250888857856897</v>
      </c>
      <c r="I89" s="8" t="n">
        <f aca="true">IF(C89="Bull",NORMINV(RAND(),Assumptions!$B$5,Assumptions!$B$6),NORMINV(RAND(),Assumptions!$B$8,Assumptions!$B$9))</f>
        <v>0.326372164523627</v>
      </c>
      <c r="J89" s="8" t="n">
        <f aca="true">IF(D89="Bull",NORMINV(RAND(),Assumptions!$B$5,Assumptions!$B$6),NORMINV(RAND(),Assumptions!$B$8,Assumptions!$B$9))</f>
        <v>0.164418275487332</v>
      </c>
      <c r="K89" s="8" t="n">
        <f aca="true">IF(E89="Bull",NORMINV(RAND(),Assumptions!$B$5,Assumptions!$B$6),NORMINV(RAND(),Assumptions!$B$8,Assumptions!$B$9))</f>
        <v>0.202900174336282</v>
      </c>
      <c r="L89" s="8" t="n">
        <f aca="true">IF(F89="Bull",NORMINV(RAND(),Assumptions!$B$5,Assumptions!$B$6),NORMINV(RAND(),Assumptions!$B$8,Assumptions!$B$9))</f>
        <v>0.216028033195376</v>
      </c>
      <c r="M89" s="8" t="n">
        <f aca="true">IF(G89="Bull",NORMINV(RAND(),Assumptions!$B$5,Assumptions!$B$6),NORMINV(RAND(),Assumptions!$B$8,Assumptions!$B$9))</f>
        <v>0.133851551179114</v>
      </c>
      <c r="N89" s="8" t="n">
        <f aca="true">NORMINV(RAND(),Assumptions!$B$14,Assumptions!$B$15)</f>
        <v>-0.0228978669454706</v>
      </c>
      <c r="O89" s="8" t="n">
        <f aca="true">NORMINV(RAND(),Assumptions!$B$14,Assumptions!$B$15)</f>
        <v>0.0319800565582129</v>
      </c>
      <c r="P89" s="8" t="n">
        <f aca="true">NORMINV(RAND(),Assumptions!$B$14,Assumptions!$B$15)</f>
        <v>0.0200362951717798</v>
      </c>
      <c r="Q89" s="8" t="n">
        <f aca="true">NORMINV(RAND(),Assumptions!$B$14,Assumptions!$B$15)</f>
        <v>0.0565624384863283</v>
      </c>
      <c r="R89" s="8" t="n">
        <f aca="true">NORMINV(RAND(),Assumptions!$B$14,Assumptions!$B$15)</f>
        <v>-0.00018904982382846</v>
      </c>
      <c r="S89" s="8" t="n">
        <f aca="true">NORMINV(RAND(),Assumptions!$B$14,Assumptions!$B$15)</f>
        <v>0.0829537110714292</v>
      </c>
      <c r="T89" s="8" t="n">
        <f aca="false">Assumptions!$B$19*H89+(1-Assumptions!$B$19)*N89</f>
        <v>0.250888857856897</v>
      </c>
      <c r="U89" s="8" t="n">
        <f aca="false">Assumptions!$B$20*I89+(1-Assumptions!$B$20)*O89</f>
        <v>0.326372164523627</v>
      </c>
      <c r="V89" s="8" t="n">
        <f aca="false">Assumptions!$B$21*J89+(1-Assumptions!$B$21)*P89</f>
        <v>0.164418275487332</v>
      </c>
      <c r="W89" s="8" t="n">
        <f aca="false">Assumptions!$B$22*K89+(1-Assumptions!$B$22)*Q89</f>
        <v>0.202900174336282</v>
      </c>
      <c r="X89" s="8" t="n">
        <f aca="false">Assumptions!$B$23*L89+(1-Assumptions!$B$23)*R89</f>
        <v>0.172784616591535</v>
      </c>
      <c r="Y89" s="8" t="n">
        <f aca="false">Assumptions!$B$24*M89+(1-Assumptions!$B$24)*S89</f>
        <v>0.11349241513604</v>
      </c>
      <c r="Z89" s="6" t="n">
        <f aca="false">Assumptions!$B$27*(1+T89)</f>
        <v>375266.657357069</v>
      </c>
      <c r="AA89" s="6" t="n">
        <f aca="false">(Z89+Assumptions!$B$28)*(1+U89)</f>
        <v>696699.073270786</v>
      </c>
      <c r="AB89" s="6" t="n">
        <f aca="false">AA89*(1+V89)</f>
        <v>811249.133431591</v>
      </c>
      <c r="AC89" s="6" t="n">
        <f aca="false">AB89*(1+W89)</f>
        <v>975851.724035019</v>
      </c>
      <c r="AD89" s="6" t="n">
        <f aca="false">AC89*(1+X89)</f>
        <v>1144463.8900226</v>
      </c>
      <c r="AE89" s="6" t="n">
        <f aca="false">AD89*(1+Y89)</f>
        <v>1274351.86093725</v>
      </c>
      <c r="AF89" s="6" t="n">
        <f aca="false">Z89</f>
        <v>375266.657357069</v>
      </c>
      <c r="AG89" s="6" t="n">
        <f aca="false">MAX(AF89,AA89)</f>
        <v>696699.073270786</v>
      </c>
      <c r="AH89" s="6" t="n">
        <f aca="false">MAX(AG89,AB89)</f>
        <v>811249.133431591</v>
      </c>
      <c r="AI89" s="6" t="n">
        <f aca="false">MAX(AH89,AC89)</f>
        <v>975851.724035019</v>
      </c>
      <c r="AJ89" s="6" t="n">
        <f aca="false">MAX(AI89,AD89)</f>
        <v>1144463.8900226</v>
      </c>
      <c r="AK89" s="6" t="n">
        <f aca="false">MAX(AJ89,AE89)</f>
        <v>1274351.86093725</v>
      </c>
      <c r="AL89" s="8" t="n">
        <f aca="false">MIN(Z89/AF89-1,AA89/AG89-1,AB89/AH89-1,AC89/AI89-1,AD89/AJ89-1,AE89/AK89-1)</f>
        <v>0</v>
      </c>
      <c r="AM89" s="6" t="n">
        <f aca="false">AE89-Assumptions!$B$35</f>
        <v>833087.864274746</v>
      </c>
    </row>
    <row r="90" customFormat="false" ht="15" hidden="false" customHeight="false" outlineLevel="0" collapsed="false">
      <c r="A90" s="0" t="n">
        <f aca="false">ROW()-1</f>
        <v>89</v>
      </c>
      <c r="B90" s="0" t="str">
        <f aca="true">IF(RAND()&lt;Assumptions!$B$11,"Bull","Bear")</f>
        <v>Bull</v>
      </c>
      <c r="C90" s="0" t="str">
        <f aca="true">IF(B90="Bull",IF(RAND()&lt;Assumptions!$B$7,"Bull","Bear"),IF(RAND()&lt;Assumptions!$B$10,"Bear","Bull"))</f>
        <v>Bull</v>
      </c>
      <c r="D90" s="0" t="str">
        <f aca="true">IF(C90="Bull",IF(RAND()&lt;Assumptions!$B$7,"Bull","Bear"),IF(RAND()&lt;Assumptions!$B$10,"Bear","Bull"))</f>
        <v>Bull</v>
      </c>
      <c r="E90" s="0" t="str">
        <f aca="true">IF(D90="Bull",IF(RAND()&lt;Assumptions!$B$7,"Bull","Bear"),IF(RAND()&lt;Assumptions!$B$10,"Bear","Bull"))</f>
        <v>Bull</v>
      </c>
      <c r="F90" s="0" t="str">
        <f aca="true">IF(E90="Bull",IF(RAND()&lt;Assumptions!$B$7,"Bull","Bear"),IF(RAND()&lt;Assumptions!$B$10,"Bear","Bull"))</f>
        <v>Bull</v>
      </c>
      <c r="G90" s="0" t="str">
        <f aca="true">IF(F90="Bull",IF(RAND()&lt;Assumptions!$B$7,"Bull","Bear"),IF(RAND()&lt;Assumptions!$B$10,"Bear","Bull"))</f>
        <v>Bull</v>
      </c>
      <c r="H90" s="8" t="n">
        <f aca="true">IF(B90="Bull",NORMINV(RAND(),Assumptions!$B$5,Assumptions!$B$6),NORMINV(RAND(),Assumptions!$B$8,Assumptions!$B$9))</f>
        <v>0.0935466920700756</v>
      </c>
      <c r="I90" s="8" t="n">
        <f aca="true">IF(C90="Bull",NORMINV(RAND(),Assumptions!$B$5,Assumptions!$B$6),NORMINV(RAND(),Assumptions!$B$8,Assumptions!$B$9))</f>
        <v>0.168118322268932</v>
      </c>
      <c r="J90" s="8" t="n">
        <f aca="true">IF(D90="Bull",NORMINV(RAND(),Assumptions!$B$5,Assumptions!$B$6),NORMINV(RAND(),Assumptions!$B$8,Assumptions!$B$9))</f>
        <v>0.12171267189355</v>
      </c>
      <c r="K90" s="8" t="n">
        <f aca="true">IF(E90="Bull",NORMINV(RAND(),Assumptions!$B$5,Assumptions!$B$6),NORMINV(RAND(),Assumptions!$B$8,Assumptions!$B$9))</f>
        <v>0.280490673134659</v>
      </c>
      <c r="L90" s="8" t="n">
        <f aca="true">IF(F90="Bull",NORMINV(RAND(),Assumptions!$B$5,Assumptions!$B$6),NORMINV(RAND(),Assumptions!$B$8,Assumptions!$B$9))</f>
        <v>0.294243345469812</v>
      </c>
      <c r="M90" s="8" t="n">
        <f aca="true">IF(G90="Bull",NORMINV(RAND(),Assumptions!$B$5,Assumptions!$B$6),NORMINV(RAND(),Assumptions!$B$8,Assumptions!$B$9))</f>
        <v>0.0683837226051665</v>
      </c>
      <c r="N90" s="8" t="n">
        <f aca="true">NORMINV(RAND(),Assumptions!$B$14,Assumptions!$B$15)</f>
        <v>-0.0184000124926554</v>
      </c>
      <c r="O90" s="8" t="n">
        <f aca="true">NORMINV(RAND(),Assumptions!$B$14,Assumptions!$B$15)</f>
        <v>0.0461546369123769</v>
      </c>
      <c r="P90" s="8" t="n">
        <f aca="true">NORMINV(RAND(),Assumptions!$B$14,Assumptions!$B$15)</f>
        <v>0.105632258635337</v>
      </c>
      <c r="Q90" s="8" t="n">
        <f aca="true">NORMINV(RAND(),Assumptions!$B$14,Assumptions!$B$15)</f>
        <v>0.0474060693021936</v>
      </c>
      <c r="R90" s="8" t="n">
        <f aca="true">NORMINV(RAND(),Assumptions!$B$14,Assumptions!$B$15)</f>
        <v>0.0481149566989703</v>
      </c>
      <c r="S90" s="8" t="n">
        <f aca="true">NORMINV(RAND(),Assumptions!$B$14,Assumptions!$B$15)</f>
        <v>0.0684112256197545</v>
      </c>
      <c r="T90" s="8" t="n">
        <f aca="false">Assumptions!$B$19*H90+(1-Assumptions!$B$19)*N90</f>
        <v>0.0935466920700756</v>
      </c>
      <c r="U90" s="8" t="n">
        <f aca="false">Assumptions!$B$20*I90+(1-Assumptions!$B$20)*O90</f>
        <v>0.168118322268932</v>
      </c>
      <c r="V90" s="8" t="n">
        <f aca="false">Assumptions!$B$21*J90+(1-Assumptions!$B$21)*P90</f>
        <v>0.12171267189355</v>
      </c>
      <c r="W90" s="8" t="n">
        <f aca="false">Assumptions!$B$22*K90+(1-Assumptions!$B$22)*Q90</f>
        <v>0.280490673134659</v>
      </c>
      <c r="X90" s="8" t="n">
        <f aca="false">Assumptions!$B$23*L90+(1-Assumptions!$B$23)*R90</f>
        <v>0.245017667715644</v>
      </c>
      <c r="Y90" s="8" t="n">
        <f aca="false">Assumptions!$B$24*M90+(1-Assumptions!$B$24)*S90</f>
        <v>0.0683947238110017</v>
      </c>
      <c r="Z90" s="6" t="n">
        <f aca="false">Assumptions!$B$27*(1+T90)</f>
        <v>328064.007621023</v>
      </c>
      <c r="AA90" s="6" t="n">
        <f aca="false">(Z90+Assumptions!$B$28)*(1+U90)</f>
        <v>558435.326519431</v>
      </c>
      <c r="AB90" s="6" t="n">
        <f aca="false">AA90*(1+V90)</f>
        <v>626403.982189858</v>
      </c>
      <c r="AC90" s="6" t="n">
        <f aca="false">AB90*(1+W90)</f>
        <v>802104.456808522</v>
      </c>
      <c r="AD90" s="6" t="n">
        <f aca="false">AC90*(1+X90)</f>
        <v>998634.22008007</v>
      </c>
      <c r="AE90" s="6" t="n">
        <f aca="false">AD90*(1+Y90)</f>
        <v>1066935.53175066</v>
      </c>
      <c r="AF90" s="6" t="n">
        <f aca="false">Z90</f>
        <v>328064.007621023</v>
      </c>
      <c r="AG90" s="6" t="n">
        <f aca="false">MAX(AF90,AA90)</f>
        <v>558435.326519431</v>
      </c>
      <c r="AH90" s="6" t="n">
        <f aca="false">MAX(AG90,AB90)</f>
        <v>626403.982189858</v>
      </c>
      <c r="AI90" s="6" t="n">
        <f aca="false">MAX(AH90,AC90)</f>
        <v>802104.456808522</v>
      </c>
      <c r="AJ90" s="6" t="n">
        <f aca="false">MAX(AI90,AD90)</f>
        <v>998634.22008007</v>
      </c>
      <c r="AK90" s="6" t="n">
        <f aca="false">MAX(AJ90,AE90)</f>
        <v>1066935.53175066</v>
      </c>
      <c r="AL90" s="8" t="n">
        <f aca="false">MIN(Z90/AF90-1,AA90/AG90-1,AB90/AH90-1,AC90/AI90-1,AD90/AJ90-1,AE90/AK90-1)</f>
        <v>0</v>
      </c>
      <c r="AM90" s="6" t="n">
        <f aca="false">AE90-Assumptions!$B$35</f>
        <v>625671.535088158</v>
      </c>
    </row>
    <row r="91" customFormat="false" ht="15" hidden="false" customHeight="false" outlineLevel="0" collapsed="false">
      <c r="A91" s="0" t="n">
        <f aca="false">ROW()-1</f>
        <v>90</v>
      </c>
      <c r="B91" s="0" t="str">
        <f aca="true">IF(RAND()&lt;Assumptions!$B$11,"Bull","Bear")</f>
        <v>Bull</v>
      </c>
      <c r="C91" s="0" t="str">
        <f aca="true">IF(B91="Bull",IF(RAND()&lt;Assumptions!$B$7,"Bull","Bear"),IF(RAND()&lt;Assumptions!$B$10,"Bear","Bull"))</f>
        <v>Bull</v>
      </c>
      <c r="D91" s="0" t="str">
        <f aca="true">IF(C91="Bull",IF(RAND()&lt;Assumptions!$B$7,"Bull","Bear"),IF(RAND()&lt;Assumptions!$B$10,"Bear","Bull"))</f>
        <v>Bear</v>
      </c>
      <c r="E91" s="0" t="str">
        <f aca="true">IF(D91="Bull",IF(RAND()&lt;Assumptions!$B$7,"Bull","Bear"),IF(RAND()&lt;Assumptions!$B$10,"Bear","Bull"))</f>
        <v>Bear</v>
      </c>
      <c r="F91" s="0" t="str">
        <f aca="true">IF(E91="Bull",IF(RAND()&lt;Assumptions!$B$7,"Bull","Bear"),IF(RAND()&lt;Assumptions!$B$10,"Bear","Bull"))</f>
        <v>Bull</v>
      </c>
      <c r="G91" s="0" t="str">
        <f aca="true">IF(F91="Bull",IF(RAND()&lt;Assumptions!$B$7,"Bull","Bear"),IF(RAND()&lt;Assumptions!$B$10,"Bear","Bull"))</f>
        <v>Bull</v>
      </c>
      <c r="H91" s="8" t="n">
        <f aca="true">IF(B91="Bull",NORMINV(RAND(),Assumptions!$B$5,Assumptions!$B$6),NORMINV(RAND(),Assumptions!$B$8,Assumptions!$B$9))</f>
        <v>0.125112351385882</v>
      </c>
      <c r="I91" s="8" t="n">
        <f aca="true">IF(C91="Bull",NORMINV(RAND(),Assumptions!$B$5,Assumptions!$B$6),NORMINV(RAND(),Assumptions!$B$8,Assumptions!$B$9))</f>
        <v>0.284846311419407</v>
      </c>
      <c r="J91" s="8" t="n">
        <f aca="true">IF(D91="Bull",NORMINV(RAND(),Assumptions!$B$5,Assumptions!$B$6),NORMINV(RAND(),Assumptions!$B$8,Assumptions!$B$9))</f>
        <v>-0.174021354917867</v>
      </c>
      <c r="K91" s="8" t="n">
        <f aca="true">IF(E91="Bull",NORMINV(RAND(),Assumptions!$B$5,Assumptions!$B$6),NORMINV(RAND(),Assumptions!$B$8,Assumptions!$B$9))</f>
        <v>-0.409443747069679</v>
      </c>
      <c r="L91" s="8" t="n">
        <f aca="true">IF(F91="Bull",NORMINV(RAND(),Assumptions!$B$5,Assumptions!$B$6),NORMINV(RAND(),Assumptions!$B$8,Assumptions!$B$9))</f>
        <v>0.121305266205742</v>
      </c>
      <c r="M91" s="8" t="n">
        <f aca="true">IF(G91="Bull",NORMINV(RAND(),Assumptions!$B$5,Assumptions!$B$6),NORMINV(RAND(),Assumptions!$B$8,Assumptions!$B$9))</f>
        <v>0.244443905905655</v>
      </c>
      <c r="N91" s="8" t="n">
        <f aca="true">NORMINV(RAND(),Assumptions!$B$14,Assumptions!$B$15)</f>
        <v>0.0239280236065221</v>
      </c>
      <c r="O91" s="8" t="n">
        <f aca="true">NORMINV(RAND(),Assumptions!$B$14,Assumptions!$B$15)</f>
        <v>0.080796185835697</v>
      </c>
      <c r="P91" s="8" t="n">
        <f aca="true">NORMINV(RAND(),Assumptions!$B$14,Assumptions!$B$15)</f>
        <v>0.0649738714308866</v>
      </c>
      <c r="Q91" s="8" t="n">
        <f aca="true">NORMINV(RAND(),Assumptions!$B$14,Assumptions!$B$15)</f>
        <v>-0.000530800009377094</v>
      </c>
      <c r="R91" s="8" t="n">
        <f aca="true">NORMINV(RAND(),Assumptions!$B$14,Assumptions!$B$15)</f>
        <v>0.0713300747799472</v>
      </c>
      <c r="S91" s="8" t="n">
        <f aca="true">NORMINV(RAND(),Assumptions!$B$14,Assumptions!$B$15)</f>
        <v>0.00816031499623515</v>
      </c>
      <c r="T91" s="8" t="n">
        <f aca="false">Assumptions!$B$19*H91+(1-Assumptions!$B$19)*N91</f>
        <v>0.125112351385882</v>
      </c>
      <c r="U91" s="8" t="n">
        <f aca="false">Assumptions!$B$20*I91+(1-Assumptions!$B$20)*O91</f>
        <v>0.284846311419407</v>
      </c>
      <c r="V91" s="8" t="n">
        <f aca="false">Assumptions!$B$21*J91+(1-Assumptions!$B$21)*P91</f>
        <v>-0.174021354917867</v>
      </c>
      <c r="W91" s="8" t="n">
        <f aca="false">Assumptions!$B$22*K91+(1-Assumptions!$B$22)*Q91</f>
        <v>-0.409443747069679</v>
      </c>
      <c r="X91" s="8" t="n">
        <f aca="false">Assumptions!$B$23*L91+(1-Assumptions!$B$23)*R91</f>
        <v>0.111310227920583</v>
      </c>
      <c r="Y91" s="8" t="n">
        <f aca="false">Assumptions!$B$24*M91+(1-Assumptions!$B$24)*S91</f>
        <v>0.149930469541887</v>
      </c>
      <c r="Z91" s="6" t="n">
        <f aca="false">Assumptions!$B$27*(1+T91)</f>
        <v>337533.705415765</v>
      </c>
      <c r="AA91" s="6" t="n">
        <f aca="false">(Z91+Assumptions!$B$28)*(1+U91)</f>
        <v>626405.883096081</v>
      </c>
      <c r="AB91" s="6" t="n">
        <f aca="false">AA91*(1+V91)</f>
        <v>517397.882591178</v>
      </c>
      <c r="AC91" s="6" t="n">
        <f aca="false">AB91*(1+W91)</f>
        <v>305552.554817128</v>
      </c>
      <c r="AD91" s="6" t="n">
        <f aca="false">AC91*(1+X91)</f>
        <v>339563.679335539</v>
      </c>
      <c r="AE91" s="6" t="n">
        <f aca="false">AD91*(1+Y91)</f>
        <v>390474.621217687</v>
      </c>
      <c r="AF91" s="6" t="n">
        <f aca="false">Z91</f>
        <v>337533.705415765</v>
      </c>
      <c r="AG91" s="6" t="n">
        <f aca="false">MAX(AF91,AA91)</f>
        <v>626405.883096081</v>
      </c>
      <c r="AH91" s="6" t="n">
        <f aca="false">MAX(AG91,AB91)</f>
        <v>626405.883096081</v>
      </c>
      <c r="AI91" s="6" t="n">
        <f aca="false">MAX(AH91,AC91)</f>
        <v>626405.883096081</v>
      </c>
      <c r="AJ91" s="6" t="n">
        <f aca="false">MAX(AI91,AD91)</f>
        <v>626405.883096081</v>
      </c>
      <c r="AK91" s="6" t="n">
        <f aca="false">MAX(AJ91,AE91)</f>
        <v>626405.883096081</v>
      </c>
      <c r="AL91" s="8" t="n">
        <f aca="false">MIN(Z91/AF91-1,AA91/AG91-1,AB91/AH91-1,AC91/AI91-1,AD91/AJ91-1,AE91/AK91-1)</f>
        <v>-0.512213146359832</v>
      </c>
      <c r="AM91" s="6" t="n">
        <f aca="false">AE91-Assumptions!$B$35</f>
        <v>-50789.3754448161</v>
      </c>
    </row>
    <row r="92" customFormat="false" ht="15" hidden="false" customHeight="false" outlineLevel="0" collapsed="false">
      <c r="A92" s="0" t="n">
        <f aca="false">ROW()-1</f>
        <v>91</v>
      </c>
      <c r="B92" s="0" t="str">
        <f aca="true">IF(RAND()&lt;Assumptions!$B$11,"Bull","Bear")</f>
        <v>Bull</v>
      </c>
      <c r="C92" s="0" t="str">
        <f aca="true">IF(B92="Bull",IF(RAND()&lt;Assumptions!$B$7,"Bull","Bear"),IF(RAND()&lt;Assumptions!$B$10,"Bear","Bull"))</f>
        <v>Bear</v>
      </c>
      <c r="D92" s="0" t="str">
        <f aca="true">IF(C92="Bull",IF(RAND()&lt;Assumptions!$B$7,"Bull","Bear"),IF(RAND()&lt;Assumptions!$B$10,"Bear","Bull"))</f>
        <v>Bull</v>
      </c>
      <c r="E92" s="0" t="str">
        <f aca="true">IF(D92="Bull",IF(RAND()&lt;Assumptions!$B$7,"Bull","Bear"),IF(RAND()&lt;Assumptions!$B$10,"Bear","Bull"))</f>
        <v>Bull</v>
      </c>
      <c r="F92" s="0" t="str">
        <f aca="true">IF(E92="Bull",IF(RAND()&lt;Assumptions!$B$7,"Bull","Bear"),IF(RAND()&lt;Assumptions!$B$10,"Bear","Bull"))</f>
        <v>Bull</v>
      </c>
      <c r="G92" s="0" t="str">
        <f aca="true">IF(F92="Bull",IF(RAND()&lt;Assumptions!$B$7,"Bull","Bear"),IF(RAND()&lt;Assumptions!$B$10,"Bear","Bull"))</f>
        <v>Bull</v>
      </c>
      <c r="H92" s="8" t="n">
        <f aca="true">IF(B92="Bull",NORMINV(RAND(),Assumptions!$B$5,Assumptions!$B$6),NORMINV(RAND(),Assumptions!$B$8,Assumptions!$B$9))</f>
        <v>0.162416050866757</v>
      </c>
      <c r="I92" s="8" t="n">
        <f aca="true">IF(C92="Bull",NORMINV(RAND(),Assumptions!$B$5,Assumptions!$B$6),NORMINV(RAND(),Assumptions!$B$8,Assumptions!$B$9))</f>
        <v>-0.439813197037467</v>
      </c>
      <c r="J92" s="8" t="n">
        <f aca="true">IF(D92="Bull",NORMINV(RAND(),Assumptions!$B$5,Assumptions!$B$6),NORMINV(RAND(),Assumptions!$B$8,Assumptions!$B$9))</f>
        <v>0.107204809190885</v>
      </c>
      <c r="K92" s="8" t="n">
        <f aca="true">IF(E92="Bull",NORMINV(RAND(),Assumptions!$B$5,Assumptions!$B$6),NORMINV(RAND(),Assumptions!$B$8,Assumptions!$B$9))</f>
        <v>0.147019452094591</v>
      </c>
      <c r="L92" s="8" t="n">
        <f aca="true">IF(F92="Bull",NORMINV(RAND(),Assumptions!$B$5,Assumptions!$B$6),NORMINV(RAND(),Assumptions!$B$8,Assumptions!$B$9))</f>
        <v>0.156182777949747</v>
      </c>
      <c r="M92" s="8" t="n">
        <f aca="true">IF(G92="Bull",NORMINV(RAND(),Assumptions!$B$5,Assumptions!$B$6),NORMINV(RAND(),Assumptions!$B$8,Assumptions!$B$9))</f>
        <v>0.0353033865346366</v>
      </c>
      <c r="N92" s="8" t="n">
        <f aca="true">NORMINV(RAND(),Assumptions!$B$14,Assumptions!$B$15)</f>
        <v>0.070744425109853</v>
      </c>
      <c r="O92" s="8" t="n">
        <f aca="true">NORMINV(RAND(),Assumptions!$B$14,Assumptions!$B$15)</f>
        <v>0.078060498467262</v>
      </c>
      <c r="P92" s="8" t="n">
        <f aca="true">NORMINV(RAND(),Assumptions!$B$14,Assumptions!$B$15)</f>
        <v>0.0317883044211408</v>
      </c>
      <c r="Q92" s="8" t="n">
        <f aca="true">NORMINV(RAND(),Assumptions!$B$14,Assumptions!$B$15)</f>
        <v>-0.0141228888378769</v>
      </c>
      <c r="R92" s="8" t="n">
        <f aca="true">NORMINV(RAND(),Assumptions!$B$14,Assumptions!$B$15)</f>
        <v>0.0770775761550243</v>
      </c>
      <c r="S92" s="8" t="n">
        <f aca="true">NORMINV(RAND(),Assumptions!$B$14,Assumptions!$B$15)</f>
        <v>0.0248389512747954</v>
      </c>
      <c r="T92" s="8" t="n">
        <f aca="false">Assumptions!$B$19*H92+(1-Assumptions!$B$19)*N92</f>
        <v>0.162416050866757</v>
      </c>
      <c r="U92" s="8" t="n">
        <f aca="false">Assumptions!$B$20*I92+(1-Assumptions!$B$20)*O92</f>
        <v>-0.439813197037467</v>
      </c>
      <c r="V92" s="8" t="n">
        <f aca="false">Assumptions!$B$21*J92+(1-Assumptions!$B$21)*P92</f>
        <v>0.107204809190885</v>
      </c>
      <c r="W92" s="8" t="n">
        <f aca="false">Assumptions!$B$22*K92+(1-Assumptions!$B$22)*Q92</f>
        <v>0.147019452094591</v>
      </c>
      <c r="X92" s="8" t="n">
        <f aca="false">Assumptions!$B$23*L92+(1-Assumptions!$B$23)*R92</f>
        <v>0.140361737590802</v>
      </c>
      <c r="Y92" s="8" t="n">
        <f aca="false">Assumptions!$B$24*M92+(1-Assumptions!$B$24)*S92</f>
        <v>0.0311176124307001</v>
      </c>
      <c r="Z92" s="6" t="n">
        <f aca="false">Assumptions!$B$27*(1+T92)</f>
        <v>348724.815260027</v>
      </c>
      <c r="AA92" s="6" t="n">
        <f aca="false">(Z92+Assumptions!$B$28)*(1+U92)</f>
        <v>279379.059818594</v>
      </c>
      <c r="AB92" s="6" t="n">
        <f aca="false">AA92*(1+V92)</f>
        <v>309329.838618376</v>
      </c>
      <c r="AC92" s="6" t="n">
        <f aca="false">AB92*(1+W92)</f>
        <v>354807.342008558</v>
      </c>
      <c r="AD92" s="6" t="n">
        <f aca="false">AC92*(1+X92)</f>
        <v>404608.717042853</v>
      </c>
      <c r="AE92" s="6" t="n">
        <f aca="false">AD92*(1+Y92)</f>
        <v>417199.174285875</v>
      </c>
      <c r="AF92" s="6" t="n">
        <f aca="false">Z92</f>
        <v>348724.815260027</v>
      </c>
      <c r="AG92" s="6" t="n">
        <f aca="false">MAX(AF92,AA92)</f>
        <v>348724.815260027</v>
      </c>
      <c r="AH92" s="6" t="n">
        <f aca="false">MAX(AG92,AB92)</f>
        <v>348724.815260027</v>
      </c>
      <c r="AI92" s="6" t="n">
        <f aca="false">MAX(AH92,AC92)</f>
        <v>354807.342008558</v>
      </c>
      <c r="AJ92" s="6" t="n">
        <f aca="false">MAX(AI92,AD92)</f>
        <v>404608.717042853</v>
      </c>
      <c r="AK92" s="6" t="n">
        <f aca="false">MAX(AJ92,AE92)</f>
        <v>417199.174285875</v>
      </c>
      <c r="AL92" s="8" t="n">
        <f aca="false">MIN(Z92/AF92-1,AA92/AG92-1,AB92/AH92-1,AC92/AI92-1,AD92/AJ92-1,AE92/AK92-1)</f>
        <v>-0.198855236011022</v>
      </c>
      <c r="AM92" s="6" t="n">
        <f aca="false">AE92-Assumptions!$B$35</f>
        <v>-24064.8223766285</v>
      </c>
    </row>
    <row r="93" customFormat="false" ht="15" hidden="false" customHeight="false" outlineLevel="0" collapsed="false">
      <c r="A93" s="0" t="n">
        <f aca="false">ROW()-1</f>
        <v>92</v>
      </c>
      <c r="B93" s="0" t="str">
        <f aca="true">IF(RAND()&lt;Assumptions!$B$11,"Bull","Bear")</f>
        <v>Bull</v>
      </c>
      <c r="C93" s="0" t="str">
        <f aca="true">IF(B93="Bull",IF(RAND()&lt;Assumptions!$B$7,"Bull","Bear"),IF(RAND()&lt;Assumptions!$B$10,"Bear","Bull"))</f>
        <v>Bull</v>
      </c>
      <c r="D93" s="0" t="str">
        <f aca="true">IF(C93="Bull",IF(RAND()&lt;Assumptions!$B$7,"Bull","Bear"),IF(RAND()&lt;Assumptions!$B$10,"Bear","Bull"))</f>
        <v>Bull</v>
      </c>
      <c r="E93" s="0" t="str">
        <f aca="true">IF(D93="Bull",IF(RAND()&lt;Assumptions!$B$7,"Bull","Bear"),IF(RAND()&lt;Assumptions!$B$10,"Bear","Bull"))</f>
        <v>Bull</v>
      </c>
      <c r="F93" s="0" t="str">
        <f aca="true">IF(E93="Bull",IF(RAND()&lt;Assumptions!$B$7,"Bull","Bear"),IF(RAND()&lt;Assumptions!$B$10,"Bear","Bull"))</f>
        <v>Bear</v>
      </c>
      <c r="G93" s="0" t="str">
        <f aca="true">IF(F93="Bull",IF(RAND()&lt;Assumptions!$B$7,"Bull","Bear"),IF(RAND()&lt;Assumptions!$B$10,"Bear","Bull"))</f>
        <v>Bear</v>
      </c>
      <c r="H93" s="8" t="n">
        <f aca="true">IF(B93="Bull",NORMINV(RAND(),Assumptions!$B$5,Assumptions!$B$6),NORMINV(RAND(),Assumptions!$B$8,Assumptions!$B$9))</f>
        <v>0.150358750187291</v>
      </c>
      <c r="I93" s="8" t="n">
        <f aca="true">IF(C93="Bull",NORMINV(RAND(),Assumptions!$B$5,Assumptions!$B$6),NORMINV(RAND(),Assumptions!$B$8,Assumptions!$B$9))</f>
        <v>0.177250573647475</v>
      </c>
      <c r="J93" s="8" t="n">
        <f aca="true">IF(D93="Bull",NORMINV(RAND(),Assumptions!$B$5,Assumptions!$B$6),NORMINV(RAND(),Assumptions!$B$8,Assumptions!$B$9))</f>
        <v>0.0433999983244085</v>
      </c>
      <c r="K93" s="8" t="n">
        <f aca="true">IF(E93="Bull",NORMINV(RAND(),Assumptions!$B$5,Assumptions!$B$6),NORMINV(RAND(),Assumptions!$B$8,Assumptions!$B$9))</f>
        <v>0.0583277846760727</v>
      </c>
      <c r="L93" s="8" t="n">
        <f aca="true">IF(F93="Bull",NORMINV(RAND(),Assumptions!$B$5,Assumptions!$B$6),NORMINV(RAND(),Assumptions!$B$8,Assumptions!$B$9))</f>
        <v>-0.0702930065081708</v>
      </c>
      <c r="M93" s="8" t="n">
        <f aca="true">IF(G93="Bull",NORMINV(RAND(),Assumptions!$B$5,Assumptions!$B$6),NORMINV(RAND(),Assumptions!$B$8,Assumptions!$B$9))</f>
        <v>0.0271523431593361</v>
      </c>
      <c r="N93" s="8" t="n">
        <f aca="true">NORMINV(RAND(),Assumptions!$B$14,Assumptions!$B$15)</f>
        <v>0.00552353229197659</v>
      </c>
      <c r="O93" s="8" t="n">
        <f aca="true">NORMINV(RAND(),Assumptions!$B$14,Assumptions!$B$15)</f>
        <v>0.107417299727994</v>
      </c>
      <c r="P93" s="8" t="n">
        <f aca="true">NORMINV(RAND(),Assumptions!$B$14,Assumptions!$B$15)</f>
        <v>0.068114375576318</v>
      </c>
      <c r="Q93" s="8" t="n">
        <f aca="true">NORMINV(RAND(),Assumptions!$B$14,Assumptions!$B$15)</f>
        <v>-0.00412701829058543</v>
      </c>
      <c r="R93" s="8" t="n">
        <f aca="true">NORMINV(RAND(),Assumptions!$B$14,Assumptions!$B$15)</f>
        <v>0.0670374675656021</v>
      </c>
      <c r="S93" s="8" t="n">
        <f aca="true">NORMINV(RAND(),Assumptions!$B$14,Assumptions!$B$15)</f>
        <v>0.0547223448119494</v>
      </c>
      <c r="T93" s="8" t="n">
        <f aca="false">Assumptions!$B$19*H93+(1-Assumptions!$B$19)*N93</f>
        <v>0.150358750187291</v>
      </c>
      <c r="U93" s="8" t="n">
        <f aca="false">Assumptions!$B$20*I93+(1-Assumptions!$B$20)*O93</f>
        <v>0.177250573647475</v>
      </c>
      <c r="V93" s="8" t="n">
        <f aca="false">Assumptions!$B$21*J93+(1-Assumptions!$B$21)*P93</f>
        <v>0.0433999983244085</v>
      </c>
      <c r="W93" s="8" t="n">
        <f aca="false">Assumptions!$B$22*K93+(1-Assumptions!$B$22)*Q93</f>
        <v>0.0583277846760727</v>
      </c>
      <c r="X93" s="8" t="n">
        <f aca="false">Assumptions!$B$23*L93+(1-Assumptions!$B$23)*R93</f>
        <v>-0.0428269116934162</v>
      </c>
      <c r="Y93" s="8" t="n">
        <f aca="false">Assumptions!$B$24*M93+(1-Assumptions!$B$24)*S93</f>
        <v>0.0381803438203814</v>
      </c>
      <c r="Z93" s="6" t="n">
        <f aca="false">Assumptions!$B$27*(1+T93)</f>
        <v>345107.625056187</v>
      </c>
      <c r="AA93" s="6" t="n">
        <f aca="false">(Z93+Assumptions!$B$28)*(1+U93)</f>
        <v>582865.735614636</v>
      </c>
      <c r="AB93" s="6" t="n">
        <f aca="false">AA93*(1+V93)</f>
        <v>608162.107563666</v>
      </c>
      <c r="AC93" s="6" t="n">
        <f aca="false">AB93*(1+W93)</f>
        <v>643634.856021786</v>
      </c>
      <c r="AD93" s="6" t="n">
        <f aca="false">AC93*(1+X93)</f>
        <v>616069.962880136</v>
      </c>
      <c r="AE93" s="6" t="n">
        <f aca="false">AD93*(1+Y93)</f>
        <v>639591.72588031</v>
      </c>
      <c r="AF93" s="6" t="n">
        <f aca="false">Z93</f>
        <v>345107.625056187</v>
      </c>
      <c r="AG93" s="6" t="n">
        <f aca="false">MAX(AF93,AA93)</f>
        <v>582865.735614636</v>
      </c>
      <c r="AH93" s="6" t="n">
        <f aca="false">MAX(AG93,AB93)</f>
        <v>608162.107563666</v>
      </c>
      <c r="AI93" s="6" t="n">
        <f aca="false">MAX(AH93,AC93)</f>
        <v>643634.856021786</v>
      </c>
      <c r="AJ93" s="6" t="n">
        <f aca="false">MAX(AI93,AD93)</f>
        <v>643634.856021786</v>
      </c>
      <c r="AK93" s="6" t="n">
        <f aca="false">MAX(AJ93,AE93)</f>
        <v>643634.856021786</v>
      </c>
      <c r="AL93" s="8" t="n">
        <f aca="false">MIN(Z93/AF93-1,AA93/AG93-1,AB93/AH93-1,AC93/AI93-1,AD93/AJ93-1,AE93/AK93-1)</f>
        <v>-0.0428269116934161</v>
      </c>
      <c r="AM93" s="6" t="n">
        <f aca="false">AE93-Assumptions!$B$35</f>
        <v>198327.729217806</v>
      </c>
    </row>
    <row r="94" customFormat="false" ht="15" hidden="false" customHeight="false" outlineLevel="0" collapsed="false">
      <c r="A94" s="0" t="n">
        <f aca="false">ROW()-1</f>
        <v>93</v>
      </c>
      <c r="B94" s="0" t="str">
        <f aca="true">IF(RAND()&lt;Assumptions!$B$11,"Bull","Bear")</f>
        <v>Bull</v>
      </c>
      <c r="C94" s="0" t="str">
        <f aca="true">IF(B94="Bull",IF(RAND()&lt;Assumptions!$B$7,"Bull","Bear"),IF(RAND()&lt;Assumptions!$B$10,"Bear","Bull"))</f>
        <v>Bull</v>
      </c>
      <c r="D94" s="0" t="str">
        <f aca="true">IF(C94="Bull",IF(RAND()&lt;Assumptions!$B$7,"Bull","Bear"),IF(RAND()&lt;Assumptions!$B$10,"Bear","Bull"))</f>
        <v>Bull</v>
      </c>
      <c r="E94" s="0" t="str">
        <f aca="true">IF(D94="Bull",IF(RAND()&lt;Assumptions!$B$7,"Bull","Bear"),IF(RAND()&lt;Assumptions!$B$10,"Bear","Bull"))</f>
        <v>Bull</v>
      </c>
      <c r="F94" s="0" t="str">
        <f aca="true">IF(E94="Bull",IF(RAND()&lt;Assumptions!$B$7,"Bull","Bear"),IF(RAND()&lt;Assumptions!$B$10,"Bear","Bull"))</f>
        <v>Bear</v>
      </c>
      <c r="G94" s="0" t="str">
        <f aca="true">IF(F94="Bull",IF(RAND()&lt;Assumptions!$B$7,"Bull","Bear"),IF(RAND()&lt;Assumptions!$B$10,"Bear","Bull"))</f>
        <v>Bear</v>
      </c>
      <c r="H94" s="8" t="n">
        <f aca="true">IF(B94="Bull",NORMINV(RAND(),Assumptions!$B$5,Assumptions!$B$6),NORMINV(RAND(),Assumptions!$B$8,Assumptions!$B$9))</f>
        <v>0.0932121151857176</v>
      </c>
      <c r="I94" s="8" t="n">
        <f aca="true">IF(C94="Bull",NORMINV(RAND(),Assumptions!$B$5,Assumptions!$B$6),NORMINV(RAND(),Assumptions!$B$8,Assumptions!$B$9))</f>
        <v>0.229951639388442</v>
      </c>
      <c r="J94" s="8" t="n">
        <f aca="true">IF(D94="Bull",NORMINV(RAND(),Assumptions!$B$5,Assumptions!$B$6),NORMINV(RAND(),Assumptions!$B$8,Assumptions!$B$9))</f>
        <v>0.179014594415963</v>
      </c>
      <c r="K94" s="8" t="n">
        <f aca="true">IF(E94="Bull",NORMINV(RAND(),Assumptions!$B$5,Assumptions!$B$6),NORMINV(RAND(),Assumptions!$B$8,Assumptions!$B$9))</f>
        <v>0.172492926126658</v>
      </c>
      <c r="L94" s="8" t="n">
        <f aca="true">IF(F94="Bull",NORMINV(RAND(),Assumptions!$B$5,Assumptions!$B$6),NORMINV(RAND(),Assumptions!$B$8,Assumptions!$B$9))</f>
        <v>-0.023752906747665</v>
      </c>
      <c r="M94" s="8" t="n">
        <f aca="true">IF(G94="Bull",NORMINV(RAND(),Assumptions!$B$5,Assumptions!$B$6),NORMINV(RAND(),Assumptions!$B$8,Assumptions!$B$9))</f>
        <v>-0.0419093555866529</v>
      </c>
      <c r="N94" s="8" t="n">
        <f aca="true">NORMINV(RAND(),Assumptions!$B$14,Assumptions!$B$15)</f>
        <v>0.0459046501321478</v>
      </c>
      <c r="O94" s="8" t="n">
        <f aca="true">NORMINV(RAND(),Assumptions!$B$14,Assumptions!$B$15)</f>
        <v>0.0834569500248301</v>
      </c>
      <c r="P94" s="8" t="n">
        <f aca="true">NORMINV(RAND(),Assumptions!$B$14,Assumptions!$B$15)</f>
        <v>0.0559572470615539</v>
      </c>
      <c r="Q94" s="8" t="n">
        <f aca="true">NORMINV(RAND(),Assumptions!$B$14,Assumptions!$B$15)</f>
        <v>0.0655103536588516</v>
      </c>
      <c r="R94" s="8" t="n">
        <f aca="true">NORMINV(RAND(),Assumptions!$B$14,Assumptions!$B$15)</f>
        <v>0.036310126486918</v>
      </c>
      <c r="S94" s="8" t="n">
        <f aca="true">NORMINV(RAND(),Assumptions!$B$14,Assumptions!$B$15)</f>
        <v>0.0170006043130986</v>
      </c>
      <c r="T94" s="8" t="n">
        <f aca="false">Assumptions!$B$19*H94+(1-Assumptions!$B$19)*N94</f>
        <v>0.0932121151857176</v>
      </c>
      <c r="U94" s="8" t="n">
        <f aca="false">Assumptions!$B$20*I94+(1-Assumptions!$B$20)*O94</f>
        <v>0.229951639388442</v>
      </c>
      <c r="V94" s="8" t="n">
        <f aca="false">Assumptions!$B$21*J94+(1-Assumptions!$B$21)*P94</f>
        <v>0.179014594415963</v>
      </c>
      <c r="W94" s="8" t="n">
        <f aca="false">Assumptions!$B$22*K94+(1-Assumptions!$B$22)*Q94</f>
        <v>0.172492926126658</v>
      </c>
      <c r="X94" s="8" t="n">
        <f aca="false">Assumptions!$B$23*L94+(1-Assumptions!$B$23)*R94</f>
        <v>-0.0117403001007484</v>
      </c>
      <c r="Y94" s="8" t="n">
        <f aca="false">Assumptions!$B$24*M94+(1-Assumptions!$B$24)*S94</f>
        <v>-0.0183453716267523</v>
      </c>
      <c r="Z94" s="6" t="n">
        <f aca="false">Assumptions!$B$27*(1+T94)</f>
        <v>327963.634555715</v>
      </c>
      <c r="AA94" s="6" t="n">
        <f aca="false">(Z94+Assumptions!$B$28)*(1+U94)</f>
        <v>587872.15588986</v>
      </c>
      <c r="AB94" s="6" t="n">
        <f aca="false">AA94*(1+V94)</f>
        <v>693109.851444922</v>
      </c>
      <c r="AC94" s="6" t="n">
        <f aca="false">AB94*(1+W94)</f>
        <v>812666.397847869</v>
      </c>
      <c r="AD94" s="6" t="n">
        <f aca="false">AC94*(1+X94)</f>
        <v>803125.450455341</v>
      </c>
      <c r="AE94" s="6" t="n">
        <f aca="false">AD94*(1+Y94)</f>
        <v>788391.815603835</v>
      </c>
      <c r="AF94" s="6" t="n">
        <f aca="false">Z94</f>
        <v>327963.634555715</v>
      </c>
      <c r="AG94" s="6" t="n">
        <f aca="false">MAX(AF94,AA94)</f>
        <v>587872.15588986</v>
      </c>
      <c r="AH94" s="6" t="n">
        <f aca="false">MAX(AG94,AB94)</f>
        <v>693109.851444922</v>
      </c>
      <c r="AI94" s="6" t="n">
        <f aca="false">MAX(AH94,AC94)</f>
        <v>812666.397847869</v>
      </c>
      <c r="AJ94" s="6" t="n">
        <f aca="false">MAX(AI94,AD94)</f>
        <v>812666.397847869</v>
      </c>
      <c r="AK94" s="6" t="n">
        <f aca="false">MAX(AJ94,AE94)</f>
        <v>812666.397847869</v>
      </c>
      <c r="AL94" s="8" t="n">
        <f aca="false">MIN(Z94/AF94-1,AA94/AG94-1,AB94/AH94-1,AC94/AI94-1,AD94/AJ94-1,AE94/AK94-1)</f>
        <v>-0.0298702915591429</v>
      </c>
      <c r="AM94" s="6" t="n">
        <f aca="false">AE94-Assumptions!$B$35</f>
        <v>347127.818941332</v>
      </c>
    </row>
    <row r="95" customFormat="false" ht="15" hidden="false" customHeight="false" outlineLevel="0" collapsed="false">
      <c r="A95" s="0" t="n">
        <f aca="false">ROW()-1</f>
        <v>94</v>
      </c>
      <c r="B95" s="0" t="str">
        <f aca="true">IF(RAND()&lt;Assumptions!$B$11,"Bull","Bear")</f>
        <v>Bear</v>
      </c>
      <c r="C95" s="0" t="str">
        <f aca="true">IF(B95="Bull",IF(RAND()&lt;Assumptions!$B$7,"Bull","Bear"),IF(RAND()&lt;Assumptions!$B$10,"Bear","Bull"))</f>
        <v>Bull</v>
      </c>
      <c r="D95" s="0" t="str">
        <f aca="true">IF(C95="Bull",IF(RAND()&lt;Assumptions!$B$7,"Bull","Bear"),IF(RAND()&lt;Assumptions!$B$10,"Bear","Bull"))</f>
        <v>Bull</v>
      </c>
      <c r="E95" s="0" t="str">
        <f aca="true">IF(D95="Bull",IF(RAND()&lt;Assumptions!$B$7,"Bull","Bear"),IF(RAND()&lt;Assumptions!$B$10,"Bear","Bull"))</f>
        <v>Bear</v>
      </c>
      <c r="F95" s="0" t="str">
        <f aca="true">IF(E95="Bull",IF(RAND()&lt;Assumptions!$B$7,"Bull","Bear"),IF(RAND()&lt;Assumptions!$B$10,"Bear","Bull"))</f>
        <v>Bear</v>
      </c>
      <c r="G95" s="0" t="str">
        <f aca="true">IF(F95="Bull",IF(RAND()&lt;Assumptions!$B$7,"Bull","Bear"),IF(RAND()&lt;Assumptions!$B$10,"Bear","Bull"))</f>
        <v>Bear</v>
      </c>
      <c r="H95" s="8" t="n">
        <f aca="true">IF(B95="Bull",NORMINV(RAND(),Assumptions!$B$5,Assumptions!$B$6),NORMINV(RAND(),Assumptions!$B$8,Assumptions!$B$9))</f>
        <v>-0.0583228869958984</v>
      </c>
      <c r="I95" s="8" t="n">
        <f aca="true">IF(C95="Bull",NORMINV(RAND(),Assumptions!$B$5,Assumptions!$B$6),NORMINV(RAND(),Assumptions!$B$8,Assumptions!$B$9))</f>
        <v>0.020572440127544</v>
      </c>
      <c r="J95" s="8" t="n">
        <f aca="true">IF(D95="Bull",NORMINV(RAND(),Assumptions!$B$5,Assumptions!$B$6),NORMINV(RAND(),Assumptions!$B$8,Assumptions!$B$9))</f>
        <v>0.160575055510194</v>
      </c>
      <c r="K95" s="8" t="n">
        <f aca="true">IF(E95="Bull",NORMINV(RAND(),Assumptions!$B$5,Assumptions!$B$6),NORMINV(RAND(),Assumptions!$B$8,Assumptions!$B$9))</f>
        <v>-0.0280088894639757</v>
      </c>
      <c r="L95" s="8" t="n">
        <f aca="true">IF(F95="Bull",NORMINV(RAND(),Assumptions!$B$5,Assumptions!$B$6),NORMINV(RAND(),Assumptions!$B$8,Assumptions!$B$9))</f>
        <v>0.0896695670850709</v>
      </c>
      <c r="M95" s="8" t="n">
        <f aca="true">IF(G95="Bull",NORMINV(RAND(),Assumptions!$B$5,Assumptions!$B$6),NORMINV(RAND(),Assumptions!$B$8,Assumptions!$B$9))</f>
        <v>-0.117727399398719</v>
      </c>
      <c r="N95" s="8" t="n">
        <f aca="true">NORMINV(RAND(),Assumptions!$B$14,Assumptions!$B$15)</f>
        <v>0.0590305356159317</v>
      </c>
      <c r="O95" s="8" t="n">
        <f aca="true">NORMINV(RAND(),Assumptions!$B$14,Assumptions!$B$15)</f>
        <v>-8.63266178022654E-005</v>
      </c>
      <c r="P95" s="8" t="n">
        <f aca="true">NORMINV(RAND(),Assumptions!$B$14,Assumptions!$B$15)</f>
        <v>0.0899877926135814</v>
      </c>
      <c r="Q95" s="8" t="n">
        <f aca="true">NORMINV(RAND(),Assumptions!$B$14,Assumptions!$B$15)</f>
        <v>0.0457741767869077</v>
      </c>
      <c r="R95" s="8" t="n">
        <f aca="true">NORMINV(RAND(),Assumptions!$B$14,Assumptions!$B$15)</f>
        <v>0.0334732491741153</v>
      </c>
      <c r="S95" s="8" t="n">
        <f aca="true">NORMINV(RAND(),Assumptions!$B$14,Assumptions!$B$15)</f>
        <v>0.0600483333190772</v>
      </c>
      <c r="T95" s="8" t="n">
        <f aca="false">Assumptions!$B$19*H95+(1-Assumptions!$B$19)*N95</f>
        <v>-0.0583228869958984</v>
      </c>
      <c r="U95" s="8" t="n">
        <f aca="false">Assumptions!$B$20*I95+(1-Assumptions!$B$20)*O95</f>
        <v>0.020572440127544</v>
      </c>
      <c r="V95" s="8" t="n">
        <f aca="false">Assumptions!$B$21*J95+(1-Assumptions!$B$21)*P95</f>
        <v>0.160575055510194</v>
      </c>
      <c r="W95" s="8" t="n">
        <f aca="false">Assumptions!$B$22*K95+(1-Assumptions!$B$22)*Q95</f>
        <v>-0.0280088894639757</v>
      </c>
      <c r="X95" s="8" t="n">
        <f aca="false">Assumptions!$B$23*L95+(1-Assumptions!$B$23)*R95</f>
        <v>0.0784303035028798</v>
      </c>
      <c r="Y95" s="8" t="n">
        <f aca="false">Assumptions!$B$24*M95+(1-Assumptions!$B$24)*S95</f>
        <v>-0.0466171063116003</v>
      </c>
      <c r="Z95" s="6" t="n">
        <f aca="false">Assumptions!$B$27*(1+T95)</f>
        <v>282503.13390123</v>
      </c>
      <c r="AA95" s="6" t="n">
        <f aca="false">(Z95+Assumptions!$B$28)*(1+U95)</f>
        <v>441400.778728389</v>
      </c>
      <c r="AB95" s="6" t="n">
        <f aca="false">AA95*(1+V95)</f>
        <v>512278.733274943</v>
      </c>
      <c r="AC95" s="6" t="n">
        <f aca="false">AB95*(1+W95)</f>
        <v>497930.374859899</v>
      </c>
      <c r="AD95" s="6" t="n">
        <f aca="false">AC95*(1+X95)</f>
        <v>536983.205283464</v>
      </c>
      <c r="AE95" s="6" t="n">
        <f aca="false">AD95*(1+Y95)</f>
        <v>511950.602115221</v>
      </c>
      <c r="AF95" s="6" t="n">
        <f aca="false">Z95</f>
        <v>282503.13390123</v>
      </c>
      <c r="AG95" s="6" t="n">
        <f aca="false">MAX(AF95,AA95)</f>
        <v>441400.778728389</v>
      </c>
      <c r="AH95" s="6" t="n">
        <f aca="false">MAX(AG95,AB95)</f>
        <v>512278.733274943</v>
      </c>
      <c r="AI95" s="6" t="n">
        <f aca="false">MAX(AH95,AC95)</f>
        <v>512278.733274943</v>
      </c>
      <c r="AJ95" s="6" t="n">
        <f aca="false">MAX(AI95,AD95)</f>
        <v>536983.205283464</v>
      </c>
      <c r="AK95" s="6" t="n">
        <f aca="false">MAX(AJ95,AE95)</f>
        <v>536983.205283464</v>
      </c>
      <c r="AL95" s="8" t="n">
        <f aca="false">MIN(Z95/AF95-1,AA95/AG95-1,AB95/AH95-1,AC95/AI95-1,AD95/AJ95-1,AE95/AK95-1)</f>
        <v>-0.0466171063116002</v>
      </c>
      <c r="AM95" s="6" t="n">
        <f aca="false">AE95-Assumptions!$B$35</f>
        <v>70686.6054527171</v>
      </c>
    </row>
    <row r="96" customFormat="false" ht="15" hidden="false" customHeight="false" outlineLevel="0" collapsed="false">
      <c r="A96" s="0" t="n">
        <f aca="false">ROW()-1</f>
        <v>95</v>
      </c>
      <c r="B96" s="0" t="str">
        <f aca="true">IF(RAND()&lt;Assumptions!$B$11,"Bull","Bear")</f>
        <v>Bull</v>
      </c>
      <c r="C96" s="0" t="str">
        <f aca="true">IF(B96="Bull",IF(RAND()&lt;Assumptions!$B$7,"Bull","Bear"),IF(RAND()&lt;Assumptions!$B$10,"Bear","Bull"))</f>
        <v>Bull</v>
      </c>
      <c r="D96" s="0" t="str">
        <f aca="true">IF(C96="Bull",IF(RAND()&lt;Assumptions!$B$7,"Bull","Bear"),IF(RAND()&lt;Assumptions!$B$10,"Bear","Bull"))</f>
        <v>Bull</v>
      </c>
      <c r="E96" s="0" t="str">
        <f aca="true">IF(D96="Bull",IF(RAND()&lt;Assumptions!$B$7,"Bull","Bear"),IF(RAND()&lt;Assumptions!$B$10,"Bear","Bull"))</f>
        <v>Bull</v>
      </c>
      <c r="F96" s="0" t="str">
        <f aca="true">IF(E96="Bull",IF(RAND()&lt;Assumptions!$B$7,"Bull","Bear"),IF(RAND()&lt;Assumptions!$B$10,"Bear","Bull"))</f>
        <v>Bull</v>
      </c>
      <c r="G96" s="0" t="str">
        <f aca="true">IF(F96="Bull",IF(RAND()&lt;Assumptions!$B$7,"Bull","Bear"),IF(RAND()&lt;Assumptions!$B$10,"Bear","Bull"))</f>
        <v>Bull</v>
      </c>
      <c r="H96" s="8" t="n">
        <f aca="true">IF(B96="Bull",NORMINV(RAND(),Assumptions!$B$5,Assumptions!$B$6),NORMINV(RAND(),Assumptions!$B$8,Assumptions!$B$9))</f>
        <v>0.301040393851622</v>
      </c>
      <c r="I96" s="8" t="n">
        <f aca="true">IF(C96="Bull",NORMINV(RAND(),Assumptions!$B$5,Assumptions!$B$6),NORMINV(RAND(),Assumptions!$B$8,Assumptions!$B$9))</f>
        <v>0.394294639649223</v>
      </c>
      <c r="J96" s="8" t="n">
        <f aca="true">IF(D96="Bull",NORMINV(RAND(),Assumptions!$B$5,Assumptions!$B$6),NORMINV(RAND(),Assumptions!$B$8,Assumptions!$B$9))</f>
        <v>0.135096367590685</v>
      </c>
      <c r="K96" s="8" t="n">
        <f aca="true">IF(E96="Bull",NORMINV(RAND(),Assumptions!$B$5,Assumptions!$B$6),NORMINV(RAND(),Assumptions!$B$8,Assumptions!$B$9))</f>
        <v>0.00489473631025864</v>
      </c>
      <c r="L96" s="8" t="n">
        <f aca="true">IF(F96="Bull",NORMINV(RAND(),Assumptions!$B$5,Assumptions!$B$6),NORMINV(RAND(),Assumptions!$B$8,Assumptions!$B$9))</f>
        <v>0.129244053713185</v>
      </c>
      <c r="M96" s="8" t="n">
        <f aca="true">IF(G96="Bull",NORMINV(RAND(),Assumptions!$B$5,Assumptions!$B$6),NORMINV(RAND(),Assumptions!$B$8,Assumptions!$B$9))</f>
        <v>0.155789280113941</v>
      </c>
      <c r="N96" s="8" t="n">
        <f aca="true">NORMINV(RAND(),Assumptions!$B$14,Assumptions!$B$15)</f>
        <v>0.0557658764495053</v>
      </c>
      <c r="O96" s="8" t="n">
        <f aca="true">NORMINV(RAND(),Assumptions!$B$14,Assumptions!$B$15)</f>
        <v>0.00964411547191525</v>
      </c>
      <c r="P96" s="8" t="n">
        <f aca="true">NORMINV(RAND(),Assumptions!$B$14,Assumptions!$B$15)</f>
        <v>0.0667159762137024</v>
      </c>
      <c r="Q96" s="8" t="n">
        <f aca="true">NORMINV(RAND(),Assumptions!$B$14,Assumptions!$B$15)</f>
        <v>0.0678900757106019</v>
      </c>
      <c r="R96" s="8" t="n">
        <f aca="true">NORMINV(RAND(),Assumptions!$B$14,Assumptions!$B$15)</f>
        <v>0.0570592108969298</v>
      </c>
      <c r="S96" s="8" t="n">
        <f aca="true">NORMINV(RAND(),Assumptions!$B$14,Assumptions!$B$15)</f>
        <v>0.0522904241761784</v>
      </c>
      <c r="T96" s="8" t="n">
        <f aca="false">Assumptions!$B$19*H96+(1-Assumptions!$B$19)*N96</f>
        <v>0.301040393851622</v>
      </c>
      <c r="U96" s="8" t="n">
        <f aca="false">Assumptions!$B$20*I96+(1-Assumptions!$B$20)*O96</f>
        <v>0.394294639649223</v>
      </c>
      <c r="V96" s="8" t="n">
        <f aca="false">Assumptions!$B$21*J96+(1-Assumptions!$B$21)*P96</f>
        <v>0.135096367590685</v>
      </c>
      <c r="W96" s="8" t="n">
        <f aca="false">Assumptions!$B$22*K96+(1-Assumptions!$B$22)*Q96</f>
        <v>0.00489473631025864</v>
      </c>
      <c r="X96" s="8" t="n">
        <f aca="false">Assumptions!$B$23*L96+(1-Assumptions!$B$23)*R96</f>
        <v>0.114807085149934</v>
      </c>
      <c r="Y96" s="8" t="n">
        <f aca="false">Assumptions!$B$24*M96+(1-Assumptions!$B$24)*S96</f>
        <v>0.114389737738836</v>
      </c>
      <c r="Z96" s="6" t="n">
        <f aca="false">Assumptions!$B$27*(1+T96)</f>
        <v>390312.118155487</v>
      </c>
      <c r="AA96" s="6" t="n">
        <f aca="false">(Z96+Assumptions!$B$28)*(1+U96)</f>
        <v>753354.290081713</v>
      </c>
      <c r="AB96" s="6" t="n">
        <f aca="false">AA96*(1+V96)</f>
        <v>855129.718180611</v>
      </c>
      <c r="AC96" s="6" t="n">
        <f aca="false">AB96*(1+W96)</f>
        <v>859315.352662171</v>
      </c>
      <c r="AD96" s="6" t="n">
        <f aca="false">AC96*(1+X96)</f>
        <v>957970.843525903</v>
      </c>
      <c r="AE96" s="6" t="n">
        <f aca="false">AD96*(1+Y96)</f>
        <v>1067552.87707828</v>
      </c>
      <c r="AF96" s="6" t="n">
        <f aca="false">Z96</f>
        <v>390312.118155487</v>
      </c>
      <c r="AG96" s="6" t="n">
        <f aca="false">MAX(AF96,AA96)</f>
        <v>753354.290081713</v>
      </c>
      <c r="AH96" s="6" t="n">
        <f aca="false">MAX(AG96,AB96)</f>
        <v>855129.718180611</v>
      </c>
      <c r="AI96" s="6" t="n">
        <f aca="false">MAX(AH96,AC96)</f>
        <v>859315.352662171</v>
      </c>
      <c r="AJ96" s="6" t="n">
        <f aca="false">MAX(AI96,AD96)</f>
        <v>957970.843525903</v>
      </c>
      <c r="AK96" s="6" t="n">
        <f aca="false">MAX(AJ96,AE96)</f>
        <v>1067552.87707828</v>
      </c>
      <c r="AL96" s="8" t="n">
        <f aca="false">MIN(Z96/AF96-1,AA96/AG96-1,AB96/AH96-1,AC96/AI96-1,AD96/AJ96-1,AE96/AK96-1)</f>
        <v>0</v>
      </c>
      <c r="AM96" s="6" t="n">
        <f aca="false">AE96-Assumptions!$B$35</f>
        <v>626288.880415779</v>
      </c>
    </row>
    <row r="97" customFormat="false" ht="15" hidden="false" customHeight="false" outlineLevel="0" collapsed="false">
      <c r="A97" s="0" t="n">
        <f aca="false">ROW()-1</f>
        <v>96</v>
      </c>
      <c r="B97" s="0" t="str">
        <f aca="true">IF(RAND()&lt;Assumptions!$B$11,"Bull","Bear")</f>
        <v>Bear</v>
      </c>
      <c r="C97" s="0" t="str">
        <f aca="true">IF(B97="Bull",IF(RAND()&lt;Assumptions!$B$7,"Bull","Bear"),IF(RAND()&lt;Assumptions!$B$10,"Bear","Bull"))</f>
        <v>Bull</v>
      </c>
      <c r="D97" s="0" t="str">
        <f aca="true">IF(C97="Bull",IF(RAND()&lt;Assumptions!$B$7,"Bull","Bear"),IF(RAND()&lt;Assumptions!$B$10,"Bear","Bull"))</f>
        <v>Bull</v>
      </c>
      <c r="E97" s="0" t="str">
        <f aca="true">IF(D97="Bull",IF(RAND()&lt;Assumptions!$B$7,"Bull","Bear"),IF(RAND()&lt;Assumptions!$B$10,"Bear","Bull"))</f>
        <v>Bull</v>
      </c>
      <c r="F97" s="0" t="str">
        <f aca="true">IF(E97="Bull",IF(RAND()&lt;Assumptions!$B$7,"Bull","Bear"),IF(RAND()&lt;Assumptions!$B$10,"Bear","Bull"))</f>
        <v>Bull</v>
      </c>
      <c r="G97" s="0" t="str">
        <f aca="true">IF(F97="Bull",IF(RAND()&lt;Assumptions!$B$7,"Bull","Bear"),IF(RAND()&lt;Assumptions!$B$10,"Bear","Bull"))</f>
        <v>Bull</v>
      </c>
      <c r="H97" s="8" t="n">
        <f aca="true">IF(B97="Bull",NORMINV(RAND(),Assumptions!$B$5,Assumptions!$B$6),NORMINV(RAND(),Assumptions!$B$8,Assumptions!$B$9))</f>
        <v>0.0784876958500441</v>
      </c>
      <c r="I97" s="8" t="n">
        <f aca="true">IF(C97="Bull",NORMINV(RAND(),Assumptions!$B$5,Assumptions!$B$6),NORMINV(RAND(),Assumptions!$B$8,Assumptions!$B$9))</f>
        <v>0.08168481121645</v>
      </c>
      <c r="J97" s="8" t="n">
        <f aca="true">IF(D97="Bull",NORMINV(RAND(),Assumptions!$B$5,Assumptions!$B$6),NORMINV(RAND(),Assumptions!$B$8,Assumptions!$B$9))</f>
        <v>0.236104840377538</v>
      </c>
      <c r="K97" s="8" t="n">
        <f aca="true">IF(E97="Bull",NORMINV(RAND(),Assumptions!$B$5,Assumptions!$B$6),NORMINV(RAND(),Assumptions!$B$8,Assumptions!$B$9))</f>
        <v>0.0545054782413614</v>
      </c>
      <c r="L97" s="8" t="n">
        <f aca="true">IF(F97="Bull",NORMINV(RAND(),Assumptions!$B$5,Assumptions!$B$6),NORMINV(RAND(),Assumptions!$B$8,Assumptions!$B$9))</f>
        <v>0.226696085463751</v>
      </c>
      <c r="M97" s="8" t="n">
        <f aca="true">IF(G97="Bull",NORMINV(RAND(),Assumptions!$B$5,Assumptions!$B$6),NORMINV(RAND(),Assumptions!$B$8,Assumptions!$B$9))</f>
        <v>0.206928617820747</v>
      </c>
      <c r="N97" s="8" t="n">
        <f aca="true">NORMINV(RAND(),Assumptions!$B$14,Assumptions!$B$15)</f>
        <v>-0.00856453037363257</v>
      </c>
      <c r="O97" s="8" t="n">
        <f aca="true">NORMINV(RAND(),Assumptions!$B$14,Assumptions!$B$15)</f>
        <v>0.0349402283821666</v>
      </c>
      <c r="P97" s="8" t="n">
        <f aca="true">NORMINV(RAND(),Assumptions!$B$14,Assumptions!$B$15)</f>
        <v>0.0296437503062706</v>
      </c>
      <c r="Q97" s="8" t="n">
        <f aca="true">NORMINV(RAND(),Assumptions!$B$14,Assumptions!$B$15)</f>
        <v>0.0915051007621991</v>
      </c>
      <c r="R97" s="8" t="n">
        <f aca="true">NORMINV(RAND(),Assumptions!$B$14,Assumptions!$B$15)</f>
        <v>0.0404299354245031</v>
      </c>
      <c r="S97" s="8" t="n">
        <f aca="true">NORMINV(RAND(),Assumptions!$B$14,Assumptions!$B$15)</f>
        <v>0.0144905559865102</v>
      </c>
      <c r="T97" s="8" t="n">
        <f aca="false">Assumptions!$B$19*H97+(1-Assumptions!$B$19)*N97</f>
        <v>0.0784876958500441</v>
      </c>
      <c r="U97" s="8" t="n">
        <f aca="false">Assumptions!$B$20*I97+(1-Assumptions!$B$20)*O97</f>
        <v>0.08168481121645</v>
      </c>
      <c r="V97" s="8" t="n">
        <f aca="false">Assumptions!$B$21*J97+(1-Assumptions!$B$21)*P97</f>
        <v>0.236104840377538</v>
      </c>
      <c r="W97" s="8" t="n">
        <f aca="false">Assumptions!$B$22*K97+(1-Assumptions!$B$22)*Q97</f>
        <v>0.0545054782413614</v>
      </c>
      <c r="X97" s="8" t="n">
        <f aca="false">Assumptions!$B$23*L97+(1-Assumptions!$B$23)*R97</f>
        <v>0.189442855455901</v>
      </c>
      <c r="Y97" s="8" t="n">
        <f aca="false">Assumptions!$B$24*M97+(1-Assumptions!$B$24)*S97</f>
        <v>0.129953393087052</v>
      </c>
      <c r="Z97" s="6" t="n">
        <f aca="false">Assumptions!$B$27*(1+T97)</f>
        <v>323546.308755013</v>
      </c>
      <c r="AA97" s="6" t="n">
        <f aca="false">(Z97+Assumptions!$B$28)*(1+U97)</f>
        <v>512227.849587913</v>
      </c>
      <c r="AB97" s="6" t="n">
        <f aca="false">AA97*(1+V97)</f>
        <v>633167.324251797</v>
      </c>
      <c r="AC97" s="6" t="n">
        <f aca="false">AB97*(1+W97)</f>
        <v>667678.412066945</v>
      </c>
      <c r="AD97" s="6" t="n">
        <f aca="false">AC97*(1+X97)</f>
        <v>794165.316975168</v>
      </c>
      <c r="AE97" s="6" t="n">
        <f aca="false">AD97*(1+Y97)</f>
        <v>897369.794588146</v>
      </c>
      <c r="AF97" s="6" t="n">
        <f aca="false">Z97</f>
        <v>323546.308755013</v>
      </c>
      <c r="AG97" s="6" t="n">
        <f aca="false">MAX(AF97,AA97)</f>
        <v>512227.849587913</v>
      </c>
      <c r="AH97" s="6" t="n">
        <f aca="false">MAX(AG97,AB97)</f>
        <v>633167.324251797</v>
      </c>
      <c r="AI97" s="6" t="n">
        <f aca="false">MAX(AH97,AC97)</f>
        <v>667678.412066945</v>
      </c>
      <c r="AJ97" s="6" t="n">
        <f aca="false">MAX(AI97,AD97)</f>
        <v>794165.316975168</v>
      </c>
      <c r="AK97" s="6" t="n">
        <f aca="false">MAX(AJ97,AE97)</f>
        <v>897369.794588146</v>
      </c>
      <c r="AL97" s="8" t="n">
        <f aca="false">MIN(Z97/AF97-1,AA97/AG97-1,AB97/AH97-1,AC97/AI97-1,AD97/AJ97-1,AE97/AK97-1)</f>
        <v>0</v>
      </c>
      <c r="AM97" s="6" t="n">
        <f aca="false">AE97-Assumptions!$B$35</f>
        <v>456105.797925642</v>
      </c>
    </row>
    <row r="98" customFormat="false" ht="15" hidden="false" customHeight="false" outlineLevel="0" collapsed="false">
      <c r="A98" s="0" t="n">
        <f aca="false">ROW()-1</f>
        <v>97</v>
      </c>
      <c r="B98" s="0" t="str">
        <f aca="true">IF(RAND()&lt;Assumptions!$B$11,"Bull","Bear")</f>
        <v>Bull</v>
      </c>
      <c r="C98" s="0" t="str">
        <f aca="true">IF(B98="Bull",IF(RAND()&lt;Assumptions!$B$7,"Bull","Bear"),IF(RAND()&lt;Assumptions!$B$10,"Bear","Bull"))</f>
        <v>Bull</v>
      </c>
      <c r="D98" s="0" t="str">
        <f aca="true">IF(C98="Bull",IF(RAND()&lt;Assumptions!$B$7,"Bull","Bear"),IF(RAND()&lt;Assumptions!$B$10,"Bear","Bull"))</f>
        <v>Bull</v>
      </c>
      <c r="E98" s="0" t="str">
        <f aca="true">IF(D98="Bull",IF(RAND()&lt;Assumptions!$B$7,"Bull","Bear"),IF(RAND()&lt;Assumptions!$B$10,"Bear","Bull"))</f>
        <v>Bull</v>
      </c>
      <c r="F98" s="0" t="str">
        <f aca="true">IF(E98="Bull",IF(RAND()&lt;Assumptions!$B$7,"Bull","Bear"),IF(RAND()&lt;Assumptions!$B$10,"Bear","Bull"))</f>
        <v>Bear</v>
      </c>
      <c r="G98" s="0" t="str">
        <f aca="true">IF(F98="Bull",IF(RAND()&lt;Assumptions!$B$7,"Bull","Bear"),IF(RAND()&lt;Assumptions!$B$10,"Bear","Bull"))</f>
        <v>Bull</v>
      </c>
      <c r="H98" s="8" t="n">
        <f aca="true">IF(B98="Bull",NORMINV(RAND(),Assumptions!$B$5,Assumptions!$B$6),NORMINV(RAND(),Assumptions!$B$8,Assumptions!$B$9))</f>
        <v>0.112809640946843</v>
      </c>
      <c r="I98" s="8" t="n">
        <f aca="true">IF(C98="Bull",NORMINV(RAND(),Assumptions!$B$5,Assumptions!$B$6),NORMINV(RAND(),Assumptions!$B$8,Assumptions!$B$9))</f>
        <v>0.266626878948981</v>
      </c>
      <c r="J98" s="8" t="n">
        <f aca="true">IF(D98="Bull",NORMINV(RAND(),Assumptions!$B$5,Assumptions!$B$6),NORMINV(RAND(),Assumptions!$B$8,Assumptions!$B$9))</f>
        <v>0.0972748333128771</v>
      </c>
      <c r="K98" s="8" t="n">
        <f aca="true">IF(E98="Bull",NORMINV(RAND(),Assumptions!$B$5,Assumptions!$B$6),NORMINV(RAND(),Assumptions!$B$8,Assumptions!$B$9))</f>
        <v>0.0690421501101032</v>
      </c>
      <c r="L98" s="8" t="n">
        <f aca="true">IF(F98="Bull",NORMINV(RAND(),Assumptions!$B$5,Assumptions!$B$6),NORMINV(RAND(),Assumptions!$B$8,Assumptions!$B$9))</f>
        <v>-0.0912117734872321</v>
      </c>
      <c r="M98" s="8" t="n">
        <f aca="true">IF(G98="Bull",NORMINV(RAND(),Assumptions!$B$5,Assumptions!$B$6),NORMINV(RAND(),Assumptions!$B$8,Assumptions!$B$9))</f>
        <v>0.18248273002224</v>
      </c>
      <c r="N98" s="8" t="n">
        <f aca="true">NORMINV(RAND(),Assumptions!$B$14,Assumptions!$B$15)</f>
        <v>0.06012921371285</v>
      </c>
      <c r="O98" s="8" t="n">
        <f aca="true">NORMINV(RAND(),Assumptions!$B$14,Assumptions!$B$15)</f>
        <v>-0.0390318302306161</v>
      </c>
      <c r="P98" s="8" t="n">
        <f aca="true">NORMINV(RAND(),Assumptions!$B$14,Assumptions!$B$15)</f>
        <v>0.0126717754159141</v>
      </c>
      <c r="Q98" s="8" t="n">
        <f aca="true">NORMINV(RAND(),Assumptions!$B$14,Assumptions!$B$15)</f>
        <v>0.0249011484310608</v>
      </c>
      <c r="R98" s="8" t="n">
        <f aca="true">NORMINV(RAND(),Assumptions!$B$14,Assumptions!$B$15)</f>
        <v>0.0143911397587618</v>
      </c>
      <c r="S98" s="8" t="n">
        <f aca="true">NORMINV(RAND(),Assumptions!$B$14,Assumptions!$B$15)</f>
        <v>0.00936702884982332</v>
      </c>
      <c r="T98" s="8" t="n">
        <f aca="false">Assumptions!$B$19*H98+(1-Assumptions!$B$19)*N98</f>
        <v>0.112809640946843</v>
      </c>
      <c r="U98" s="8" t="n">
        <f aca="false">Assumptions!$B$20*I98+(1-Assumptions!$B$20)*O98</f>
        <v>0.266626878948981</v>
      </c>
      <c r="V98" s="8" t="n">
        <f aca="false">Assumptions!$B$21*J98+(1-Assumptions!$B$21)*P98</f>
        <v>0.0972748333128771</v>
      </c>
      <c r="W98" s="8" t="n">
        <f aca="false">Assumptions!$B$22*K98+(1-Assumptions!$B$22)*Q98</f>
        <v>0.0690421501101032</v>
      </c>
      <c r="X98" s="8" t="n">
        <f aca="false">Assumptions!$B$23*L98+(1-Assumptions!$B$23)*R98</f>
        <v>-0.0700911908380333</v>
      </c>
      <c r="Y98" s="8" t="n">
        <f aca="false">Assumptions!$B$24*M98+(1-Assumptions!$B$24)*S98</f>
        <v>0.113236449553273</v>
      </c>
      <c r="Z98" s="6" t="n">
        <f aca="false">Assumptions!$B$27*(1+T98)</f>
        <v>333842.892284053</v>
      </c>
      <c r="AA98" s="6" t="n">
        <f aca="false">(Z98+Assumptions!$B$28)*(1+U98)</f>
        <v>612848.412555398</v>
      </c>
      <c r="AB98" s="6" t="n">
        <f aca="false">AA98*(1+V98)</f>
        <v>672463.139732786</v>
      </c>
      <c r="AC98" s="6" t="n">
        <f aca="false">AB98*(1+W98)</f>
        <v>718891.440769728</v>
      </c>
      <c r="AD98" s="6" t="n">
        <f aca="false">AC98*(1+X98)</f>
        <v>668503.483602909</v>
      </c>
      <c r="AE98" s="6" t="n">
        <f aca="false">AD98*(1+Y98)</f>
        <v>744202.444600097</v>
      </c>
      <c r="AF98" s="6" t="n">
        <f aca="false">Z98</f>
        <v>333842.892284053</v>
      </c>
      <c r="AG98" s="6" t="n">
        <f aca="false">MAX(AF98,AA98)</f>
        <v>612848.412555398</v>
      </c>
      <c r="AH98" s="6" t="n">
        <f aca="false">MAX(AG98,AB98)</f>
        <v>672463.139732786</v>
      </c>
      <c r="AI98" s="6" t="n">
        <f aca="false">MAX(AH98,AC98)</f>
        <v>718891.440769728</v>
      </c>
      <c r="AJ98" s="6" t="n">
        <f aca="false">MAX(AI98,AD98)</f>
        <v>718891.440769728</v>
      </c>
      <c r="AK98" s="6" t="n">
        <f aca="false">MAX(AJ98,AE98)</f>
        <v>744202.444600097</v>
      </c>
      <c r="AL98" s="8" t="n">
        <f aca="false">MIN(Z98/AF98-1,AA98/AG98-1,AB98/AH98-1,AC98/AI98-1,AD98/AJ98-1,AE98/AK98-1)</f>
        <v>-0.0700911908380333</v>
      </c>
      <c r="AM98" s="6" t="n">
        <f aca="false">AE98-Assumptions!$B$35</f>
        <v>302938.447937594</v>
      </c>
    </row>
    <row r="99" customFormat="false" ht="15" hidden="false" customHeight="false" outlineLevel="0" collapsed="false">
      <c r="A99" s="0" t="n">
        <f aca="false">ROW()-1</f>
        <v>98</v>
      </c>
      <c r="B99" s="0" t="str">
        <f aca="true">IF(RAND()&lt;Assumptions!$B$11,"Bull","Bear")</f>
        <v>Bear</v>
      </c>
      <c r="C99" s="0" t="str">
        <f aca="true">IF(B99="Bull",IF(RAND()&lt;Assumptions!$B$7,"Bull","Bear"),IF(RAND()&lt;Assumptions!$B$10,"Bear","Bull"))</f>
        <v>Bull</v>
      </c>
      <c r="D99" s="0" t="str">
        <f aca="true">IF(C99="Bull",IF(RAND()&lt;Assumptions!$B$7,"Bull","Bear"),IF(RAND()&lt;Assumptions!$B$10,"Bear","Bull"))</f>
        <v>Bull</v>
      </c>
      <c r="E99" s="0" t="str">
        <f aca="true">IF(D99="Bull",IF(RAND()&lt;Assumptions!$B$7,"Bull","Bear"),IF(RAND()&lt;Assumptions!$B$10,"Bear","Bull"))</f>
        <v>Bull</v>
      </c>
      <c r="F99" s="0" t="str">
        <f aca="true">IF(E99="Bull",IF(RAND()&lt;Assumptions!$B$7,"Bull","Bear"),IF(RAND()&lt;Assumptions!$B$10,"Bear","Bull"))</f>
        <v>Bull</v>
      </c>
      <c r="G99" s="0" t="str">
        <f aca="true">IF(F99="Bull",IF(RAND()&lt;Assumptions!$B$7,"Bull","Bear"),IF(RAND()&lt;Assumptions!$B$10,"Bear","Bull"))</f>
        <v>Bull</v>
      </c>
      <c r="H99" s="8" t="n">
        <f aca="true">IF(B99="Bull",NORMINV(RAND(),Assumptions!$B$5,Assumptions!$B$6),NORMINV(RAND(),Assumptions!$B$8,Assumptions!$B$9))</f>
        <v>0.0780409388164735</v>
      </c>
      <c r="I99" s="8" t="n">
        <f aca="true">IF(C99="Bull",NORMINV(RAND(),Assumptions!$B$5,Assumptions!$B$6),NORMINV(RAND(),Assumptions!$B$8,Assumptions!$B$9))</f>
        <v>0.224942056344035</v>
      </c>
      <c r="J99" s="8" t="n">
        <f aca="true">IF(D99="Bull",NORMINV(RAND(),Assumptions!$B$5,Assumptions!$B$6),NORMINV(RAND(),Assumptions!$B$8,Assumptions!$B$9))</f>
        <v>0.0855556734846374</v>
      </c>
      <c r="K99" s="8" t="n">
        <f aca="true">IF(E99="Bull",NORMINV(RAND(),Assumptions!$B$5,Assumptions!$B$6),NORMINV(RAND(),Assumptions!$B$8,Assumptions!$B$9))</f>
        <v>0.046672676298274</v>
      </c>
      <c r="L99" s="8" t="n">
        <f aca="true">IF(F99="Bull",NORMINV(RAND(),Assumptions!$B$5,Assumptions!$B$6),NORMINV(RAND(),Assumptions!$B$8,Assumptions!$B$9))</f>
        <v>0.347269120628112</v>
      </c>
      <c r="M99" s="8" t="n">
        <f aca="true">IF(G99="Bull",NORMINV(RAND(),Assumptions!$B$5,Assumptions!$B$6),NORMINV(RAND(),Assumptions!$B$8,Assumptions!$B$9))</f>
        <v>-0.0874485996000289</v>
      </c>
      <c r="N99" s="8" t="n">
        <f aca="true">NORMINV(RAND(),Assumptions!$B$14,Assumptions!$B$15)</f>
        <v>0.0613772255284442</v>
      </c>
      <c r="O99" s="8" t="n">
        <f aca="true">NORMINV(RAND(),Assumptions!$B$14,Assumptions!$B$15)</f>
        <v>0.0526895474185485</v>
      </c>
      <c r="P99" s="8" t="n">
        <f aca="true">NORMINV(RAND(),Assumptions!$B$14,Assumptions!$B$15)</f>
        <v>0.0985714658365448</v>
      </c>
      <c r="Q99" s="8" t="n">
        <f aca="true">NORMINV(RAND(),Assumptions!$B$14,Assumptions!$B$15)</f>
        <v>0.0360532830170722</v>
      </c>
      <c r="R99" s="8" t="n">
        <f aca="true">NORMINV(RAND(),Assumptions!$B$14,Assumptions!$B$15)</f>
        <v>-0.0145689558118516</v>
      </c>
      <c r="S99" s="8" t="n">
        <f aca="true">NORMINV(RAND(),Assumptions!$B$14,Assumptions!$B$15)</f>
        <v>0.0525741874533692</v>
      </c>
      <c r="T99" s="8" t="n">
        <f aca="false">Assumptions!$B$19*H99+(1-Assumptions!$B$19)*N99</f>
        <v>0.0780409388164735</v>
      </c>
      <c r="U99" s="8" t="n">
        <f aca="false">Assumptions!$B$20*I99+(1-Assumptions!$B$20)*O99</f>
        <v>0.224942056344035</v>
      </c>
      <c r="V99" s="8" t="n">
        <f aca="false">Assumptions!$B$21*J99+(1-Assumptions!$B$21)*P99</f>
        <v>0.0855556734846374</v>
      </c>
      <c r="W99" s="8" t="n">
        <f aca="false">Assumptions!$B$22*K99+(1-Assumptions!$B$22)*Q99</f>
        <v>0.046672676298274</v>
      </c>
      <c r="X99" s="8" t="n">
        <f aca="false">Assumptions!$B$23*L99+(1-Assumptions!$B$23)*R99</f>
        <v>0.274901505340119</v>
      </c>
      <c r="Y99" s="8" t="n">
        <f aca="false">Assumptions!$B$24*M99+(1-Assumptions!$B$24)*S99</f>
        <v>-0.0314394847786696</v>
      </c>
      <c r="Z99" s="6" t="n">
        <f aca="false">Assumptions!$B$27*(1+T99)</f>
        <v>323412.281644942</v>
      </c>
      <c r="AA99" s="6" t="n">
        <f aca="false">(Z99+Assumptions!$B$28)*(1+U99)</f>
        <v>579902.613776677</v>
      </c>
      <c r="AB99" s="6" t="n">
        <f aca="false">AA99*(1+V99)</f>
        <v>629516.572453842</v>
      </c>
      <c r="AC99" s="6" t="n">
        <f aca="false">AB99*(1+W99)</f>
        <v>658897.795664379</v>
      </c>
      <c r="AD99" s="6" t="n">
        <f aca="false">AC99*(1+X99)</f>
        <v>840029.791557803</v>
      </c>
      <c r="AE99" s="6" t="n">
        <f aca="false">AD99*(1+Y99)</f>
        <v>813619.687712493</v>
      </c>
      <c r="AF99" s="6" t="n">
        <f aca="false">Z99</f>
        <v>323412.281644942</v>
      </c>
      <c r="AG99" s="6" t="n">
        <f aca="false">MAX(AF99,AA99)</f>
        <v>579902.613776677</v>
      </c>
      <c r="AH99" s="6" t="n">
        <f aca="false">MAX(AG99,AB99)</f>
        <v>629516.572453842</v>
      </c>
      <c r="AI99" s="6" t="n">
        <f aca="false">MAX(AH99,AC99)</f>
        <v>658897.795664379</v>
      </c>
      <c r="AJ99" s="6" t="n">
        <f aca="false">MAX(AI99,AD99)</f>
        <v>840029.791557803</v>
      </c>
      <c r="AK99" s="6" t="n">
        <f aca="false">MAX(AJ99,AE99)</f>
        <v>840029.791557803</v>
      </c>
      <c r="AL99" s="8" t="n">
        <f aca="false">MIN(Z99/AF99-1,AA99/AG99-1,AB99/AH99-1,AC99/AI99-1,AD99/AJ99-1,AE99/AK99-1)</f>
        <v>-0.0314394847786696</v>
      </c>
      <c r="AM99" s="6" t="n">
        <f aca="false">AE99-Assumptions!$B$35</f>
        <v>372355.691049989</v>
      </c>
    </row>
    <row r="100" customFormat="false" ht="15" hidden="false" customHeight="false" outlineLevel="0" collapsed="false">
      <c r="A100" s="0" t="n">
        <f aca="false">ROW()-1</f>
        <v>99</v>
      </c>
      <c r="B100" s="0" t="str">
        <f aca="true">IF(RAND()&lt;Assumptions!$B$11,"Bull","Bear")</f>
        <v>Bear</v>
      </c>
      <c r="C100" s="0" t="str">
        <f aca="true">IF(B100="Bull",IF(RAND()&lt;Assumptions!$B$7,"Bull","Bear"),IF(RAND()&lt;Assumptions!$B$10,"Bear","Bull"))</f>
        <v>Bear</v>
      </c>
      <c r="D100" s="0" t="str">
        <f aca="true">IF(C100="Bull",IF(RAND()&lt;Assumptions!$B$7,"Bull","Bear"),IF(RAND()&lt;Assumptions!$B$10,"Bear","Bull"))</f>
        <v>Bull</v>
      </c>
      <c r="E100" s="0" t="str">
        <f aca="true">IF(D100="Bull",IF(RAND()&lt;Assumptions!$B$7,"Bull","Bear"),IF(RAND()&lt;Assumptions!$B$10,"Bear","Bull"))</f>
        <v>Bull</v>
      </c>
      <c r="F100" s="0" t="str">
        <f aca="true">IF(E100="Bull",IF(RAND()&lt;Assumptions!$B$7,"Bull","Bear"),IF(RAND()&lt;Assumptions!$B$10,"Bear","Bull"))</f>
        <v>Bull</v>
      </c>
      <c r="G100" s="0" t="str">
        <f aca="true">IF(F100="Bull",IF(RAND()&lt;Assumptions!$B$7,"Bull","Bear"),IF(RAND()&lt;Assumptions!$B$10,"Bear","Bull"))</f>
        <v>Bull</v>
      </c>
      <c r="H100" s="8" t="n">
        <f aca="true">IF(B100="Bull",NORMINV(RAND(),Assumptions!$B$5,Assumptions!$B$6),NORMINV(RAND(),Assumptions!$B$8,Assumptions!$B$9))</f>
        <v>-0.374244996796975</v>
      </c>
      <c r="I100" s="8" t="n">
        <f aca="true">IF(C100="Bull",NORMINV(RAND(),Assumptions!$B$5,Assumptions!$B$6),NORMINV(RAND(),Assumptions!$B$8,Assumptions!$B$9))</f>
        <v>0.106364733942452</v>
      </c>
      <c r="J100" s="8" t="n">
        <f aca="true">IF(D100="Bull",NORMINV(RAND(),Assumptions!$B$5,Assumptions!$B$6),NORMINV(RAND(),Assumptions!$B$8,Assumptions!$B$9))</f>
        <v>0.0597679901531225</v>
      </c>
      <c r="K100" s="8" t="n">
        <f aca="true">IF(E100="Bull",NORMINV(RAND(),Assumptions!$B$5,Assumptions!$B$6),NORMINV(RAND(),Assumptions!$B$8,Assumptions!$B$9))</f>
        <v>0.501132155209069</v>
      </c>
      <c r="L100" s="8" t="n">
        <f aca="true">IF(F100="Bull",NORMINV(RAND(),Assumptions!$B$5,Assumptions!$B$6),NORMINV(RAND(),Assumptions!$B$8,Assumptions!$B$9))</f>
        <v>0.420074847056399</v>
      </c>
      <c r="M100" s="8" t="n">
        <f aca="true">IF(G100="Bull",NORMINV(RAND(),Assumptions!$B$5,Assumptions!$B$6),NORMINV(RAND(),Assumptions!$B$8,Assumptions!$B$9))</f>
        <v>0.0754501428711345</v>
      </c>
      <c r="N100" s="8" t="n">
        <f aca="true">NORMINV(RAND(),Assumptions!$B$14,Assumptions!$B$15)</f>
        <v>0.0715689820609416</v>
      </c>
      <c r="O100" s="8" t="n">
        <f aca="true">NORMINV(RAND(),Assumptions!$B$14,Assumptions!$B$15)</f>
        <v>0.0163034336644799</v>
      </c>
      <c r="P100" s="8" t="n">
        <f aca="true">NORMINV(RAND(),Assumptions!$B$14,Assumptions!$B$15)</f>
        <v>0.0410626576414074</v>
      </c>
      <c r="Q100" s="8" t="n">
        <f aca="true">NORMINV(RAND(),Assumptions!$B$14,Assumptions!$B$15)</f>
        <v>0.0294820105351668</v>
      </c>
      <c r="R100" s="8" t="n">
        <f aca="true">NORMINV(RAND(),Assumptions!$B$14,Assumptions!$B$15)</f>
        <v>0.0874855737580699</v>
      </c>
      <c r="S100" s="8" t="n">
        <f aca="true">NORMINV(RAND(),Assumptions!$B$14,Assumptions!$B$15)</f>
        <v>0.0279089053853</v>
      </c>
      <c r="T100" s="8" t="n">
        <f aca="false">Assumptions!$B$19*H100+(1-Assumptions!$B$19)*N100</f>
        <v>-0.374244996796975</v>
      </c>
      <c r="U100" s="8" t="n">
        <f aca="false">Assumptions!$B$20*I100+(1-Assumptions!$B$20)*O100</f>
        <v>0.106364733942452</v>
      </c>
      <c r="V100" s="8" t="n">
        <f aca="false">Assumptions!$B$21*J100+(1-Assumptions!$B$21)*P100</f>
        <v>0.0597679901531225</v>
      </c>
      <c r="W100" s="8" t="n">
        <f aca="false">Assumptions!$B$22*K100+(1-Assumptions!$B$22)*Q100</f>
        <v>0.501132155209069</v>
      </c>
      <c r="X100" s="8" t="n">
        <f aca="false">Assumptions!$B$23*L100+(1-Assumptions!$B$23)*R100</f>
        <v>0.353556992396733</v>
      </c>
      <c r="Y100" s="8" t="n">
        <f aca="false">Assumptions!$B$24*M100+(1-Assumptions!$B$24)*S100</f>
        <v>0.0564336478768007</v>
      </c>
      <c r="Z100" s="6" t="n">
        <f aca="false">Assumptions!$B$27*(1+T100)</f>
        <v>187726.500960907</v>
      </c>
      <c r="AA100" s="6" t="n">
        <f aca="false">(Z100+Assumptions!$B$28)*(1+U100)</f>
        <v>373648.69038093</v>
      </c>
      <c r="AB100" s="6" t="n">
        <f aca="false">AA100*(1+V100)</f>
        <v>395980.921628344</v>
      </c>
      <c r="AC100" s="6" t="n">
        <f aca="false">AB100*(1+W100)</f>
        <v>594419.694305629</v>
      </c>
      <c r="AD100" s="6" t="n">
        <f aca="false">AC100*(1+X100)</f>
        <v>804580.933645713</v>
      </c>
      <c r="AE100" s="6" t="n">
        <f aca="false">AD100*(1+Y100)</f>
        <v>849986.370743463</v>
      </c>
      <c r="AF100" s="6" t="n">
        <f aca="false">Z100</f>
        <v>187726.500960907</v>
      </c>
      <c r="AG100" s="6" t="n">
        <f aca="false">MAX(AF100,AA100)</f>
        <v>373648.69038093</v>
      </c>
      <c r="AH100" s="6" t="n">
        <f aca="false">MAX(AG100,AB100)</f>
        <v>395980.921628344</v>
      </c>
      <c r="AI100" s="6" t="n">
        <f aca="false">MAX(AH100,AC100)</f>
        <v>594419.694305629</v>
      </c>
      <c r="AJ100" s="6" t="n">
        <f aca="false">MAX(AI100,AD100)</f>
        <v>804580.933645713</v>
      </c>
      <c r="AK100" s="6" t="n">
        <f aca="false">MAX(AJ100,AE100)</f>
        <v>849986.370743463</v>
      </c>
      <c r="AL100" s="8" t="n">
        <f aca="false">MIN(Z100/AF100-1,AA100/AG100-1,AB100/AH100-1,AC100/AI100-1,AD100/AJ100-1,AE100/AK100-1)</f>
        <v>0</v>
      </c>
      <c r="AM100" s="6" t="n">
        <f aca="false">AE100-Assumptions!$B$35</f>
        <v>408722.374080959</v>
      </c>
    </row>
    <row r="101" customFormat="false" ht="15" hidden="false" customHeight="false" outlineLevel="0" collapsed="false">
      <c r="A101" s="0" t="n">
        <f aca="false">ROW()-1</f>
        <v>100</v>
      </c>
      <c r="B101" s="0" t="str">
        <f aca="true">IF(RAND()&lt;Assumptions!$B$11,"Bull","Bear")</f>
        <v>Bull</v>
      </c>
      <c r="C101" s="0" t="str">
        <f aca="true">IF(B101="Bull",IF(RAND()&lt;Assumptions!$B$7,"Bull","Bear"),IF(RAND()&lt;Assumptions!$B$10,"Bear","Bull"))</f>
        <v>Bull</v>
      </c>
      <c r="D101" s="0" t="str">
        <f aca="true">IF(C101="Bull",IF(RAND()&lt;Assumptions!$B$7,"Bull","Bear"),IF(RAND()&lt;Assumptions!$B$10,"Bear","Bull"))</f>
        <v>Bear</v>
      </c>
      <c r="E101" s="0" t="str">
        <f aca="true">IF(D101="Bull",IF(RAND()&lt;Assumptions!$B$7,"Bull","Bear"),IF(RAND()&lt;Assumptions!$B$10,"Bear","Bull"))</f>
        <v>Bull</v>
      </c>
      <c r="F101" s="0" t="str">
        <f aca="true">IF(E101="Bull",IF(RAND()&lt;Assumptions!$B$7,"Bull","Bear"),IF(RAND()&lt;Assumptions!$B$10,"Bear","Bull"))</f>
        <v>Bull</v>
      </c>
      <c r="G101" s="0" t="str">
        <f aca="true">IF(F101="Bull",IF(RAND()&lt;Assumptions!$B$7,"Bull","Bear"),IF(RAND()&lt;Assumptions!$B$10,"Bear","Bull"))</f>
        <v>Bull</v>
      </c>
      <c r="H101" s="8" t="n">
        <f aca="true">IF(B101="Bull",NORMINV(RAND(),Assumptions!$B$5,Assumptions!$B$6),NORMINV(RAND(),Assumptions!$B$8,Assumptions!$B$9))</f>
        <v>0.35765543280379</v>
      </c>
      <c r="I101" s="8" t="n">
        <f aca="true">IF(C101="Bull",NORMINV(RAND(),Assumptions!$B$5,Assumptions!$B$6),NORMINV(RAND(),Assumptions!$B$8,Assumptions!$B$9))</f>
        <v>0.0308589593010208</v>
      </c>
      <c r="J101" s="8" t="n">
        <f aca="true">IF(D101="Bull",NORMINV(RAND(),Assumptions!$B$5,Assumptions!$B$6),NORMINV(RAND(),Assumptions!$B$8,Assumptions!$B$9))</f>
        <v>-0.293860181595302</v>
      </c>
      <c r="K101" s="8" t="n">
        <f aca="true">IF(E101="Bull",NORMINV(RAND(),Assumptions!$B$5,Assumptions!$B$6),NORMINV(RAND(),Assumptions!$B$8,Assumptions!$B$9))</f>
        <v>-0.0218366788577324</v>
      </c>
      <c r="L101" s="8" t="n">
        <f aca="true">IF(F101="Bull",NORMINV(RAND(),Assumptions!$B$5,Assumptions!$B$6),NORMINV(RAND(),Assumptions!$B$8,Assumptions!$B$9))</f>
        <v>0.212308535833325</v>
      </c>
      <c r="M101" s="8" t="n">
        <f aca="true">IF(G101="Bull",NORMINV(RAND(),Assumptions!$B$5,Assumptions!$B$6),NORMINV(RAND(),Assumptions!$B$8,Assumptions!$B$9))</f>
        <v>0.185186529868884</v>
      </c>
      <c r="N101" s="8" t="n">
        <f aca="true">NORMINV(RAND(),Assumptions!$B$14,Assumptions!$B$15)</f>
        <v>0.0917041983544268</v>
      </c>
      <c r="O101" s="8" t="n">
        <f aca="true">NORMINV(RAND(),Assumptions!$B$14,Assumptions!$B$15)</f>
        <v>0.036650531467581</v>
      </c>
      <c r="P101" s="8" t="n">
        <f aca="true">NORMINV(RAND(),Assumptions!$B$14,Assumptions!$B$15)</f>
        <v>0.0872800417789556</v>
      </c>
      <c r="Q101" s="8" t="n">
        <f aca="true">NORMINV(RAND(),Assumptions!$B$14,Assumptions!$B$15)</f>
        <v>0.0350217764621085</v>
      </c>
      <c r="R101" s="8" t="n">
        <f aca="true">NORMINV(RAND(),Assumptions!$B$14,Assumptions!$B$15)</f>
        <v>0.0388122439042053</v>
      </c>
      <c r="S101" s="8" t="n">
        <f aca="true">NORMINV(RAND(),Assumptions!$B$14,Assumptions!$B$15)</f>
        <v>0.0223863053971124</v>
      </c>
      <c r="T101" s="8" t="n">
        <f aca="false">Assumptions!$B$19*H101+(1-Assumptions!$B$19)*N101</f>
        <v>0.35765543280379</v>
      </c>
      <c r="U101" s="8" t="n">
        <f aca="false">Assumptions!$B$20*I101+(1-Assumptions!$B$20)*O101</f>
        <v>0.0308589593010208</v>
      </c>
      <c r="V101" s="8" t="n">
        <f aca="false">Assumptions!$B$21*J101+(1-Assumptions!$B$21)*P101</f>
        <v>-0.293860181595302</v>
      </c>
      <c r="W101" s="8" t="n">
        <f aca="false">Assumptions!$B$22*K101+(1-Assumptions!$B$22)*Q101</f>
        <v>-0.0218366788577324</v>
      </c>
      <c r="X101" s="8" t="n">
        <f aca="false">Assumptions!$B$23*L101+(1-Assumptions!$B$23)*R101</f>
        <v>0.177609277447501</v>
      </c>
      <c r="Y101" s="8" t="n">
        <f aca="false">Assumptions!$B$24*M101+(1-Assumptions!$B$24)*S101</f>
        <v>0.120066440080175</v>
      </c>
      <c r="Z101" s="6" t="n">
        <f aca="false">Assumptions!$B$27*(1+T101)</f>
        <v>407296.629841137</v>
      </c>
      <c r="AA101" s="6" t="n">
        <f aca="false">(Z101+Assumptions!$B$28)*(1+U101)</f>
        <v>574494.223860001</v>
      </c>
      <c r="AB101" s="6" t="n">
        <f aca="false">AA101*(1+V101)</f>
        <v>405673.246911049</v>
      </c>
      <c r="AC101" s="6" t="n">
        <f aca="false">AB101*(1+W101)</f>
        <v>396814.690497079</v>
      </c>
      <c r="AD101" s="6" t="n">
        <f aca="false">AC101*(1+X101)</f>
        <v>467292.660956819</v>
      </c>
      <c r="AE101" s="6" t="n">
        <f aca="false">AD101*(1+Y101)</f>
        <v>523398.827233496</v>
      </c>
      <c r="AF101" s="6" t="n">
        <f aca="false">Z101</f>
        <v>407296.629841137</v>
      </c>
      <c r="AG101" s="6" t="n">
        <f aca="false">MAX(AF101,AA101)</f>
        <v>574494.223860001</v>
      </c>
      <c r="AH101" s="6" t="n">
        <f aca="false">MAX(AG101,AB101)</f>
        <v>574494.223860001</v>
      </c>
      <c r="AI101" s="6" t="n">
        <f aca="false">MAX(AH101,AC101)</f>
        <v>574494.223860001</v>
      </c>
      <c r="AJ101" s="6" t="n">
        <f aca="false">MAX(AI101,AD101)</f>
        <v>574494.223860001</v>
      </c>
      <c r="AK101" s="6" t="n">
        <f aca="false">MAX(AJ101,AE101)</f>
        <v>574494.223860001</v>
      </c>
      <c r="AL101" s="8" t="n">
        <f aca="false">MIN(Z101/AF101-1,AA101/AG101-1,AB101/AH101-1,AC101/AI101-1,AD101/AJ101-1,AE101/AK101-1)</f>
        <v>-0.309279930038463</v>
      </c>
      <c r="AM101" s="6" t="n">
        <f aca="false">AE101-Assumptions!$B$35</f>
        <v>82134.8305709926</v>
      </c>
    </row>
    <row r="102" customFormat="false" ht="15" hidden="false" customHeight="false" outlineLevel="0" collapsed="false">
      <c r="A102" s="0" t="n">
        <f aca="false">ROW()-1</f>
        <v>101</v>
      </c>
      <c r="B102" s="0" t="str">
        <f aca="true">IF(RAND()&lt;Assumptions!$B$11,"Bull","Bear")</f>
        <v>Bull</v>
      </c>
      <c r="C102" s="0" t="str">
        <f aca="true">IF(B102="Bull",IF(RAND()&lt;Assumptions!$B$7,"Bull","Bear"),IF(RAND()&lt;Assumptions!$B$10,"Bear","Bull"))</f>
        <v>Bull</v>
      </c>
      <c r="D102" s="0" t="str">
        <f aca="true">IF(C102="Bull",IF(RAND()&lt;Assumptions!$B$7,"Bull","Bear"),IF(RAND()&lt;Assumptions!$B$10,"Bear","Bull"))</f>
        <v>Bull</v>
      </c>
      <c r="E102" s="0" t="str">
        <f aca="true">IF(D102="Bull",IF(RAND()&lt;Assumptions!$B$7,"Bull","Bear"),IF(RAND()&lt;Assumptions!$B$10,"Bear","Bull"))</f>
        <v>Bull</v>
      </c>
      <c r="F102" s="0" t="str">
        <f aca="true">IF(E102="Bull",IF(RAND()&lt;Assumptions!$B$7,"Bull","Bear"),IF(RAND()&lt;Assumptions!$B$10,"Bear","Bull"))</f>
        <v>Bear</v>
      </c>
      <c r="G102" s="0" t="str">
        <f aca="true">IF(F102="Bull",IF(RAND()&lt;Assumptions!$B$7,"Bull","Bear"),IF(RAND()&lt;Assumptions!$B$10,"Bear","Bull"))</f>
        <v>Bull</v>
      </c>
      <c r="H102" s="8" t="n">
        <f aca="true">IF(B102="Bull",NORMINV(RAND(),Assumptions!$B$5,Assumptions!$B$6),NORMINV(RAND(),Assumptions!$B$8,Assumptions!$B$9))</f>
        <v>0.108287136068202</v>
      </c>
      <c r="I102" s="8" t="n">
        <f aca="true">IF(C102="Bull",NORMINV(RAND(),Assumptions!$B$5,Assumptions!$B$6),NORMINV(RAND(),Assumptions!$B$8,Assumptions!$B$9))</f>
        <v>0.132964226251588</v>
      </c>
      <c r="J102" s="8" t="n">
        <f aca="true">IF(D102="Bull",NORMINV(RAND(),Assumptions!$B$5,Assumptions!$B$6),NORMINV(RAND(),Assumptions!$B$8,Assumptions!$B$9))</f>
        <v>0.239880868384191</v>
      </c>
      <c r="K102" s="8" t="n">
        <f aca="true">IF(E102="Bull",NORMINV(RAND(),Assumptions!$B$5,Assumptions!$B$6),NORMINV(RAND(),Assumptions!$B$8,Assumptions!$B$9))</f>
        <v>0.192292173337243</v>
      </c>
      <c r="L102" s="8" t="n">
        <f aca="true">IF(F102="Bull",NORMINV(RAND(),Assumptions!$B$5,Assumptions!$B$6),NORMINV(RAND(),Assumptions!$B$8,Assumptions!$B$9))</f>
        <v>-0.223866818064582</v>
      </c>
      <c r="M102" s="8" t="n">
        <f aca="true">IF(G102="Bull",NORMINV(RAND(),Assumptions!$B$5,Assumptions!$B$6),NORMINV(RAND(),Assumptions!$B$8,Assumptions!$B$9))</f>
        <v>0.268019599205365</v>
      </c>
      <c r="N102" s="8" t="n">
        <f aca="true">NORMINV(RAND(),Assumptions!$B$14,Assumptions!$B$15)</f>
        <v>0.0491883719146857</v>
      </c>
      <c r="O102" s="8" t="n">
        <f aca="true">NORMINV(RAND(),Assumptions!$B$14,Assumptions!$B$15)</f>
        <v>0.0411656046610306</v>
      </c>
      <c r="P102" s="8" t="n">
        <f aca="true">NORMINV(RAND(),Assumptions!$B$14,Assumptions!$B$15)</f>
        <v>0.0462464877646753</v>
      </c>
      <c r="Q102" s="8" t="n">
        <f aca="true">NORMINV(RAND(),Assumptions!$B$14,Assumptions!$B$15)</f>
        <v>0.0560048375613412</v>
      </c>
      <c r="R102" s="8" t="n">
        <f aca="true">NORMINV(RAND(),Assumptions!$B$14,Assumptions!$B$15)</f>
        <v>0.0408651468673895</v>
      </c>
      <c r="S102" s="8" t="n">
        <f aca="true">NORMINV(RAND(),Assumptions!$B$14,Assumptions!$B$15)</f>
        <v>0.0188918303157738</v>
      </c>
      <c r="T102" s="8" t="n">
        <f aca="false">Assumptions!$B$19*H102+(1-Assumptions!$B$19)*N102</f>
        <v>0.108287136068202</v>
      </c>
      <c r="U102" s="8" t="n">
        <f aca="false">Assumptions!$B$20*I102+(1-Assumptions!$B$20)*O102</f>
        <v>0.132964226251588</v>
      </c>
      <c r="V102" s="8" t="n">
        <f aca="false">Assumptions!$B$21*J102+(1-Assumptions!$B$21)*P102</f>
        <v>0.239880868384191</v>
      </c>
      <c r="W102" s="8" t="n">
        <f aca="false">Assumptions!$B$22*K102+(1-Assumptions!$B$22)*Q102</f>
        <v>0.192292173337243</v>
      </c>
      <c r="X102" s="8" t="n">
        <f aca="false">Assumptions!$B$23*L102+(1-Assumptions!$B$23)*R102</f>
        <v>-0.170920425078188</v>
      </c>
      <c r="Y102" s="8" t="n">
        <f aca="false">Assumptions!$B$24*M102+(1-Assumptions!$B$24)*S102</f>
        <v>0.168368491649528</v>
      </c>
      <c r="Z102" s="6" t="n">
        <f aca="false">Assumptions!$B$27*(1+T102)</f>
        <v>332486.140820461</v>
      </c>
      <c r="AA102" s="6" t="n">
        <f aca="false">(Z102+Assumptions!$B$28)*(1+U102)</f>
        <v>546639.537211768</v>
      </c>
      <c r="AB102" s="6" t="n">
        <f aca="false">AA102*(1+V102)</f>
        <v>677767.904091259</v>
      </c>
      <c r="AC102" s="6" t="n">
        <f aca="false">AB102*(1+W102)</f>
        <v>808097.367387195</v>
      </c>
      <c r="AD102" s="6" t="n">
        <f aca="false">AC102*(1+X102)</f>
        <v>669977.021848811</v>
      </c>
      <c r="AE102" s="6" t="n">
        <f aca="false">AD102*(1+Y102)</f>
        <v>782780.042457339</v>
      </c>
      <c r="AF102" s="6" t="n">
        <f aca="false">Z102</f>
        <v>332486.140820461</v>
      </c>
      <c r="AG102" s="6" t="n">
        <f aca="false">MAX(AF102,AA102)</f>
        <v>546639.537211768</v>
      </c>
      <c r="AH102" s="6" t="n">
        <f aca="false">MAX(AG102,AB102)</f>
        <v>677767.904091259</v>
      </c>
      <c r="AI102" s="6" t="n">
        <f aca="false">MAX(AH102,AC102)</f>
        <v>808097.367387195</v>
      </c>
      <c r="AJ102" s="6" t="n">
        <f aca="false">MAX(AI102,AD102)</f>
        <v>808097.367387195</v>
      </c>
      <c r="AK102" s="6" t="n">
        <f aca="false">MAX(AJ102,AE102)</f>
        <v>808097.367387195</v>
      </c>
      <c r="AL102" s="8" t="n">
        <f aca="false">MIN(Z102/AF102-1,AA102/AG102-1,AB102/AH102-1,AC102/AI102-1,AD102/AJ102-1,AE102/AK102-1)</f>
        <v>-0.170920425078188</v>
      </c>
      <c r="AM102" s="6" t="n">
        <f aca="false">AE102-Assumptions!$B$35</f>
        <v>341516.045794835</v>
      </c>
    </row>
    <row r="103" customFormat="false" ht="15" hidden="false" customHeight="false" outlineLevel="0" collapsed="false">
      <c r="A103" s="0" t="n">
        <f aca="false">ROW()-1</f>
        <v>102</v>
      </c>
      <c r="B103" s="0" t="str">
        <f aca="true">IF(RAND()&lt;Assumptions!$B$11,"Bull","Bear")</f>
        <v>Bull</v>
      </c>
      <c r="C103" s="0" t="str">
        <f aca="true">IF(B103="Bull",IF(RAND()&lt;Assumptions!$B$7,"Bull","Bear"),IF(RAND()&lt;Assumptions!$B$10,"Bear","Bull"))</f>
        <v>Bear</v>
      </c>
      <c r="D103" s="0" t="str">
        <f aca="true">IF(C103="Bull",IF(RAND()&lt;Assumptions!$B$7,"Bull","Bear"),IF(RAND()&lt;Assumptions!$B$10,"Bear","Bull"))</f>
        <v>Bear</v>
      </c>
      <c r="E103" s="0" t="str">
        <f aca="true">IF(D103="Bull",IF(RAND()&lt;Assumptions!$B$7,"Bull","Bear"),IF(RAND()&lt;Assumptions!$B$10,"Bear","Bull"))</f>
        <v>Bull</v>
      </c>
      <c r="F103" s="0" t="str">
        <f aca="true">IF(E103="Bull",IF(RAND()&lt;Assumptions!$B$7,"Bull","Bear"),IF(RAND()&lt;Assumptions!$B$10,"Bear","Bull"))</f>
        <v>Bull</v>
      </c>
      <c r="G103" s="0" t="str">
        <f aca="true">IF(F103="Bull",IF(RAND()&lt;Assumptions!$B$7,"Bull","Bear"),IF(RAND()&lt;Assumptions!$B$10,"Bear","Bull"))</f>
        <v>Bull</v>
      </c>
      <c r="H103" s="8" t="n">
        <f aca="true">IF(B103="Bull",NORMINV(RAND(),Assumptions!$B$5,Assumptions!$B$6),NORMINV(RAND(),Assumptions!$B$8,Assumptions!$B$9))</f>
        <v>0.175938754280359</v>
      </c>
      <c r="I103" s="8" t="n">
        <f aca="true">IF(C103="Bull",NORMINV(RAND(),Assumptions!$B$5,Assumptions!$B$6),NORMINV(RAND(),Assumptions!$B$8,Assumptions!$B$9))</f>
        <v>-0.275487047291722</v>
      </c>
      <c r="J103" s="8" t="n">
        <f aca="true">IF(D103="Bull",NORMINV(RAND(),Assumptions!$B$5,Assumptions!$B$6),NORMINV(RAND(),Assumptions!$B$8,Assumptions!$B$9))</f>
        <v>0.148804187305248</v>
      </c>
      <c r="K103" s="8" t="n">
        <f aca="true">IF(E103="Bull",NORMINV(RAND(),Assumptions!$B$5,Assumptions!$B$6),NORMINV(RAND(),Assumptions!$B$8,Assumptions!$B$9))</f>
        <v>0.0836494539208104</v>
      </c>
      <c r="L103" s="8" t="n">
        <f aca="true">IF(F103="Bull",NORMINV(RAND(),Assumptions!$B$5,Assumptions!$B$6),NORMINV(RAND(),Assumptions!$B$8,Assumptions!$B$9))</f>
        <v>0.207201075382933</v>
      </c>
      <c r="M103" s="8" t="n">
        <f aca="true">IF(G103="Bull",NORMINV(RAND(),Assumptions!$B$5,Assumptions!$B$6),NORMINV(RAND(),Assumptions!$B$8,Assumptions!$B$9))</f>
        <v>0.422717954434474</v>
      </c>
      <c r="N103" s="8" t="n">
        <f aca="true">NORMINV(RAND(),Assumptions!$B$14,Assumptions!$B$15)</f>
        <v>0.0211313898020409</v>
      </c>
      <c r="O103" s="8" t="n">
        <f aca="true">NORMINV(RAND(),Assumptions!$B$14,Assumptions!$B$15)</f>
        <v>0.0326135316482907</v>
      </c>
      <c r="P103" s="8" t="n">
        <f aca="true">NORMINV(RAND(),Assumptions!$B$14,Assumptions!$B$15)</f>
        <v>0.067281304270401</v>
      </c>
      <c r="Q103" s="8" t="n">
        <f aca="true">NORMINV(RAND(),Assumptions!$B$14,Assumptions!$B$15)</f>
        <v>0.031966404472184</v>
      </c>
      <c r="R103" s="8" t="n">
        <f aca="true">NORMINV(RAND(),Assumptions!$B$14,Assumptions!$B$15)</f>
        <v>0.0750650691176353</v>
      </c>
      <c r="S103" s="8" t="n">
        <f aca="true">NORMINV(RAND(),Assumptions!$B$14,Assumptions!$B$15)</f>
        <v>0.137334020600001</v>
      </c>
      <c r="T103" s="8" t="n">
        <f aca="false">Assumptions!$B$19*H103+(1-Assumptions!$B$19)*N103</f>
        <v>0.175938754280359</v>
      </c>
      <c r="U103" s="8" t="n">
        <f aca="false">Assumptions!$B$20*I103+(1-Assumptions!$B$20)*O103</f>
        <v>-0.275487047291722</v>
      </c>
      <c r="V103" s="8" t="n">
        <f aca="false">Assumptions!$B$21*J103+(1-Assumptions!$B$21)*P103</f>
        <v>0.148804187305248</v>
      </c>
      <c r="W103" s="8" t="n">
        <f aca="false">Assumptions!$B$22*K103+(1-Assumptions!$B$22)*Q103</f>
        <v>0.0836494539208104</v>
      </c>
      <c r="X103" s="8" t="n">
        <f aca="false">Assumptions!$B$23*L103+(1-Assumptions!$B$23)*R103</f>
        <v>0.180773874129873</v>
      </c>
      <c r="Y103" s="8" t="n">
        <f aca="false">Assumptions!$B$24*M103+(1-Assumptions!$B$24)*S103</f>
        <v>0.308564380900684</v>
      </c>
      <c r="Z103" s="6" t="n">
        <f aca="false">Assumptions!$B$27*(1+T103)</f>
        <v>352781.626284108</v>
      </c>
      <c r="AA103" s="6" t="n">
        <f aca="false">(Z103+Assumptions!$B$28)*(1+U103)</f>
        <v>364271.800626569</v>
      </c>
      <c r="AB103" s="6" t="n">
        <f aca="false">AA103*(1+V103)</f>
        <v>418476.969877025</v>
      </c>
      <c r="AC103" s="6" t="n">
        <f aca="false">AB103*(1+W103)</f>
        <v>453482.339885674</v>
      </c>
      <c r="AD103" s="6" t="n">
        <f aca="false">AC103*(1+X103)</f>
        <v>535460.099316287</v>
      </c>
      <c r="AE103" s="6" t="n">
        <f aca="false">AD103*(1+Y103)</f>
        <v>700684.013358836</v>
      </c>
      <c r="AF103" s="6" t="n">
        <f aca="false">Z103</f>
        <v>352781.626284108</v>
      </c>
      <c r="AG103" s="6" t="n">
        <f aca="false">MAX(AF103,AA103)</f>
        <v>364271.800626569</v>
      </c>
      <c r="AH103" s="6" t="n">
        <f aca="false">MAX(AG103,AB103)</f>
        <v>418476.969877025</v>
      </c>
      <c r="AI103" s="6" t="n">
        <f aca="false">MAX(AH103,AC103)</f>
        <v>453482.339885674</v>
      </c>
      <c r="AJ103" s="6" t="n">
        <f aca="false">MAX(AI103,AD103)</f>
        <v>535460.099316287</v>
      </c>
      <c r="AK103" s="6" t="n">
        <f aca="false">MAX(AJ103,AE103)</f>
        <v>700684.013358836</v>
      </c>
      <c r="AL103" s="8" t="n">
        <f aca="false">MIN(Z103/AF103-1,AA103/AG103-1,AB103/AH103-1,AC103/AI103-1,AD103/AJ103-1,AE103/AK103-1)</f>
        <v>0</v>
      </c>
      <c r="AM103" s="6" t="n">
        <f aca="false">AE103-Assumptions!$B$35</f>
        <v>259420.016696332</v>
      </c>
    </row>
    <row r="104" customFormat="false" ht="15" hidden="false" customHeight="false" outlineLevel="0" collapsed="false">
      <c r="A104" s="0" t="n">
        <f aca="false">ROW()-1</f>
        <v>103</v>
      </c>
      <c r="B104" s="0" t="str">
        <f aca="true">IF(RAND()&lt;Assumptions!$B$11,"Bull","Bear")</f>
        <v>Bull</v>
      </c>
      <c r="C104" s="0" t="str">
        <f aca="true">IF(B104="Bull",IF(RAND()&lt;Assumptions!$B$7,"Bull","Bear"),IF(RAND()&lt;Assumptions!$B$10,"Bear","Bull"))</f>
        <v>Bull</v>
      </c>
      <c r="D104" s="0" t="str">
        <f aca="true">IF(C104="Bull",IF(RAND()&lt;Assumptions!$B$7,"Bull","Bear"),IF(RAND()&lt;Assumptions!$B$10,"Bear","Bull"))</f>
        <v>Bull</v>
      </c>
      <c r="E104" s="0" t="str">
        <f aca="true">IF(D104="Bull",IF(RAND()&lt;Assumptions!$B$7,"Bull","Bear"),IF(RAND()&lt;Assumptions!$B$10,"Bear","Bull"))</f>
        <v>Bear</v>
      </c>
      <c r="F104" s="0" t="str">
        <f aca="true">IF(E104="Bull",IF(RAND()&lt;Assumptions!$B$7,"Bull","Bear"),IF(RAND()&lt;Assumptions!$B$10,"Bear","Bull"))</f>
        <v>Bull</v>
      </c>
      <c r="G104" s="0" t="str">
        <f aca="true">IF(F104="Bull",IF(RAND()&lt;Assumptions!$B$7,"Bull","Bear"),IF(RAND()&lt;Assumptions!$B$10,"Bear","Bull"))</f>
        <v>Bull</v>
      </c>
      <c r="H104" s="8" t="n">
        <f aca="true">IF(B104="Bull",NORMINV(RAND(),Assumptions!$B$5,Assumptions!$B$6),NORMINV(RAND(),Assumptions!$B$8,Assumptions!$B$9))</f>
        <v>0.01771787904357</v>
      </c>
      <c r="I104" s="8" t="n">
        <f aca="true">IF(C104="Bull",NORMINV(RAND(),Assumptions!$B$5,Assumptions!$B$6),NORMINV(RAND(),Assumptions!$B$8,Assumptions!$B$9))</f>
        <v>0.205561811130775</v>
      </c>
      <c r="J104" s="8" t="n">
        <f aca="true">IF(D104="Bull",NORMINV(RAND(),Assumptions!$B$5,Assumptions!$B$6),NORMINV(RAND(),Assumptions!$B$8,Assumptions!$B$9))</f>
        <v>0.149248399657312</v>
      </c>
      <c r="K104" s="8" t="n">
        <f aca="true">IF(E104="Bull",NORMINV(RAND(),Assumptions!$B$5,Assumptions!$B$6),NORMINV(RAND(),Assumptions!$B$8,Assumptions!$B$9))</f>
        <v>0.12847827911835</v>
      </c>
      <c r="L104" s="8" t="n">
        <f aca="true">IF(F104="Bull",NORMINV(RAND(),Assumptions!$B$5,Assumptions!$B$6),NORMINV(RAND(),Assumptions!$B$8,Assumptions!$B$9))</f>
        <v>0.397010058150766</v>
      </c>
      <c r="M104" s="8" t="n">
        <f aca="true">IF(G104="Bull",NORMINV(RAND(),Assumptions!$B$5,Assumptions!$B$6),NORMINV(RAND(),Assumptions!$B$8,Assumptions!$B$9))</f>
        <v>0.0451653125137669</v>
      </c>
      <c r="N104" s="8" t="n">
        <f aca="true">NORMINV(RAND(),Assumptions!$B$14,Assumptions!$B$15)</f>
        <v>0.0370296267764039</v>
      </c>
      <c r="O104" s="8" t="n">
        <f aca="true">NORMINV(RAND(),Assumptions!$B$14,Assumptions!$B$15)</f>
        <v>0.0100076990654628</v>
      </c>
      <c r="P104" s="8" t="n">
        <f aca="true">NORMINV(RAND(),Assumptions!$B$14,Assumptions!$B$15)</f>
        <v>0.0818637527715679</v>
      </c>
      <c r="Q104" s="8" t="n">
        <f aca="true">NORMINV(RAND(),Assumptions!$B$14,Assumptions!$B$15)</f>
        <v>0.0399566815938316</v>
      </c>
      <c r="R104" s="8" t="n">
        <f aca="true">NORMINV(RAND(),Assumptions!$B$14,Assumptions!$B$15)</f>
        <v>0.0527747410174261</v>
      </c>
      <c r="S104" s="8" t="n">
        <f aca="true">NORMINV(RAND(),Assumptions!$B$14,Assumptions!$B$15)</f>
        <v>0.0566419164021635</v>
      </c>
      <c r="T104" s="8" t="n">
        <f aca="false">Assumptions!$B$19*H104+(1-Assumptions!$B$19)*N104</f>
        <v>0.01771787904357</v>
      </c>
      <c r="U104" s="8" t="n">
        <f aca="false">Assumptions!$B$20*I104+(1-Assumptions!$B$20)*O104</f>
        <v>0.205561811130775</v>
      </c>
      <c r="V104" s="8" t="n">
        <f aca="false">Assumptions!$B$21*J104+(1-Assumptions!$B$21)*P104</f>
        <v>0.149248399657312</v>
      </c>
      <c r="W104" s="8" t="n">
        <f aca="false">Assumptions!$B$22*K104+(1-Assumptions!$B$22)*Q104</f>
        <v>0.12847827911835</v>
      </c>
      <c r="X104" s="8" t="n">
        <f aca="false">Assumptions!$B$23*L104+(1-Assumptions!$B$23)*R104</f>
        <v>0.328162994724098</v>
      </c>
      <c r="Y104" s="8" t="n">
        <f aca="false">Assumptions!$B$24*M104+(1-Assumptions!$B$24)*S104</f>
        <v>0.0497559540691255</v>
      </c>
      <c r="Z104" s="6" t="n">
        <f aca="false">Assumptions!$B$27*(1+T104)</f>
        <v>305315.363713071</v>
      </c>
      <c r="AA104" s="6" t="n">
        <f aca="false">(Z104+Assumptions!$B$28)*(1+U104)</f>
        <v>548910.814513597</v>
      </c>
      <c r="AB104" s="6" t="n">
        <f aca="false">AA104*(1+V104)</f>
        <v>630834.875134343</v>
      </c>
      <c r="AC104" s="6" t="n">
        <f aca="false">AB104*(1+W104)</f>
        <v>711883.454299443</v>
      </c>
      <c r="AD104" s="6" t="n">
        <f aca="false">AC104*(1+X104)</f>
        <v>945497.260556884</v>
      </c>
      <c r="AE104" s="6" t="n">
        <f aca="false">AD104*(1+Y104)</f>
        <v>992541.378825636</v>
      </c>
      <c r="AF104" s="6" t="n">
        <f aca="false">Z104</f>
        <v>305315.363713071</v>
      </c>
      <c r="AG104" s="6" t="n">
        <f aca="false">MAX(AF104,AA104)</f>
        <v>548910.814513597</v>
      </c>
      <c r="AH104" s="6" t="n">
        <f aca="false">MAX(AG104,AB104)</f>
        <v>630834.875134343</v>
      </c>
      <c r="AI104" s="6" t="n">
        <f aca="false">MAX(AH104,AC104)</f>
        <v>711883.454299443</v>
      </c>
      <c r="AJ104" s="6" t="n">
        <f aca="false">MAX(AI104,AD104)</f>
        <v>945497.260556884</v>
      </c>
      <c r="AK104" s="6" t="n">
        <f aca="false">MAX(AJ104,AE104)</f>
        <v>992541.378825636</v>
      </c>
      <c r="AL104" s="8" t="n">
        <f aca="false">MIN(Z104/AF104-1,AA104/AG104-1,AB104/AH104-1,AC104/AI104-1,AD104/AJ104-1,AE104/AK104-1)</f>
        <v>0</v>
      </c>
      <c r="AM104" s="6" t="n">
        <f aca="false">AE104-Assumptions!$B$35</f>
        <v>551277.382163133</v>
      </c>
    </row>
    <row r="105" customFormat="false" ht="15" hidden="false" customHeight="false" outlineLevel="0" collapsed="false">
      <c r="A105" s="0" t="n">
        <f aca="false">ROW()-1</f>
        <v>104</v>
      </c>
      <c r="B105" s="0" t="str">
        <f aca="true">IF(RAND()&lt;Assumptions!$B$11,"Bull","Bear")</f>
        <v>Bear</v>
      </c>
      <c r="C105" s="0" t="str">
        <f aca="true">IF(B105="Bull",IF(RAND()&lt;Assumptions!$B$7,"Bull","Bear"),IF(RAND()&lt;Assumptions!$B$10,"Bear","Bull"))</f>
        <v>Bear</v>
      </c>
      <c r="D105" s="0" t="str">
        <f aca="true">IF(C105="Bull",IF(RAND()&lt;Assumptions!$B$7,"Bull","Bear"),IF(RAND()&lt;Assumptions!$B$10,"Bear","Bull"))</f>
        <v>Bear</v>
      </c>
      <c r="E105" s="0" t="str">
        <f aca="true">IF(D105="Bull",IF(RAND()&lt;Assumptions!$B$7,"Bull","Bear"),IF(RAND()&lt;Assumptions!$B$10,"Bear","Bull"))</f>
        <v>Bull</v>
      </c>
      <c r="F105" s="0" t="str">
        <f aca="true">IF(E105="Bull",IF(RAND()&lt;Assumptions!$B$7,"Bull","Bear"),IF(RAND()&lt;Assumptions!$B$10,"Bear","Bull"))</f>
        <v>Bull</v>
      </c>
      <c r="G105" s="0" t="str">
        <f aca="true">IF(F105="Bull",IF(RAND()&lt;Assumptions!$B$7,"Bull","Bear"),IF(RAND()&lt;Assumptions!$B$10,"Bear","Bull"))</f>
        <v>Bull</v>
      </c>
      <c r="H105" s="8" t="n">
        <f aca="true">IF(B105="Bull",NORMINV(RAND(),Assumptions!$B$5,Assumptions!$B$6),NORMINV(RAND(),Assumptions!$B$8,Assumptions!$B$9))</f>
        <v>-0.344159196030744</v>
      </c>
      <c r="I105" s="8" t="n">
        <f aca="true">IF(C105="Bull",NORMINV(RAND(),Assumptions!$B$5,Assumptions!$B$6),NORMINV(RAND(),Assumptions!$B$8,Assumptions!$B$9))</f>
        <v>-0.128282319727533</v>
      </c>
      <c r="J105" s="8" t="n">
        <f aca="true">IF(D105="Bull",NORMINV(RAND(),Assumptions!$B$5,Assumptions!$B$6),NORMINV(RAND(),Assumptions!$B$8,Assumptions!$B$9))</f>
        <v>-0.0726443246127875</v>
      </c>
      <c r="K105" s="8" t="n">
        <f aca="true">IF(E105="Bull",NORMINV(RAND(),Assumptions!$B$5,Assumptions!$B$6),NORMINV(RAND(),Assumptions!$B$8,Assumptions!$B$9))</f>
        <v>0.374299692895185</v>
      </c>
      <c r="L105" s="8" t="n">
        <f aca="true">IF(F105="Bull",NORMINV(RAND(),Assumptions!$B$5,Assumptions!$B$6),NORMINV(RAND(),Assumptions!$B$8,Assumptions!$B$9))</f>
        <v>0.212044842104455</v>
      </c>
      <c r="M105" s="8" t="n">
        <f aca="true">IF(G105="Bull",NORMINV(RAND(),Assumptions!$B$5,Assumptions!$B$6),NORMINV(RAND(),Assumptions!$B$8,Assumptions!$B$9))</f>
        <v>0.170114195360083</v>
      </c>
      <c r="N105" s="8" t="n">
        <f aca="true">NORMINV(RAND(),Assumptions!$B$14,Assumptions!$B$15)</f>
        <v>0.0643488732382622</v>
      </c>
      <c r="O105" s="8" t="n">
        <f aca="true">NORMINV(RAND(),Assumptions!$B$14,Assumptions!$B$15)</f>
        <v>0.0529908351330031</v>
      </c>
      <c r="P105" s="8" t="n">
        <f aca="true">NORMINV(RAND(),Assumptions!$B$14,Assumptions!$B$15)</f>
        <v>0.0941085474672634</v>
      </c>
      <c r="Q105" s="8" t="n">
        <f aca="true">NORMINV(RAND(),Assumptions!$B$14,Assumptions!$B$15)</f>
        <v>0.0154102418549295</v>
      </c>
      <c r="R105" s="8" t="n">
        <f aca="true">NORMINV(RAND(),Assumptions!$B$14,Assumptions!$B$15)</f>
        <v>0.0408297992638548</v>
      </c>
      <c r="S105" s="8" t="n">
        <f aca="true">NORMINV(RAND(),Assumptions!$B$14,Assumptions!$B$15)</f>
        <v>0.0811523061064345</v>
      </c>
      <c r="T105" s="8" t="n">
        <f aca="false">Assumptions!$B$19*H105+(1-Assumptions!$B$19)*N105</f>
        <v>-0.344159196030744</v>
      </c>
      <c r="U105" s="8" t="n">
        <f aca="false">Assumptions!$B$20*I105+(1-Assumptions!$B$20)*O105</f>
        <v>-0.128282319727533</v>
      </c>
      <c r="V105" s="8" t="n">
        <f aca="false">Assumptions!$B$21*J105+(1-Assumptions!$B$21)*P105</f>
        <v>-0.0726443246127875</v>
      </c>
      <c r="W105" s="8" t="n">
        <f aca="false">Assumptions!$B$22*K105+(1-Assumptions!$B$22)*Q105</f>
        <v>0.374299692895185</v>
      </c>
      <c r="X105" s="8" t="n">
        <f aca="false">Assumptions!$B$23*L105+(1-Assumptions!$B$23)*R105</f>
        <v>0.177801833536335</v>
      </c>
      <c r="Y105" s="8" t="n">
        <f aca="false">Assumptions!$B$24*M105+(1-Assumptions!$B$24)*S105</f>
        <v>0.134529439658623</v>
      </c>
      <c r="Z105" s="6" t="n">
        <f aca="false">Assumptions!$B$27*(1+T105)</f>
        <v>196752.241190777</v>
      </c>
      <c r="AA105" s="6" t="n">
        <f aca="false">(Z105+Assumptions!$B$28)*(1+U105)</f>
        <v>302270.059320103</v>
      </c>
      <c r="AB105" s="6" t="n">
        <f aca="false">AA105*(1+V105)</f>
        <v>280311.855010127</v>
      </c>
      <c r="AC105" s="6" t="n">
        <f aca="false">AB105*(1+W105)</f>
        <v>385232.496255297</v>
      </c>
      <c r="AD105" s="6" t="n">
        <f aca="false">AC105*(1+X105)</f>
        <v>453727.540427268</v>
      </c>
      <c r="AE105" s="6" t="n">
        <f aca="false">AD105*(1+Y105)</f>
        <v>514767.252198633</v>
      </c>
      <c r="AF105" s="6" t="n">
        <f aca="false">Z105</f>
        <v>196752.241190777</v>
      </c>
      <c r="AG105" s="6" t="n">
        <f aca="false">MAX(AF105,AA105)</f>
        <v>302270.059320103</v>
      </c>
      <c r="AH105" s="6" t="n">
        <f aca="false">MAX(AG105,AB105)</f>
        <v>302270.059320103</v>
      </c>
      <c r="AI105" s="6" t="n">
        <f aca="false">MAX(AH105,AC105)</f>
        <v>385232.496255297</v>
      </c>
      <c r="AJ105" s="6" t="n">
        <f aca="false">MAX(AI105,AD105)</f>
        <v>453727.540427268</v>
      </c>
      <c r="AK105" s="6" t="n">
        <f aca="false">MAX(AJ105,AE105)</f>
        <v>514767.252198633</v>
      </c>
      <c r="AL105" s="8" t="n">
        <f aca="false">MIN(Z105/AF105-1,AA105/AG105-1,AB105/AH105-1,AC105/AI105-1,AD105/AJ105-1,AE105/AK105-1)</f>
        <v>-0.0726443246127875</v>
      </c>
      <c r="AM105" s="6" t="n">
        <f aca="false">AE105-Assumptions!$B$35</f>
        <v>73503.2555361299</v>
      </c>
    </row>
    <row r="106" customFormat="false" ht="15" hidden="false" customHeight="false" outlineLevel="0" collapsed="false">
      <c r="A106" s="0" t="n">
        <f aca="false">ROW()-1</f>
        <v>105</v>
      </c>
      <c r="B106" s="0" t="str">
        <f aca="true">IF(RAND()&lt;Assumptions!$B$11,"Bull","Bear")</f>
        <v>Bull</v>
      </c>
      <c r="C106" s="0" t="str">
        <f aca="true">IF(B106="Bull",IF(RAND()&lt;Assumptions!$B$7,"Bull","Bear"),IF(RAND()&lt;Assumptions!$B$10,"Bear","Bull"))</f>
        <v>Bull</v>
      </c>
      <c r="D106" s="0" t="str">
        <f aca="true">IF(C106="Bull",IF(RAND()&lt;Assumptions!$B$7,"Bull","Bear"),IF(RAND()&lt;Assumptions!$B$10,"Bear","Bull"))</f>
        <v>Bull</v>
      </c>
      <c r="E106" s="0" t="str">
        <f aca="true">IF(D106="Bull",IF(RAND()&lt;Assumptions!$B$7,"Bull","Bear"),IF(RAND()&lt;Assumptions!$B$10,"Bear","Bull"))</f>
        <v>Bear</v>
      </c>
      <c r="F106" s="0" t="str">
        <f aca="true">IF(E106="Bull",IF(RAND()&lt;Assumptions!$B$7,"Bull","Bear"),IF(RAND()&lt;Assumptions!$B$10,"Bear","Bull"))</f>
        <v>Bear</v>
      </c>
      <c r="G106" s="0" t="str">
        <f aca="true">IF(F106="Bull",IF(RAND()&lt;Assumptions!$B$7,"Bull","Bear"),IF(RAND()&lt;Assumptions!$B$10,"Bear","Bull"))</f>
        <v>Bull</v>
      </c>
      <c r="H106" s="8" t="n">
        <f aca="true">IF(B106="Bull",NORMINV(RAND(),Assumptions!$B$5,Assumptions!$B$6),NORMINV(RAND(),Assumptions!$B$8,Assumptions!$B$9))</f>
        <v>0.177402370879611</v>
      </c>
      <c r="I106" s="8" t="n">
        <f aca="true">IF(C106="Bull",NORMINV(RAND(),Assumptions!$B$5,Assumptions!$B$6),NORMINV(RAND(),Assumptions!$B$8,Assumptions!$B$9))</f>
        <v>0.194767336830591</v>
      </c>
      <c r="J106" s="8" t="n">
        <f aca="true">IF(D106="Bull",NORMINV(RAND(),Assumptions!$B$5,Assumptions!$B$6),NORMINV(RAND(),Assumptions!$B$8,Assumptions!$B$9))</f>
        <v>0.194982740683567</v>
      </c>
      <c r="K106" s="8" t="n">
        <f aca="true">IF(E106="Bull",NORMINV(RAND(),Assumptions!$B$5,Assumptions!$B$6),NORMINV(RAND(),Assumptions!$B$8,Assumptions!$B$9))</f>
        <v>-0.311395023207267</v>
      </c>
      <c r="L106" s="8" t="n">
        <f aca="true">IF(F106="Bull",NORMINV(RAND(),Assumptions!$B$5,Assumptions!$B$6),NORMINV(RAND(),Assumptions!$B$8,Assumptions!$B$9))</f>
        <v>-0.523357422001455</v>
      </c>
      <c r="M106" s="8" t="n">
        <f aca="true">IF(G106="Bull",NORMINV(RAND(),Assumptions!$B$5,Assumptions!$B$6),NORMINV(RAND(),Assumptions!$B$8,Assumptions!$B$9))</f>
        <v>0.10224782616127</v>
      </c>
      <c r="N106" s="8" t="n">
        <f aca="true">NORMINV(RAND(),Assumptions!$B$14,Assumptions!$B$15)</f>
        <v>0.0448711017576019</v>
      </c>
      <c r="O106" s="8" t="n">
        <f aca="true">NORMINV(RAND(),Assumptions!$B$14,Assumptions!$B$15)</f>
        <v>0.0126400031066886</v>
      </c>
      <c r="P106" s="8" t="n">
        <f aca="true">NORMINV(RAND(),Assumptions!$B$14,Assumptions!$B$15)</f>
        <v>0.012490509071528</v>
      </c>
      <c r="Q106" s="8" t="n">
        <f aca="true">NORMINV(RAND(),Assumptions!$B$14,Assumptions!$B$15)</f>
        <v>0.0954770975956309</v>
      </c>
      <c r="R106" s="8" t="n">
        <f aca="true">NORMINV(RAND(),Assumptions!$B$14,Assumptions!$B$15)</f>
        <v>0.0857632056710075</v>
      </c>
      <c r="S106" s="8" t="n">
        <f aca="true">NORMINV(RAND(),Assumptions!$B$14,Assumptions!$B$15)</f>
        <v>0.0628917952994409</v>
      </c>
      <c r="T106" s="8" t="n">
        <f aca="false">Assumptions!$B$19*H106+(1-Assumptions!$B$19)*N106</f>
        <v>0.177402370879611</v>
      </c>
      <c r="U106" s="8" t="n">
        <f aca="false">Assumptions!$B$20*I106+(1-Assumptions!$B$20)*O106</f>
        <v>0.194767336830591</v>
      </c>
      <c r="V106" s="8" t="n">
        <f aca="false">Assumptions!$B$21*J106+(1-Assumptions!$B$21)*P106</f>
        <v>0.194982740683567</v>
      </c>
      <c r="W106" s="8" t="n">
        <f aca="false">Assumptions!$B$22*K106+(1-Assumptions!$B$22)*Q106</f>
        <v>-0.311395023207267</v>
      </c>
      <c r="X106" s="8" t="n">
        <f aca="false">Assumptions!$B$23*L106+(1-Assumptions!$B$23)*R106</f>
        <v>-0.401533296466963</v>
      </c>
      <c r="Y106" s="8" t="n">
        <f aca="false">Assumptions!$B$24*M106+(1-Assumptions!$B$24)*S106</f>
        <v>0.0865054138165386</v>
      </c>
      <c r="Z106" s="6" t="n">
        <f aca="false">Assumptions!$B$27*(1+T106)</f>
        <v>353220.711263883</v>
      </c>
      <c r="AA106" s="6" t="n">
        <f aca="false">(Z106+Assumptions!$B$28)*(1+U106)</f>
        <v>601231.669034745</v>
      </c>
      <c r="AB106" s="6" t="n">
        <f aca="false">AA106*(1+V106)</f>
        <v>718461.467648895</v>
      </c>
      <c r="AC106" s="6" t="n">
        <f aca="false">AB106*(1+W106)</f>
        <v>494736.142256841</v>
      </c>
      <c r="AD106" s="6" t="n">
        <f aca="false">AC106*(1+X106)</f>
        <v>296083.108175103</v>
      </c>
      <c r="AE106" s="6" t="n">
        <f aca="false">AD106*(1+Y106)</f>
        <v>321695.899971877</v>
      </c>
      <c r="AF106" s="6" t="n">
        <f aca="false">Z106</f>
        <v>353220.711263883</v>
      </c>
      <c r="AG106" s="6" t="n">
        <f aca="false">MAX(AF106,AA106)</f>
        <v>601231.669034745</v>
      </c>
      <c r="AH106" s="6" t="n">
        <f aca="false">MAX(AG106,AB106)</f>
        <v>718461.467648895</v>
      </c>
      <c r="AI106" s="6" t="n">
        <f aca="false">MAX(AH106,AC106)</f>
        <v>718461.467648895</v>
      </c>
      <c r="AJ106" s="6" t="n">
        <f aca="false">MAX(AI106,AD106)</f>
        <v>718461.467648895</v>
      </c>
      <c r="AK106" s="6" t="n">
        <f aca="false">MAX(AJ106,AE106)</f>
        <v>718461.467648895</v>
      </c>
      <c r="AL106" s="8" t="n">
        <f aca="false">MIN(Z106/AF106-1,AA106/AG106-1,AB106/AH106-1,AC106/AI106-1,AD106/AJ106-1,AE106/AK106-1)</f>
        <v>-0.587892849502409</v>
      </c>
      <c r="AM106" s="6" t="n">
        <f aca="false">AE106-Assumptions!$B$35</f>
        <v>-119568.096690626</v>
      </c>
    </row>
    <row r="107" customFormat="false" ht="15" hidden="false" customHeight="false" outlineLevel="0" collapsed="false">
      <c r="A107" s="0" t="n">
        <f aca="false">ROW()-1</f>
        <v>106</v>
      </c>
      <c r="B107" s="0" t="str">
        <f aca="true">IF(RAND()&lt;Assumptions!$B$11,"Bull","Bear")</f>
        <v>Bull</v>
      </c>
      <c r="C107" s="0" t="str">
        <f aca="true">IF(B107="Bull",IF(RAND()&lt;Assumptions!$B$7,"Bull","Bear"),IF(RAND()&lt;Assumptions!$B$10,"Bear","Bull"))</f>
        <v>Bull</v>
      </c>
      <c r="D107" s="0" t="str">
        <f aca="true">IF(C107="Bull",IF(RAND()&lt;Assumptions!$B$7,"Bull","Bear"),IF(RAND()&lt;Assumptions!$B$10,"Bear","Bull"))</f>
        <v>Bull</v>
      </c>
      <c r="E107" s="0" t="str">
        <f aca="true">IF(D107="Bull",IF(RAND()&lt;Assumptions!$B$7,"Bull","Bear"),IF(RAND()&lt;Assumptions!$B$10,"Bear","Bull"))</f>
        <v>Bull</v>
      </c>
      <c r="F107" s="0" t="str">
        <f aca="true">IF(E107="Bull",IF(RAND()&lt;Assumptions!$B$7,"Bull","Bear"),IF(RAND()&lt;Assumptions!$B$10,"Bear","Bull"))</f>
        <v>Bull</v>
      </c>
      <c r="G107" s="0" t="str">
        <f aca="true">IF(F107="Bull",IF(RAND()&lt;Assumptions!$B$7,"Bull","Bear"),IF(RAND()&lt;Assumptions!$B$10,"Bear","Bull"))</f>
        <v>Bull</v>
      </c>
      <c r="H107" s="8" t="n">
        <f aca="true">IF(B107="Bull",NORMINV(RAND(),Assumptions!$B$5,Assumptions!$B$6),NORMINV(RAND(),Assumptions!$B$8,Assumptions!$B$9))</f>
        <v>0.262039720830534</v>
      </c>
      <c r="I107" s="8" t="n">
        <f aca="true">IF(C107="Bull",NORMINV(RAND(),Assumptions!$B$5,Assumptions!$B$6),NORMINV(RAND(),Assumptions!$B$8,Assumptions!$B$9))</f>
        <v>0.269094705900104</v>
      </c>
      <c r="J107" s="8" t="n">
        <f aca="true">IF(D107="Bull",NORMINV(RAND(),Assumptions!$B$5,Assumptions!$B$6),NORMINV(RAND(),Assumptions!$B$8,Assumptions!$B$9))</f>
        <v>0.182063673110999</v>
      </c>
      <c r="K107" s="8" t="n">
        <f aca="true">IF(E107="Bull",NORMINV(RAND(),Assumptions!$B$5,Assumptions!$B$6),NORMINV(RAND(),Assumptions!$B$8,Assumptions!$B$9))</f>
        <v>0.289551790879075</v>
      </c>
      <c r="L107" s="8" t="n">
        <f aca="true">IF(F107="Bull",NORMINV(RAND(),Assumptions!$B$5,Assumptions!$B$6),NORMINV(RAND(),Assumptions!$B$8,Assumptions!$B$9))</f>
        <v>0.220959032920928</v>
      </c>
      <c r="M107" s="8" t="n">
        <f aca="true">IF(G107="Bull",NORMINV(RAND(),Assumptions!$B$5,Assumptions!$B$6),NORMINV(RAND(),Assumptions!$B$8,Assumptions!$B$9))</f>
        <v>0.0398041486391447</v>
      </c>
      <c r="N107" s="8" t="n">
        <f aca="true">NORMINV(RAND(),Assumptions!$B$14,Assumptions!$B$15)</f>
        <v>0.0459818357969814</v>
      </c>
      <c r="O107" s="8" t="n">
        <f aca="true">NORMINV(RAND(),Assumptions!$B$14,Assumptions!$B$15)</f>
        <v>0.0660593379895872</v>
      </c>
      <c r="P107" s="8" t="n">
        <f aca="true">NORMINV(RAND(),Assumptions!$B$14,Assumptions!$B$15)</f>
        <v>0.0417276539635382</v>
      </c>
      <c r="Q107" s="8" t="n">
        <f aca="true">NORMINV(RAND(),Assumptions!$B$14,Assumptions!$B$15)</f>
        <v>0.0149890092327191</v>
      </c>
      <c r="R107" s="8" t="n">
        <f aca="true">NORMINV(RAND(),Assumptions!$B$14,Assumptions!$B$15)</f>
        <v>0.0477650645692838</v>
      </c>
      <c r="S107" s="8" t="n">
        <f aca="true">NORMINV(RAND(),Assumptions!$B$14,Assumptions!$B$15)</f>
        <v>-0.0122660395009269</v>
      </c>
      <c r="T107" s="8" t="n">
        <f aca="false">Assumptions!$B$19*H107+(1-Assumptions!$B$19)*N107</f>
        <v>0.262039720830534</v>
      </c>
      <c r="U107" s="8" t="n">
        <f aca="false">Assumptions!$B$20*I107+(1-Assumptions!$B$20)*O107</f>
        <v>0.269094705900104</v>
      </c>
      <c r="V107" s="8" t="n">
        <f aca="false">Assumptions!$B$21*J107+(1-Assumptions!$B$21)*P107</f>
        <v>0.182063673110999</v>
      </c>
      <c r="W107" s="8" t="n">
        <f aca="false">Assumptions!$B$22*K107+(1-Assumptions!$B$22)*Q107</f>
        <v>0.289551790879075</v>
      </c>
      <c r="X107" s="8" t="n">
        <f aca="false">Assumptions!$B$23*L107+(1-Assumptions!$B$23)*R107</f>
        <v>0.186320239250599</v>
      </c>
      <c r="Y107" s="8" t="n">
        <f aca="false">Assumptions!$B$24*M107+(1-Assumptions!$B$24)*S107</f>
        <v>0.0189760733831161</v>
      </c>
      <c r="Z107" s="6" t="n">
        <f aca="false">Assumptions!$B$27*(1+T107)</f>
        <v>378611.91624916</v>
      </c>
      <c r="AA107" s="6" t="n">
        <f aca="false">(Z107+Assumptions!$B$28)*(1+U107)</f>
        <v>670858.584387518</v>
      </c>
      <c r="AB107" s="6" t="n">
        <f aca="false">AA107*(1+V107)</f>
        <v>792997.562399155</v>
      </c>
      <c r="AC107" s="6" t="n">
        <f aca="false">AB107*(1+W107)</f>
        <v>1022611.42675457</v>
      </c>
      <c r="AD107" s="6" t="n">
        <f aca="false">AC107*(1+X107)</f>
        <v>1213144.63244788</v>
      </c>
      <c r="AE107" s="6" t="n">
        <f aca="false">AD107*(1+Y107)</f>
        <v>1236165.35401754</v>
      </c>
      <c r="AF107" s="6" t="n">
        <f aca="false">Z107</f>
        <v>378611.91624916</v>
      </c>
      <c r="AG107" s="6" t="n">
        <f aca="false">MAX(AF107,AA107)</f>
        <v>670858.584387518</v>
      </c>
      <c r="AH107" s="6" t="n">
        <f aca="false">MAX(AG107,AB107)</f>
        <v>792997.562399155</v>
      </c>
      <c r="AI107" s="6" t="n">
        <f aca="false">MAX(AH107,AC107)</f>
        <v>1022611.42675457</v>
      </c>
      <c r="AJ107" s="6" t="n">
        <f aca="false">MAX(AI107,AD107)</f>
        <v>1213144.63244788</v>
      </c>
      <c r="AK107" s="6" t="n">
        <f aca="false">MAX(AJ107,AE107)</f>
        <v>1236165.35401754</v>
      </c>
      <c r="AL107" s="8" t="n">
        <f aca="false">MIN(Z107/AF107-1,AA107/AG107-1,AB107/AH107-1,AC107/AI107-1,AD107/AJ107-1,AE107/AK107-1)</f>
        <v>0</v>
      </c>
      <c r="AM107" s="6" t="n">
        <f aca="false">AE107-Assumptions!$B$35</f>
        <v>794901.357355041</v>
      </c>
    </row>
    <row r="108" customFormat="false" ht="15" hidden="false" customHeight="false" outlineLevel="0" collapsed="false">
      <c r="A108" s="0" t="n">
        <f aca="false">ROW()-1</f>
        <v>107</v>
      </c>
      <c r="B108" s="0" t="str">
        <f aca="true">IF(RAND()&lt;Assumptions!$B$11,"Bull","Bear")</f>
        <v>Bull</v>
      </c>
      <c r="C108" s="0" t="str">
        <f aca="true">IF(B108="Bull",IF(RAND()&lt;Assumptions!$B$7,"Bull","Bear"),IF(RAND()&lt;Assumptions!$B$10,"Bear","Bull"))</f>
        <v>Bull</v>
      </c>
      <c r="D108" s="0" t="str">
        <f aca="true">IF(C108="Bull",IF(RAND()&lt;Assumptions!$B$7,"Bull","Bear"),IF(RAND()&lt;Assumptions!$B$10,"Bear","Bull"))</f>
        <v>Bull</v>
      </c>
      <c r="E108" s="0" t="str">
        <f aca="true">IF(D108="Bull",IF(RAND()&lt;Assumptions!$B$7,"Bull","Bear"),IF(RAND()&lt;Assumptions!$B$10,"Bear","Bull"))</f>
        <v>Bull</v>
      </c>
      <c r="F108" s="0" t="str">
        <f aca="true">IF(E108="Bull",IF(RAND()&lt;Assumptions!$B$7,"Bull","Bear"),IF(RAND()&lt;Assumptions!$B$10,"Bear","Bull"))</f>
        <v>Bull</v>
      </c>
      <c r="G108" s="0" t="str">
        <f aca="true">IF(F108="Bull",IF(RAND()&lt;Assumptions!$B$7,"Bull","Bear"),IF(RAND()&lt;Assumptions!$B$10,"Bear","Bull"))</f>
        <v>Bull</v>
      </c>
      <c r="H108" s="8" t="n">
        <f aca="true">IF(B108="Bull",NORMINV(RAND(),Assumptions!$B$5,Assumptions!$B$6),NORMINV(RAND(),Assumptions!$B$8,Assumptions!$B$9))</f>
        <v>0.14282968932472</v>
      </c>
      <c r="I108" s="8" t="n">
        <f aca="true">IF(C108="Bull",NORMINV(RAND(),Assumptions!$B$5,Assumptions!$B$6),NORMINV(RAND(),Assumptions!$B$8,Assumptions!$B$9))</f>
        <v>0.282797747246634</v>
      </c>
      <c r="J108" s="8" t="n">
        <f aca="true">IF(D108="Bull",NORMINV(RAND(),Assumptions!$B$5,Assumptions!$B$6),NORMINV(RAND(),Assumptions!$B$8,Assumptions!$B$9))</f>
        <v>0.207486179186707</v>
      </c>
      <c r="K108" s="8" t="n">
        <f aca="true">IF(E108="Bull",NORMINV(RAND(),Assumptions!$B$5,Assumptions!$B$6),NORMINV(RAND(),Assumptions!$B$8,Assumptions!$B$9))</f>
        <v>0.160435211934084</v>
      </c>
      <c r="L108" s="8" t="n">
        <f aca="true">IF(F108="Bull",NORMINV(RAND(),Assumptions!$B$5,Assumptions!$B$6),NORMINV(RAND(),Assumptions!$B$8,Assumptions!$B$9))</f>
        <v>0.247731956630675</v>
      </c>
      <c r="M108" s="8" t="n">
        <f aca="true">IF(G108="Bull",NORMINV(RAND(),Assumptions!$B$5,Assumptions!$B$6),NORMINV(RAND(),Assumptions!$B$8,Assumptions!$B$9))</f>
        <v>0.11261860142603</v>
      </c>
      <c r="N108" s="8" t="n">
        <f aca="true">NORMINV(RAND(),Assumptions!$B$14,Assumptions!$B$15)</f>
        <v>0.0618007466829562</v>
      </c>
      <c r="O108" s="8" t="n">
        <f aca="true">NORMINV(RAND(),Assumptions!$B$14,Assumptions!$B$15)</f>
        <v>-0.000457191101679154</v>
      </c>
      <c r="P108" s="8" t="n">
        <f aca="true">NORMINV(RAND(),Assumptions!$B$14,Assumptions!$B$15)</f>
        <v>0.0496539351423437</v>
      </c>
      <c r="Q108" s="8" t="n">
        <f aca="true">NORMINV(RAND(),Assumptions!$B$14,Assumptions!$B$15)</f>
        <v>0.0509394360427686</v>
      </c>
      <c r="R108" s="8" t="n">
        <f aca="true">NORMINV(RAND(),Assumptions!$B$14,Assumptions!$B$15)</f>
        <v>0.0202310011347074</v>
      </c>
      <c r="S108" s="8" t="n">
        <f aca="true">NORMINV(RAND(),Assumptions!$B$14,Assumptions!$B$15)</f>
        <v>0.0349923732338766</v>
      </c>
      <c r="T108" s="8" t="n">
        <f aca="false">Assumptions!$B$19*H108+(1-Assumptions!$B$19)*N108</f>
        <v>0.14282968932472</v>
      </c>
      <c r="U108" s="8" t="n">
        <f aca="false">Assumptions!$B$20*I108+(1-Assumptions!$B$20)*O108</f>
        <v>0.282797747246634</v>
      </c>
      <c r="V108" s="8" t="n">
        <f aca="false">Assumptions!$B$21*J108+(1-Assumptions!$B$21)*P108</f>
        <v>0.207486179186707</v>
      </c>
      <c r="W108" s="8" t="n">
        <f aca="false">Assumptions!$B$22*K108+(1-Assumptions!$B$22)*Q108</f>
        <v>0.160435211934084</v>
      </c>
      <c r="X108" s="8" t="n">
        <f aca="false">Assumptions!$B$23*L108+(1-Assumptions!$B$23)*R108</f>
        <v>0.202231765531481</v>
      </c>
      <c r="Y108" s="8" t="n">
        <f aca="false">Assumptions!$B$24*M108+(1-Assumptions!$B$24)*S108</f>
        <v>0.0815681101491685</v>
      </c>
      <c r="Z108" s="6" t="n">
        <f aca="false">Assumptions!$B$27*(1+T108)</f>
        <v>342848.906797416</v>
      </c>
      <c r="AA108" s="6" t="n">
        <f aca="false">(Z108+Assumptions!$B$28)*(1+U108)</f>
        <v>632225.467372691</v>
      </c>
      <c r="AB108" s="6" t="n">
        <f aca="false">AA108*(1+V108)</f>
        <v>763403.513982381</v>
      </c>
      <c r="AC108" s="6" t="n">
        <f aca="false">AB108*(1+W108)</f>
        <v>885880.318539369</v>
      </c>
      <c r="AD108" s="6" t="n">
        <f aca="false">AC108*(1+X108)</f>
        <v>1065033.45940718</v>
      </c>
      <c r="AE108" s="6" t="n">
        <f aca="false">AD108*(1+Y108)</f>
        <v>1151906.22593665</v>
      </c>
      <c r="AF108" s="6" t="n">
        <f aca="false">Z108</f>
        <v>342848.906797416</v>
      </c>
      <c r="AG108" s="6" t="n">
        <f aca="false">MAX(AF108,AA108)</f>
        <v>632225.467372691</v>
      </c>
      <c r="AH108" s="6" t="n">
        <f aca="false">MAX(AG108,AB108)</f>
        <v>763403.513982381</v>
      </c>
      <c r="AI108" s="6" t="n">
        <f aca="false">MAX(AH108,AC108)</f>
        <v>885880.318539369</v>
      </c>
      <c r="AJ108" s="6" t="n">
        <f aca="false">MAX(AI108,AD108)</f>
        <v>1065033.45940718</v>
      </c>
      <c r="AK108" s="6" t="n">
        <f aca="false">MAX(AJ108,AE108)</f>
        <v>1151906.22593665</v>
      </c>
      <c r="AL108" s="8" t="n">
        <f aca="false">MIN(Z108/AF108-1,AA108/AG108-1,AB108/AH108-1,AC108/AI108-1,AD108/AJ108-1,AE108/AK108-1)</f>
        <v>0</v>
      </c>
      <c r="AM108" s="6" t="n">
        <f aca="false">AE108-Assumptions!$B$35</f>
        <v>710642.229274147</v>
      </c>
    </row>
    <row r="109" customFormat="false" ht="15" hidden="false" customHeight="false" outlineLevel="0" collapsed="false">
      <c r="A109" s="0" t="n">
        <f aca="false">ROW()-1</f>
        <v>108</v>
      </c>
      <c r="B109" s="0" t="str">
        <f aca="true">IF(RAND()&lt;Assumptions!$B$11,"Bull","Bear")</f>
        <v>Bull</v>
      </c>
      <c r="C109" s="0" t="str">
        <f aca="true">IF(B109="Bull",IF(RAND()&lt;Assumptions!$B$7,"Bull","Bear"),IF(RAND()&lt;Assumptions!$B$10,"Bear","Bull"))</f>
        <v>Bull</v>
      </c>
      <c r="D109" s="0" t="str">
        <f aca="true">IF(C109="Bull",IF(RAND()&lt;Assumptions!$B$7,"Bull","Bear"),IF(RAND()&lt;Assumptions!$B$10,"Bear","Bull"))</f>
        <v>Bull</v>
      </c>
      <c r="E109" s="0" t="str">
        <f aca="true">IF(D109="Bull",IF(RAND()&lt;Assumptions!$B$7,"Bull","Bear"),IF(RAND()&lt;Assumptions!$B$10,"Bear","Bull"))</f>
        <v>Bull</v>
      </c>
      <c r="F109" s="0" t="str">
        <f aca="true">IF(E109="Bull",IF(RAND()&lt;Assumptions!$B$7,"Bull","Bear"),IF(RAND()&lt;Assumptions!$B$10,"Bear","Bull"))</f>
        <v>Bull</v>
      </c>
      <c r="G109" s="0" t="str">
        <f aca="true">IF(F109="Bull",IF(RAND()&lt;Assumptions!$B$7,"Bull","Bear"),IF(RAND()&lt;Assumptions!$B$10,"Bear","Bull"))</f>
        <v>Bear</v>
      </c>
      <c r="H109" s="8" t="n">
        <f aca="true">IF(B109="Bull",NORMINV(RAND(),Assumptions!$B$5,Assumptions!$B$6),NORMINV(RAND(),Assumptions!$B$8,Assumptions!$B$9))</f>
        <v>0.108376005670206</v>
      </c>
      <c r="I109" s="8" t="n">
        <f aca="true">IF(C109="Bull",NORMINV(RAND(),Assumptions!$B$5,Assumptions!$B$6),NORMINV(RAND(),Assumptions!$B$8,Assumptions!$B$9))</f>
        <v>0.155235613585959</v>
      </c>
      <c r="J109" s="8" t="n">
        <f aca="true">IF(D109="Bull",NORMINV(RAND(),Assumptions!$B$5,Assumptions!$B$6),NORMINV(RAND(),Assumptions!$B$8,Assumptions!$B$9))</f>
        <v>0.184598564661431</v>
      </c>
      <c r="K109" s="8" t="n">
        <f aca="true">IF(E109="Bull",NORMINV(RAND(),Assumptions!$B$5,Assumptions!$B$6),NORMINV(RAND(),Assumptions!$B$8,Assumptions!$B$9))</f>
        <v>0.221880927503003</v>
      </c>
      <c r="L109" s="8" t="n">
        <f aca="true">IF(F109="Bull",NORMINV(RAND(),Assumptions!$B$5,Assumptions!$B$6),NORMINV(RAND(),Assumptions!$B$8,Assumptions!$B$9))</f>
        <v>0.083890010827329</v>
      </c>
      <c r="M109" s="8" t="n">
        <f aca="true">IF(G109="Bull",NORMINV(RAND(),Assumptions!$B$5,Assumptions!$B$6),NORMINV(RAND(),Assumptions!$B$8,Assumptions!$B$9))</f>
        <v>0.0492804917619417</v>
      </c>
      <c r="N109" s="8" t="n">
        <f aca="true">NORMINV(RAND(),Assumptions!$B$14,Assumptions!$B$15)</f>
        <v>0.0312867874247285</v>
      </c>
      <c r="O109" s="8" t="n">
        <f aca="true">NORMINV(RAND(),Assumptions!$B$14,Assumptions!$B$15)</f>
        <v>0.0296204142453303</v>
      </c>
      <c r="P109" s="8" t="n">
        <f aca="true">NORMINV(RAND(),Assumptions!$B$14,Assumptions!$B$15)</f>
        <v>0.0574918681870204</v>
      </c>
      <c r="Q109" s="8" t="n">
        <f aca="true">NORMINV(RAND(),Assumptions!$B$14,Assumptions!$B$15)</f>
        <v>0.0186186253848867</v>
      </c>
      <c r="R109" s="8" t="n">
        <f aca="true">NORMINV(RAND(),Assumptions!$B$14,Assumptions!$B$15)</f>
        <v>0.0058008630781476</v>
      </c>
      <c r="S109" s="8" t="n">
        <f aca="true">NORMINV(RAND(),Assumptions!$B$14,Assumptions!$B$15)</f>
        <v>0.106995765107656</v>
      </c>
      <c r="T109" s="8" t="n">
        <f aca="false">Assumptions!$B$19*H109+(1-Assumptions!$B$19)*N109</f>
        <v>0.108376005670206</v>
      </c>
      <c r="U109" s="8" t="n">
        <f aca="false">Assumptions!$B$20*I109+(1-Assumptions!$B$20)*O109</f>
        <v>0.155235613585959</v>
      </c>
      <c r="V109" s="8" t="n">
        <f aca="false">Assumptions!$B$21*J109+(1-Assumptions!$B$21)*P109</f>
        <v>0.184598564661431</v>
      </c>
      <c r="W109" s="8" t="n">
        <f aca="false">Assumptions!$B$22*K109+(1-Assumptions!$B$22)*Q109</f>
        <v>0.221880927503003</v>
      </c>
      <c r="X109" s="8" t="n">
        <f aca="false">Assumptions!$B$23*L109+(1-Assumptions!$B$23)*R109</f>
        <v>0.0682721812774927</v>
      </c>
      <c r="Y109" s="8" t="n">
        <f aca="false">Assumptions!$B$24*M109+(1-Assumptions!$B$24)*S109</f>
        <v>0.0723666011002273</v>
      </c>
      <c r="Z109" s="6" t="n">
        <f aca="false">Assumptions!$B$27*(1+T109)</f>
        <v>332512.801701062</v>
      </c>
      <c r="AA109" s="6" t="n">
        <f aca="false">(Z109+Assumptions!$B$28)*(1+U109)</f>
        <v>557415.972536206</v>
      </c>
      <c r="AB109" s="6" t="n">
        <f aca="false">AA109*(1+V109)</f>
        <v>660314.160985746</v>
      </c>
      <c r="AC109" s="6" t="n">
        <f aca="false">AB109*(1+W109)</f>
        <v>806825.279468631</v>
      </c>
      <c r="AD109" s="6" t="n">
        <f aca="false">AC109*(1+X109)</f>
        <v>861909.001207777</v>
      </c>
      <c r="AE109" s="6" t="n">
        <f aca="false">AD109*(1+Y109)</f>
        <v>924282.426082875</v>
      </c>
      <c r="AF109" s="6" t="n">
        <f aca="false">Z109</f>
        <v>332512.801701062</v>
      </c>
      <c r="AG109" s="6" t="n">
        <f aca="false">MAX(AF109,AA109)</f>
        <v>557415.972536206</v>
      </c>
      <c r="AH109" s="6" t="n">
        <f aca="false">MAX(AG109,AB109)</f>
        <v>660314.160985746</v>
      </c>
      <c r="AI109" s="6" t="n">
        <f aca="false">MAX(AH109,AC109)</f>
        <v>806825.279468631</v>
      </c>
      <c r="AJ109" s="6" t="n">
        <f aca="false">MAX(AI109,AD109)</f>
        <v>861909.001207777</v>
      </c>
      <c r="AK109" s="6" t="n">
        <f aca="false">MAX(AJ109,AE109)</f>
        <v>924282.426082875</v>
      </c>
      <c r="AL109" s="8" t="n">
        <f aca="false">MIN(Z109/AF109-1,AA109/AG109-1,AB109/AH109-1,AC109/AI109-1,AD109/AJ109-1,AE109/AK109-1)</f>
        <v>0</v>
      </c>
      <c r="AM109" s="6" t="n">
        <f aca="false">AE109-Assumptions!$B$35</f>
        <v>483018.429420372</v>
      </c>
    </row>
    <row r="110" customFormat="false" ht="15" hidden="false" customHeight="false" outlineLevel="0" collapsed="false">
      <c r="A110" s="0" t="n">
        <f aca="false">ROW()-1</f>
        <v>109</v>
      </c>
      <c r="B110" s="0" t="str">
        <f aca="true">IF(RAND()&lt;Assumptions!$B$11,"Bull","Bear")</f>
        <v>Bull</v>
      </c>
      <c r="C110" s="0" t="str">
        <f aca="true">IF(B110="Bull",IF(RAND()&lt;Assumptions!$B$7,"Bull","Bear"),IF(RAND()&lt;Assumptions!$B$10,"Bear","Bull"))</f>
        <v>Bull</v>
      </c>
      <c r="D110" s="0" t="str">
        <f aca="true">IF(C110="Bull",IF(RAND()&lt;Assumptions!$B$7,"Bull","Bear"),IF(RAND()&lt;Assumptions!$B$10,"Bear","Bull"))</f>
        <v>Bull</v>
      </c>
      <c r="E110" s="0" t="str">
        <f aca="true">IF(D110="Bull",IF(RAND()&lt;Assumptions!$B$7,"Bull","Bear"),IF(RAND()&lt;Assumptions!$B$10,"Bear","Bull"))</f>
        <v>Bull</v>
      </c>
      <c r="F110" s="0" t="str">
        <f aca="true">IF(E110="Bull",IF(RAND()&lt;Assumptions!$B$7,"Bull","Bear"),IF(RAND()&lt;Assumptions!$B$10,"Bear","Bull"))</f>
        <v>Bull</v>
      </c>
      <c r="G110" s="0" t="str">
        <f aca="true">IF(F110="Bull",IF(RAND()&lt;Assumptions!$B$7,"Bull","Bear"),IF(RAND()&lt;Assumptions!$B$10,"Bear","Bull"))</f>
        <v>Bull</v>
      </c>
      <c r="H110" s="8" t="n">
        <f aca="true">IF(B110="Bull",NORMINV(RAND(),Assumptions!$B$5,Assumptions!$B$6),NORMINV(RAND(),Assumptions!$B$8,Assumptions!$B$9))</f>
        <v>-0.0331334898837008</v>
      </c>
      <c r="I110" s="8" t="n">
        <f aca="true">IF(C110="Bull",NORMINV(RAND(),Assumptions!$B$5,Assumptions!$B$6),NORMINV(RAND(),Assumptions!$B$8,Assumptions!$B$9))</f>
        <v>0.213786031830285</v>
      </c>
      <c r="J110" s="8" t="n">
        <f aca="true">IF(D110="Bull",NORMINV(RAND(),Assumptions!$B$5,Assumptions!$B$6),NORMINV(RAND(),Assumptions!$B$8,Assumptions!$B$9))</f>
        <v>0.192734401258109</v>
      </c>
      <c r="K110" s="8" t="n">
        <f aca="true">IF(E110="Bull",NORMINV(RAND(),Assumptions!$B$5,Assumptions!$B$6),NORMINV(RAND(),Assumptions!$B$8,Assumptions!$B$9))</f>
        <v>0.198835627609103</v>
      </c>
      <c r="L110" s="8" t="n">
        <f aca="true">IF(F110="Bull",NORMINV(RAND(),Assumptions!$B$5,Assumptions!$B$6),NORMINV(RAND(),Assumptions!$B$8,Assumptions!$B$9))</f>
        <v>0.260600222472747</v>
      </c>
      <c r="M110" s="8" t="n">
        <f aca="true">IF(G110="Bull",NORMINV(RAND(),Assumptions!$B$5,Assumptions!$B$6),NORMINV(RAND(),Assumptions!$B$8,Assumptions!$B$9))</f>
        <v>0.288330494699683</v>
      </c>
      <c r="N110" s="8" t="n">
        <f aca="true">NORMINV(RAND(),Assumptions!$B$14,Assumptions!$B$15)</f>
        <v>0.0839334832660421</v>
      </c>
      <c r="O110" s="8" t="n">
        <f aca="true">NORMINV(RAND(),Assumptions!$B$14,Assumptions!$B$15)</f>
        <v>0.0702877693796728</v>
      </c>
      <c r="P110" s="8" t="n">
        <f aca="true">NORMINV(RAND(),Assumptions!$B$14,Assumptions!$B$15)</f>
        <v>0.0625966186886366</v>
      </c>
      <c r="Q110" s="8" t="n">
        <f aca="true">NORMINV(RAND(),Assumptions!$B$14,Assumptions!$B$15)</f>
        <v>0.0396331102725371</v>
      </c>
      <c r="R110" s="8" t="n">
        <f aca="true">NORMINV(RAND(),Assumptions!$B$14,Assumptions!$B$15)</f>
        <v>0.0252402863272083</v>
      </c>
      <c r="S110" s="8" t="n">
        <f aca="true">NORMINV(RAND(),Assumptions!$B$14,Assumptions!$B$15)</f>
        <v>0.0824922853995901</v>
      </c>
      <c r="T110" s="8" t="n">
        <f aca="false">Assumptions!$B$19*H110+(1-Assumptions!$B$19)*N110</f>
        <v>-0.0331334898837008</v>
      </c>
      <c r="U110" s="8" t="n">
        <f aca="false">Assumptions!$B$20*I110+(1-Assumptions!$B$20)*O110</f>
        <v>0.213786031830285</v>
      </c>
      <c r="V110" s="8" t="n">
        <f aca="false">Assumptions!$B$21*J110+(1-Assumptions!$B$21)*P110</f>
        <v>0.192734401258109</v>
      </c>
      <c r="W110" s="8" t="n">
        <f aca="false">Assumptions!$B$22*K110+(1-Assumptions!$B$22)*Q110</f>
        <v>0.198835627609103</v>
      </c>
      <c r="X110" s="8" t="n">
        <f aca="false">Assumptions!$B$23*L110+(1-Assumptions!$B$23)*R110</f>
        <v>0.21352823524364</v>
      </c>
      <c r="Y110" s="8" t="n">
        <f aca="false">Assumptions!$B$24*M110+(1-Assumptions!$B$24)*S110</f>
        <v>0.205995210979646</v>
      </c>
      <c r="Z110" s="6" t="n">
        <f aca="false">Assumptions!$B$27*(1+T110)</f>
        <v>290059.95303489</v>
      </c>
      <c r="AA110" s="6" t="n">
        <f aca="false">(Z110+Assumptions!$B$28)*(1+U110)</f>
        <v>534138.62416164</v>
      </c>
      <c r="AB110" s="6" t="n">
        <f aca="false">AA110*(1+V110)</f>
        <v>637085.512078264</v>
      </c>
      <c r="AC110" s="6" t="n">
        <f aca="false">AB110*(1+W110)</f>
        <v>763760.809713013</v>
      </c>
      <c r="AD110" s="6" t="n">
        <f aca="false">AC110*(1+X110)</f>
        <v>926845.307559286</v>
      </c>
      <c r="AE110" s="6" t="n">
        <f aca="false">AD110*(1+Y110)</f>
        <v>1117771.00223546</v>
      </c>
      <c r="AF110" s="6" t="n">
        <f aca="false">Z110</f>
        <v>290059.95303489</v>
      </c>
      <c r="AG110" s="6" t="n">
        <f aca="false">MAX(AF110,AA110)</f>
        <v>534138.62416164</v>
      </c>
      <c r="AH110" s="6" t="n">
        <f aca="false">MAX(AG110,AB110)</f>
        <v>637085.512078264</v>
      </c>
      <c r="AI110" s="6" t="n">
        <f aca="false">MAX(AH110,AC110)</f>
        <v>763760.809713013</v>
      </c>
      <c r="AJ110" s="6" t="n">
        <f aca="false">MAX(AI110,AD110)</f>
        <v>926845.307559286</v>
      </c>
      <c r="AK110" s="6" t="n">
        <f aca="false">MAX(AJ110,AE110)</f>
        <v>1117771.00223546</v>
      </c>
      <c r="AL110" s="8" t="n">
        <f aca="false">MIN(Z110/AF110-1,AA110/AG110-1,AB110/AH110-1,AC110/AI110-1,AD110/AJ110-1,AE110/AK110-1)</f>
        <v>0</v>
      </c>
      <c r="AM110" s="6" t="n">
        <f aca="false">AE110-Assumptions!$B$35</f>
        <v>676507.005572952</v>
      </c>
    </row>
    <row r="111" customFormat="false" ht="15" hidden="false" customHeight="false" outlineLevel="0" collapsed="false">
      <c r="A111" s="0" t="n">
        <f aca="false">ROW()-1</f>
        <v>110</v>
      </c>
      <c r="B111" s="0" t="str">
        <f aca="true">IF(RAND()&lt;Assumptions!$B$11,"Bull","Bear")</f>
        <v>Bull</v>
      </c>
      <c r="C111" s="0" t="str">
        <f aca="true">IF(B111="Bull",IF(RAND()&lt;Assumptions!$B$7,"Bull","Bear"),IF(RAND()&lt;Assumptions!$B$10,"Bear","Bull"))</f>
        <v>Bear</v>
      </c>
      <c r="D111" s="0" t="str">
        <f aca="true">IF(C111="Bull",IF(RAND()&lt;Assumptions!$B$7,"Bull","Bear"),IF(RAND()&lt;Assumptions!$B$10,"Bear","Bull"))</f>
        <v>Bull</v>
      </c>
      <c r="E111" s="0" t="str">
        <f aca="true">IF(D111="Bull",IF(RAND()&lt;Assumptions!$B$7,"Bull","Bear"),IF(RAND()&lt;Assumptions!$B$10,"Bear","Bull"))</f>
        <v>Bear</v>
      </c>
      <c r="F111" s="0" t="str">
        <f aca="true">IF(E111="Bull",IF(RAND()&lt;Assumptions!$B$7,"Bull","Bear"),IF(RAND()&lt;Assumptions!$B$10,"Bear","Bull"))</f>
        <v>Bear</v>
      </c>
      <c r="G111" s="0" t="str">
        <f aca="true">IF(F111="Bull",IF(RAND()&lt;Assumptions!$B$7,"Bull","Bear"),IF(RAND()&lt;Assumptions!$B$10,"Bear","Bull"))</f>
        <v>Bull</v>
      </c>
      <c r="H111" s="8" t="n">
        <f aca="true">IF(B111="Bull",NORMINV(RAND(),Assumptions!$B$5,Assumptions!$B$6),NORMINV(RAND(),Assumptions!$B$8,Assumptions!$B$9))</f>
        <v>0.413850471443784</v>
      </c>
      <c r="I111" s="8" t="n">
        <f aca="true">IF(C111="Bull",NORMINV(RAND(),Assumptions!$B$5,Assumptions!$B$6),NORMINV(RAND(),Assumptions!$B$8,Assumptions!$B$9))</f>
        <v>-0.254261813457044</v>
      </c>
      <c r="J111" s="8" t="n">
        <f aca="true">IF(D111="Bull",NORMINV(RAND(),Assumptions!$B$5,Assumptions!$B$6),NORMINV(RAND(),Assumptions!$B$8,Assumptions!$B$9))</f>
        <v>0.151357213365294</v>
      </c>
      <c r="K111" s="8" t="n">
        <f aca="true">IF(E111="Bull",NORMINV(RAND(),Assumptions!$B$5,Assumptions!$B$6),NORMINV(RAND(),Assumptions!$B$8,Assumptions!$B$9))</f>
        <v>-0.156830678181492</v>
      </c>
      <c r="L111" s="8" t="n">
        <f aca="true">IF(F111="Bull",NORMINV(RAND(),Assumptions!$B$5,Assumptions!$B$6),NORMINV(RAND(),Assumptions!$B$8,Assumptions!$B$9))</f>
        <v>0.0480673001844387</v>
      </c>
      <c r="M111" s="8" t="n">
        <f aca="true">IF(G111="Bull",NORMINV(RAND(),Assumptions!$B$5,Assumptions!$B$6),NORMINV(RAND(),Assumptions!$B$8,Assumptions!$B$9))</f>
        <v>0.243213403669914</v>
      </c>
      <c r="N111" s="8" t="n">
        <f aca="true">NORMINV(RAND(),Assumptions!$B$14,Assumptions!$B$15)</f>
        <v>0.0253177833469542</v>
      </c>
      <c r="O111" s="8" t="n">
        <f aca="true">NORMINV(RAND(),Assumptions!$B$14,Assumptions!$B$15)</f>
        <v>0.0571066782635703</v>
      </c>
      <c r="P111" s="8" t="n">
        <f aca="true">NORMINV(RAND(),Assumptions!$B$14,Assumptions!$B$15)</f>
        <v>0.0379943657113262</v>
      </c>
      <c r="Q111" s="8" t="n">
        <f aca="true">NORMINV(RAND(),Assumptions!$B$14,Assumptions!$B$15)</f>
        <v>0.0496650187921487</v>
      </c>
      <c r="R111" s="8" t="n">
        <f aca="true">NORMINV(RAND(),Assumptions!$B$14,Assumptions!$B$15)</f>
        <v>0.0274517910386159</v>
      </c>
      <c r="S111" s="8" t="n">
        <f aca="true">NORMINV(RAND(),Assumptions!$B$14,Assumptions!$B$15)</f>
        <v>0.103459412897921</v>
      </c>
      <c r="T111" s="8" t="n">
        <f aca="false">Assumptions!$B$19*H111+(1-Assumptions!$B$19)*N111</f>
        <v>0.413850471443784</v>
      </c>
      <c r="U111" s="8" t="n">
        <f aca="false">Assumptions!$B$20*I111+(1-Assumptions!$B$20)*O111</f>
        <v>-0.254261813457044</v>
      </c>
      <c r="V111" s="8" t="n">
        <f aca="false">Assumptions!$B$21*J111+(1-Assumptions!$B$21)*P111</f>
        <v>0.151357213365294</v>
      </c>
      <c r="W111" s="8" t="n">
        <f aca="false">Assumptions!$B$22*K111+(1-Assumptions!$B$22)*Q111</f>
        <v>-0.156830678181492</v>
      </c>
      <c r="X111" s="8" t="n">
        <f aca="false">Assumptions!$B$23*L111+(1-Assumptions!$B$23)*R111</f>
        <v>0.0439441983552742</v>
      </c>
      <c r="Y111" s="8" t="n">
        <f aca="false">Assumptions!$B$24*M111+(1-Assumptions!$B$24)*S111</f>
        <v>0.187311807361117</v>
      </c>
      <c r="Z111" s="6" t="n">
        <f aca="false">Assumptions!$B$27*(1+T111)</f>
        <v>424155.141433135</v>
      </c>
      <c r="AA111" s="6" t="n">
        <f aca="false">(Z111+Assumptions!$B$28)*(1+U111)</f>
        <v>428169.41396666</v>
      </c>
      <c r="AB111" s="6" t="n">
        <f aca="false">AA111*(1+V111)</f>
        <v>492975.943312905</v>
      </c>
      <c r="AC111" s="6" t="n">
        <f aca="false">AB111*(1+W111)</f>
        <v>415662.191795981</v>
      </c>
      <c r="AD111" s="6" t="n">
        <f aca="false">AC111*(1+X111)</f>
        <v>433928.133601052</v>
      </c>
      <c r="AE111" s="6" t="n">
        <f aca="false">AD111*(1+Y111)</f>
        <v>515207.996570701</v>
      </c>
      <c r="AF111" s="6" t="n">
        <f aca="false">Z111</f>
        <v>424155.141433135</v>
      </c>
      <c r="AG111" s="6" t="n">
        <f aca="false">MAX(AF111,AA111)</f>
        <v>428169.41396666</v>
      </c>
      <c r="AH111" s="6" t="n">
        <f aca="false">MAX(AG111,AB111)</f>
        <v>492975.943312905</v>
      </c>
      <c r="AI111" s="6" t="n">
        <f aca="false">MAX(AH111,AC111)</f>
        <v>492975.943312905</v>
      </c>
      <c r="AJ111" s="6" t="n">
        <f aca="false">MAX(AI111,AD111)</f>
        <v>492975.943312905</v>
      </c>
      <c r="AK111" s="6" t="n">
        <f aca="false">MAX(AJ111,AE111)</f>
        <v>515207.996570701</v>
      </c>
      <c r="AL111" s="8" t="n">
        <f aca="false">MIN(Z111/AF111-1,AA111/AG111-1,AB111/AH111-1,AC111/AI111-1,AD111/AJ111-1,AE111/AK111-1)</f>
        <v>-0.156830678181492</v>
      </c>
      <c r="AM111" s="6" t="n">
        <f aca="false">AE111-Assumptions!$B$35</f>
        <v>73943.9999081977</v>
      </c>
    </row>
    <row r="112" customFormat="false" ht="15" hidden="false" customHeight="false" outlineLevel="0" collapsed="false">
      <c r="A112" s="0" t="n">
        <f aca="false">ROW()-1</f>
        <v>111</v>
      </c>
      <c r="B112" s="0" t="str">
        <f aca="true">IF(RAND()&lt;Assumptions!$B$11,"Bull","Bear")</f>
        <v>Bear</v>
      </c>
      <c r="C112" s="0" t="str">
        <f aca="true">IF(B112="Bull",IF(RAND()&lt;Assumptions!$B$7,"Bull","Bear"),IF(RAND()&lt;Assumptions!$B$10,"Bear","Bull"))</f>
        <v>Bull</v>
      </c>
      <c r="D112" s="0" t="str">
        <f aca="true">IF(C112="Bull",IF(RAND()&lt;Assumptions!$B$7,"Bull","Bear"),IF(RAND()&lt;Assumptions!$B$10,"Bear","Bull"))</f>
        <v>Bull</v>
      </c>
      <c r="E112" s="0" t="str">
        <f aca="true">IF(D112="Bull",IF(RAND()&lt;Assumptions!$B$7,"Bull","Bear"),IF(RAND()&lt;Assumptions!$B$10,"Bear","Bull"))</f>
        <v>Bull</v>
      </c>
      <c r="F112" s="0" t="str">
        <f aca="true">IF(E112="Bull",IF(RAND()&lt;Assumptions!$B$7,"Bull","Bear"),IF(RAND()&lt;Assumptions!$B$10,"Bear","Bull"))</f>
        <v>Bull</v>
      </c>
      <c r="G112" s="0" t="str">
        <f aca="true">IF(F112="Bull",IF(RAND()&lt;Assumptions!$B$7,"Bull","Bear"),IF(RAND()&lt;Assumptions!$B$10,"Bear","Bull"))</f>
        <v>Bull</v>
      </c>
      <c r="H112" s="8" t="n">
        <f aca="true">IF(B112="Bull",NORMINV(RAND(),Assumptions!$B$5,Assumptions!$B$6),NORMINV(RAND(),Assumptions!$B$8,Assumptions!$B$9))</f>
        <v>-0.0590938665361672</v>
      </c>
      <c r="I112" s="8" t="n">
        <f aca="true">IF(C112="Bull",NORMINV(RAND(),Assumptions!$B$5,Assumptions!$B$6),NORMINV(RAND(),Assumptions!$B$8,Assumptions!$B$9))</f>
        <v>0.0898700199955164</v>
      </c>
      <c r="J112" s="8" t="n">
        <f aca="true">IF(D112="Bull",NORMINV(RAND(),Assumptions!$B$5,Assumptions!$B$6),NORMINV(RAND(),Assumptions!$B$8,Assumptions!$B$9))</f>
        <v>0.177284598323474</v>
      </c>
      <c r="K112" s="8" t="n">
        <f aca="true">IF(E112="Bull",NORMINV(RAND(),Assumptions!$B$5,Assumptions!$B$6),NORMINV(RAND(),Assumptions!$B$8,Assumptions!$B$9))</f>
        <v>0.190886348544017</v>
      </c>
      <c r="L112" s="8" t="n">
        <f aca="true">IF(F112="Bull",NORMINV(RAND(),Assumptions!$B$5,Assumptions!$B$6),NORMINV(RAND(),Assumptions!$B$8,Assumptions!$B$9))</f>
        <v>0.115085798228682</v>
      </c>
      <c r="M112" s="8" t="n">
        <f aca="true">IF(G112="Bull",NORMINV(RAND(),Assumptions!$B$5,Assumptions!$B$6),NORMINV(RAND(),Assumptions!$B$8,Assumptions!$B$9))</f>
        <v>0.0438565947759292</v>
      </c>
      <c r="N112" s="8" t="n">
        <f aca="true">NORMINV(RAND(),Assumptions!$B$14,Assumptions!$B$15)</f>
        <v>-0.0232715651140191</v>
      </c>
      <c r="O112" s="8" t="n">
        <f aca="true">NORMINV(RAND(),Assumptions!$B$14,Assumptions!$B$15)</f>
        <v>0.0589991016627881</v>
      </c>
      <c r="P112" s="8" t="n">
        <f aca="true">NORMINV(RAND(),Assumptions!$B$14,Assumptions!$B$15)</f>
        <v>0.0723631878860528</v>
      </c>
      <c r="Q112" s="8" t="n">
        <f aca="true">NORMINV(RAND(),Assumptions!$B$14,Assumptions!$B$15)</f>
        <v>0.0523294806381317</v>
      </c>
      <c r="R112" s="8" t="n">
        <f aca="true">NORMINV(RAND(),Assumptions!$B$14,Assumptions!$B$15)</f>
        <v>0.0292400964414121</v>
      </c>
      <c r="S112" s="8" t="n">
        <f aca="true">NORMINV(RAND(),Assumptions!$B$14,Assumptions!$B$15)</f>
        <v>0.0487170122958879</v>
      </c>
      <c r="T112" s="8" t="n">
        <f aca="false">Assumptions!$B$19*H112+(1-Assumptions!$B$19)*N112</f>
        <v>-0.0590938665361672</v>
      </c>
      <c r="U112" s="8" t="n">
        <f aca="false">Assumptions!$B$20*I112+(1-Assumptions!$B$20)*O112</f>
        <v>0.0898700199955164</v>
      </c>
      <c r="V112" s="8" t="n">
        <f aca="false">Assumptions!$B$21*J112+(1-Assumptions!$B$21)*P112</f>
        <v>0.177284598323474</v>
      </c>
      <c r="W112" s="8" t="n">
        <f aca="false">Assumptions!$B$22*K112+(1-Assumptions!$B$22)*Q112</f>
        <v>0.190886348544017</v>
      </c>
      <c r="X112" s="8" t="n">
        <f aca="false">Assumptions!$B$23*L112+(1-Assumptions!$B$23)*R112</f>
        <v>0.0979166578712279</v>
      </c>
      <c r="Y112" s="8" t="n">
        <f aca="false">Assumptions!$B$24*M112+(1-Assumptions!$B$24)*S112</f>
        <v>0.0458007617839127</v>
      </c>
      <c r="Z112" s="6" t="n">
        <f aca="false">Assumptions!$B$27*(1+T112)</f>
        <v>282271.84003915</v>
      </c>
      <c r="AA112" s="6" t="n">
        <f aca="false">(Z112+Assumptions!$B$28)*(1+U112)</f>
        <v>471120.118946967</v>
      </c>
      <c r="AB112" s="6" t="n">
        <f aca="false">AA112*(1+V112)</f>
        <v>554642.459996588</v>
      </c>
      <c r="AC112" s="6" t="n">
        <f aca="false">AB112*(1+W112)</f>
        <v>660516.133932807</v>
      </c>
      <c r="AD112" s="6" t="n">
        <f aca="false">AC112*(1+X112)</f>
        <v>725191.666237532</v>
      </c>
      <c r="AE112" s="6" t="n">
        <f aca="false">AD112*(1+Y112)</f>
        <v>758405.996990556</v>
      </c>
      <c r="AF112" s="6" t="n">
        <f aca="false">Z112</f>
        <v>282271.84003915</v>
      </c>
      <c r="AG112" s="6" t="n">
        <f aca="false">MAX(AF112,AA112)</f>
        <v>471120.118946967</v>
      </c>
      <c r="AH112" s="6" t="n">
        <f aca="false">MAX(AG112,AB112)</f>
        <v>554642.459996588</v>
      </c>
      <c r="AI112" s="6" t="n">
        <f aca="false">MAX(AH112,AC112)</f>
        <v>660516.133932807</v>
      </c>
      <c r="AJ112" s="6" t="n">
        <f aca="false">MAX(AI112,AD112)</f>
        <v>725191.666237532</v>
      </c>
      <c r="AK112" s="6" t="n">
        <f aca="false">MAX(AJ112,AE112)</f>
        <v>758405.996990556</v>
      </c>
      <c r="AL112" s="8" t="n">
        <f aca="false">MIN(Z112/AF112-1,AA112/AG112-1,AB112/AH112-1,AC112/AI112-1,AD112/AJ112-1,AE112/AK112-1)</f>
        <v>0</v>
      </c>
      <c r="AM112" s="6" t="n">
        <f aca="false">AE112-Assumptions!$B$35</f>
        <v>317142.000328052</v>
      </c>
    </row>
    <row r="113" customFormat="false" ht="15" hidden="false" customHeight="false" outlineLevel="0" collapsed="false">
      <c r="A113" s="0" t="n">
        <f aca="false">ROW()-1</f>
        <v>112</v>
      </c>
      <c r="B113" s="0" t="str">
        <f aca="true">IF(RAND()&lt;Assumptions!$B$11,"Bull","Bear")</f>
        <v>Bull</v>
      </c>
      <c r="C113" s="0" t="str">
        <f aca="true">IF(B113="Bull",IF(RAND()&lt;Assumptions!$B$7,"Bull","Bear"),IF(RAND()&lt;Assumptions!$B$10,"Bear","Bull"))</f>
        <v>Bull</v>
      </c>
      <c r="D113" s="0" t="str">
        <f aca="true">IF(C113="Bull",IF(RAND()&lt;Assumptions!$B$7,"Bull","Bear"),IF(RAND()&lt;Assumptions!$B$10,"Bear","Bull"))</f>
        <v>Bull</v>
      </c>
      <c r="E113" s="0" t="str">
        <f aca="true">IF(D113="Bull",IF(RAND()&lt;Assumptions!$B$7,"Bull","Bear"),IF(RAND()&lt;Assumptions!$B$10,"Bear","Bull"))</f>
        <v>Bear</v>
      </c>
      <c r="F113" s="0" t="str">
        <f aca="true">IF(E113="Bull",IF(RAND()&lt;Assumptions!$B$7,"Bull","Bear"),IF(RAND()&lt;Assumptions!$B$10,"Bear","Bull"))</f>
        <v>Bear</v>
      </c>
      <c r="G113" s="0" t="str">
        <f aca="true">IF(F113="Bull",IF(RAND()&lt;Assumptions!$B$7,"Bull","Bear"),IF(RAND()&lt;Assumptions!$B$10,"Bear","Bull"))</f>
        <v>Bull</v>
      </c>
      <c r="H113" s="8" t="n">
        <f aca="true">IF(B113="Bull",NORMINV(RAND(),Assumptions!$B$5,Assumptions!$B$6),NORMINV(RAND(),Assumptions!$B$8,Assumptions!$B$9))</f>
        <v>0.136525756180644</v>
      </c>
      <c r="I113" s="8" t="n">
        <f aca="true">IF(C113="Bull",NORMINV(RAND(),Assumptions!$B$5,Assumptions!$B$6),NORMINV(RAND(),Assumptions!$B$8,Assumptions!$B$9))</f>
        <v>0.272126785540281</v>
      </c>
      <c r="J113" s="8" t="n">
        <f aca="true">IF(D113="Bull",NORMINV(RAND(),Assumptions!$B$5,Assumptions!$B$6),NORMINV(RAND(),Assumptions!$B$8,Assumptions!$B$9))</f>
        <v>0.305004366228714</v>
      </c>
      <c r="K113" s="8" t="n">
        <f aca="true">IF(E113="Bull",NORMINV(RAND(),Assumptions!$B$5,Assumptions!$B$6),NORMINV(RAND(),Assumptions!$B$8,Assumptions!$B$9))</f>
        <v>-0.13605144601251</v>
      </c>
      <c r="L113" s="8" t="n">
        <f aca="true">IF(F113="Bull",NORMINV(RAND(),Assumptions!$B$5,Assumptions!$B$6),NORMINV(RAND(),Assumptions!$B$8,Assumptions!$B$9))</f>
        <v>-0.0918662736957718</v>
      </c>
      <c r="M113" s="8" t="n">
        <f aca="true">IF(G113="Bull",NORMINV(RAND(),Assumptions!$B$5,Assumptions!$B$6),NORMINV(RAND(),Assumptions!$B$8,Assumptions!$B$9))</f>
        <v>0.252112743875052</v>
      </c>
      <c r="N113" s="8" t="n">
        <f aca="true">NORMINV(RAND(),Assumptions!$B$14,Assumptions!$B$15)</f>
        <v>0.0608034059426141</v>
      </c>
      <c r="O113" s="8" t="n">
        <f aca="true">NORMINV(RAND(),Assumptions!$B$14,Assumptions!$B$15)</f>
        <v>0.112062328587241</v>
      </c>
      <c r="P113" s="8" t="n">
        <f aca="true">NORMINV(RAND(),Assumptions!$B$14,Assumptions!$B$15)</f>
        <v>0.050145109382148</v>
      </c>
      <c r="Q113" s="8" t="n">
        <f aca="true">NORMINV(RAND(),Assumptions!$B$14,Assumptions!$B$15)</f>
        <v>0.0287249791866717</v>
      </c>
      <c r="R113" s="8" t="n">
        <f aca="true">NORMINV(RAND(),Assumptions!$B$14,Assumptions!$B$15)</f>
        <v>0.0313003096599427</v>
      </c>
      <c r="S113" s="8" t="n">
        <f aca="true">NORMINV(RAND(),Assumptions!$B$14,Assumptions!$B$15)</f>
        <v>0.0640627655161064</v>
      </c>
      <c r="T113" s="8" t="n">
        <f aca="false">Assumptions!$B$19*H113+(1-Assumptions!$B$19)*N113</f>
        <v>0.136525756180644</v>
      </c>
      <c r="U113" s="8" t="n">
        <f aca="false">Assumptions!$B$20*I113+(1-Assumptions!$B$20)*O113</f>
        <v>0.272126785540281</v>
      </c>
      <c r="V113" s="8" t="n">
        <f aca="false">Assumptions!$B$21*J113+(1-Assumptions!$B$21)*P113</f>
        <v>0.305004366228714</v>
      </c>
      <c r="W113" s="8" t="n">
        <f aca="false">Assumptions!$B$22*K113+(1-Assumptions!$B$22)*Q113</f>
        <v>-0.13605144601251</v>
      </c>
      <c r="X113" s="8" t="n">
        <f aca="false">Assumptions!$B$23*L113+(1-Assumptions!$B$23)*R113</f>
        <v>-0.0672329570246289</v>
      </c>
      <c r="Y113" s="8" t="n">
        <f aca="false">Assumptions!$B$24*M113+(1-Assumptions!$B$24)*S113</f>
        <v>0.176892752531474</v>
      </c>
      <c r="Z113" s="6" t="n">
        <f aca="false">Assumptions!$B$27*(1+T113)</f>
        <v>340957.726854193</v>
      </c>
      <c r="AA113" s="6" t="n">
        <f aca="false">(Z113+Assumptions!$B$28)*(1+U113)</f>
        <v>624560.474899188</v>
      </c>
      <c r="AB113" s="6" t="n">
        <f aca="false">AA113*(1+V113)</f>
        <v>815054.14671732</v>
      </c>
      <c r="AC113" s="6" t="n">
        <f aca="false">AB113*(1+W113)</f>
        <v>704164.851477936</v>
      </c>
      <c r="AD113" s="6" t="n">
        <f aca="false">AC113*(1+X113)</f>
        <v>656821.766280266</v>
      </c>
      <c r="AE113" s="6" t="n">
        <f aca="false">AD113*(1+Y113)</f>
        <v>773008.776440167</v>
      </c>
      <c r="AF113" s="6" t="n">
        <f aca="false">Z113</f>
        <v>340957.726854193</v>
      </c>
      <c r="AG113" s="6" t="n">
        <f aca="false">MAX(AF113,AA113)</f>
        <v>624560.474899188</v>
      </c>
      <c r="AH113" s="6" t="n">
        <f aca="false">MAX(AG113,AB113)</f>
        <v>815054.14671732</v>
      </c>
      <c r="AI113" s="6" t="n">
        <f aca="false">MAX(AH113,AC113)</f>
        <v>815054.14671732</v>
      </c>
      <c r="AJ113" s="6" t="n">
        <f aca="false">MAX(AI113,AD113)</f>
        <v>815054.14671732</v>
      </c>
      <c r="AK113" s="6" t="n">
        <f aca="false">MAX(AJ113,AE113)</f>
        <v>815054.14671732</v>
      </c>
      <c r="AL113" s="8" t="n">
        <f aca="false">MIN(Z113/AF113-1,AA113/AG113-1,AB113/AH113-1,AC113/AI113-1,AD113/AJ113-1,AE113/AK113-1)</f>
        <v>-0.194137262014241</v>
      </c>
      <c r="AM113" s="6" t="n">
        <f aca="false">AE113-Assumptions!$B$35</f>
        <v>331744.779777663</v>
      </c>
    </row>
    <row r="114" customFormat="false" ht="15" hidden="false" customHeight="false" outlineLevel="0" collapsed="false">
      <c r="A114" s="0" t="n">
        <f aca="false">ROW()-1</f>
        <v>113</v>
      </c>
      <c r="B114" s="0" t="str">
        <f aca="true">IF(RAND()&lt;Assumptions!$B$11,"Bull","Bear")</f>
        <v>Bull</v>
      </c>
      <c r="C114" s="0" t="str">
        <f aca="true">IF(B114="Bull",IF(RAND()&lt;Assumptions!$B$7,"Bull","Bear"),IF(RAND()&lt;Assumptions!$B$10,"Bear","Bull"))</f>
        <v>Bear</v>
      </c>
      <c r="D114" s="0" t="str">
        <f aca="true">IF(C114="Bull",IF(RAND()&lt;Assumptions!$B$7,"Bull","Bear"),IF(RAND()&lt;Assumptions!$B$10,"Bear","Bull"))</f>
        <v>Bull</v>
      </c>
      <c r="E114" s="0" t="str">
        <f aca="true">IF(D114="Bull",IF(RAND()&lt;Assumptions!$B$7,"Bull","Bear"),IF(RAND()&lt;Assumptions!$B$10,"Bear","Bull"))</f>
        <v>Bull</v>
      </c>
      <c r="F114" s="0" t="str">
        <f aca="true">IF(E114="Bull",IF(RAND()&lt;Assumptions!$B$7,"Bull","Bear"),IF(RAND()&lt;Assumptions!$B$10,"Bear","Bull"))</f>
        <v>Bear</v>
      </c>
      <c r="G114" s="0" t="str">
        <f aca="true">IF(F114="Bull",IF(RAND()&lt;Assumptions!$B$7,"Bull","Bear"),IF(RAND()&lt;Assumptions!$B$10,"Bear","Bull"))</f>
        <v>Bull</v>
      </c>
      <c r="H114" s="8" t="n">
        <f aca="true">IF(B114="Bull",NORMINV(RAND(),Assumptions!$B$5,Assumptions!$B$6),NORMINV(RAND(),Assumptions!$B$8,Assumptions!$B$9))</f>
        <v>0.228644388445733</v>
      </c>
      <c r="I114" s="8" t="n">
        <f aca="true">IF(C114="Bull",NORMINV(RAND(),Assumptions!$B$5,Assumptions!$B$6),NORMINV(RAND(),Assumptions!$B$8,Assumptions!$B$9))</f>
        <v>-0.125278317005222</v>
      </c>
      <c r="J114" s="8" t="n">
        <f aca="true">IF(D114="Bull",NORMINV(RAND(),Assumptions!$B$5,Assumptions!$B$6),NORMINV(RAND(),Assumptions!$B$8,Assumptions!$B$9))</f>
        <v>0.236529012360484</v>
      </c>
      <c r="K114" s="8" t="n">
        <f aca="true">IF(E114="Bull",NORMINV(RAND(),Assumptions!$B$5,Assumptions!$B$6),NORMINV(RAND(),Assumptions!$B$8,Assumptions!$B$9))</f>
        <v>0.275190614995525</v>
      </c>
      <c r="L114" s="8" t="n">
        <f aca="true">IF(F114="Bull",NORMINV(RAND(),Assumptions!$B$5,Assumptions!$B$6),NORMINV(RAND(),Assumptions!$B$8,Assumptions!$B$9))</f>
        <v>-0.117464831886704</v>
      </c>
      <c r="M114" s="8" t="n">
        <f aca="true">IF(G114="Bull",NORMINV(RAND(),Assumptions!$B$5,Assumptions!$B$6),NORMINV(RAND(),Assumptions!$B$8,Assumptions!$B$9))</f>
        <v>0.202825837593407</v>
      </c>
      <c r="N114" s="8" t="n">
        <f aca="true">NORMINV(RAND(),Assumptions!$B$14,Assumptions!$B$15)</f>
        <v>0.0649546837225743</v>
      </c>
      <c r="O114" s="8" t="n">
        <f aca="true">NORMINV(RAND(),Assumptions!$B$14,Assumptions!$B$15)</f>
        <v>0.0285498936127197</v>
      </c>
      <c r="P114" s="8" t="n">
        <f aca="true">NORMINV(RAND(),Assumptions!$B$14,Assumptions!$B$15)</f>
        <v>0.0859079766978644</v>
      </c>
      <c r="Q114" s="8" t="n">
        <f aca="true">NORMINV(RAND(),Assumptions!$B$14,Assumptions!$B$15)</f>
        <v>-0.00120462543501654</v>
      </c>
      <c r="R114" s="8" t="n">
        <f aca="true">NORMINV(RAND(),Assumptions!$B$14,Assumptions!$B$15)</f>
        <v>0.0687047072216633</v>
      </c>
      <c r="S114" s="8" t="n">
        <f aca="true">NORMINV(RAND(),Assumptions!$B$14,Assumptions!$B$15)</f>
        <v>0.0854921077497637</v>
      </c>
      <c r="T114" s="8" t="n">
        <f aca="false">Assumptions!$B$19*H114+(1-Assumptions!$B$19)*N114</f>
        <v>0.228644388445733</v>
      </c>
      <c r="U114" s="8" t="n">
        <f aca="false">Assumptions!$B$20*I114+(1-Assumptions!$B$20)*O114</f>
        <v>-0.125278317005222</v>
      </c>
      <c r="V114" s="8" t="n">
        <f aca="false">Assumptions!$B$21*J114+(1-Assumptions!$B$21)*P114</f>
        <v>0.236529012360484</v>
      </c>
      <c r="W114" s="8" t="n">
        <f aca="false">Assumptions!$B$22*K114+(1-Assumptions!$B$22)*Q114</f>
        <v>0.275190614995525</v>
      </c>
      <c r="X114" s="8" t="n">
        <f aca="false">Assumptions!$B$23*L114+(1-Assumptions!$B$23)*R114</f>
        <v>-0.0802309240650306</v>
      </c>
      <c r="Y114" s="8" t="n">
        <f aca="false">Assumptions!$B$24*M114+(1-Assumptions!$B$24)*S114</f>
        <v>0.15589234565595</v>
      </c>
      <c r="Z114" s="6" t="n">
        <f aca="false">Assumptions!$B$27*(1+T114)</f>
        <v>368593.31653372</v>
      </c>
      <c r="AA114" s="6" t="n">
        <f aca="false">(Z114+Assumptions!$B$28)*(1+U114)</f>
        <v>453624.818628219</v>
      </c>
      <c r="AB114" s="6" t="n">
        <f aca="false">AA114*(1+V114)</f>
        <v>560920.248960556</v>
      </c>
      <c r="AC114" s="6" t="n">
        <f aca="false">AB114*(1+W114)</f>
        <v>715280.237235454</v>
      </c>
      <c r="AD114" s="6" t="n">
        <f aca="false">AC114*(1+X114)</f>
        <v>657892.6428366</v>
      </c>
      <c r="AE114" s="6" t="n">
        <f aca="false">AD114*(1+Y114)</f>
        <v>760453.070118189</v>
      </c>
      <c r="AF114" s="6" t="n">
        <f aca="false">Z114</f>
        <v>368593.31653372</v>
      </c>
      <c r="AG114" s="6" t="n">
        <f aca="false">MAX(AF114,AA114)</f>
        <v>453624.818628219</v>
      </c>
      <c r="AH114" s="6" t="n">
        <f aca="false">MAX(AG114,AB114)</f>
        <v>560920.248960556</v>
      </c>
      <c r="AI114" s="6" t="n">
        <f aca="false">MAX(AH114,AC114)</f>
        <v>715280.237235454</v>
      </c>
      <c r="AJ114" s="6" t="n">
        <f aca="false">MAX(AI114,AD114)</f>
        <v>715280.237235454</v>
      </c>
      <c r="AK114" s="6" t="n">
        <f aca="false">MAX(AJ114,AE114)</f>
        <v>760453.070118189</v>
      </c>
      <c r="AL114" s="8" t="n">
        <f aca="false">MIN(Z114/AF114-1,AA114/AG114-1,AB114/AH114-1,AC114/AI114-1,AD114/AJ114-1,AE114/AK114-1)</f>
        <v>-0.0802309240650307</v>
      </c>
      <c r="AM114" s="6" t="n">
        <f aca="false">AE114-Assumptions!$B$35</f>
        <v>319189.073455685</v>
      </c>
    </row>
    <row r="115" customFormat="false" ht="15" hidden="false" customHeight="false" outlineLevel="0" collapsed="false">
      <c r="A115" s="0" t="n">
        <f aca="false">ROW()-1</f>
        <v>114</v>
      </c>
      <c r="B115" s="0" t="str">
        <f aca="true">IF(RAND()&lt;Assumptions!$B$11,"Bull","Bear")</f>
        <v>Bull</v>
      </c>
      <c r="C115" s="0" t="str">
        <f aca="true">IF(B115="Bull",IF(RAND()&lt;Assumptions!$B$7,"Bull","Bear"),IF(RAND()&lt;Assumptions!$B$10,"Bear","Bull"))</f>
        <v>Bull</v>
      </c>
      <c r="D115" s="0" t="str">
        <f aca="true">IF(C115="Bull",IF(RAND()&lt;Assumptions!$B$7,"Bull","Bear"),IF(RAND()&lt;Assumptions!$B$10,"Bear","Bull"))</f>
        <v>Bull</v>
      </c>
      <c r="E115" s="0" t="str">
        <f aca="true">IF(D115="Bull",IF(RAND()&lt;Assumptions!$B$7,"Bull","Bear"),IF(RAND()&lt;Assumptions!$B$10,"Bear","Bull"))</f>
        <v>Bear</v>
      </c>
      <c r="F115" s="0" t="str">
        <f aca="true">IF(E115="Bull",IF(RAND()&lt;Assumptions!$B$7,"Bull","Bear"),IF(RAND()&lt;Assumptions!$B$10,"Bear","Bull"))</f>
        <v>Bear</v>
      </c>
      <c r="G115" s="0" t="str">
        <f aca="true">IF(F115="Bull",IF(RAND()&lt;Assumptions!$B$7,"Bull","Bear"),IF(RAND()&lt;Assumptions!$B$10,"Bear","Bull"))</f>
        <v>Bull</v>
      </c>
      <c r="H115" s="8" t="n">
        <f aca="true">IF(B115="Bull",NORMINV(RAND(),Assumptions!$B$5,Assumptions!$B$6),NORMINV(RAND(),Assumptions!$B$8,Assumptions!$B$9))</f>
        <v>0.0534676042068264</v>
      </c>
      <c r="I115" s="8" t="n">
        <f aca="true">IF(C115="Bull",NORMINV(RAND(),Assumptions!$B$5,Assumptions!$B$6),NORMINV(RAND(),Assumptions!$B$8,Assumptions!$B$9))</f>
        <v>0.347842125605494</v>
      </c>
      <c r="J115" s="8" t="n">
        <f aca="true">IF(D115="Bull",NORMINV(RAND(),Assumptions!$B$5,Assumptions!$B$6),NORMINV(RAND(),Assumptions!$B$8,Assumptions!$B$9))</f>
        <v>0.206600970713526</v>
      </c>
      <c r="K115" s="8" t="n">
        <f aca="true">IF(E115="Bull",NORMINV(RAND(),Assumptions!$B$5,Assumptions!$B$6),NORMINV(RAND(),Assumptions!$B$8,Assumptions!$B$9))</f>
        <v>-0.0380147940395964</v>
      </c>
      <c r="L115" s="8" t="n">
        <f aca="true">IF(F115="Bull",NORMINV(RAND(),Assumptions!$B$5,Assumptions!$B$6),NORMINV(RAND(),Assumptions!$B$8,Assumptions!$B$9))</f>
        <v>-0.212266151514372</v>
      </c>
      <c r="M115" s="8" t="n">
        <f aca="true">IF(G115="Bull",NORMINV(RAND(),Assumptions!$B$5,Assumptions!$B$6),NORMINV(RAND(),Assumptions!$B$8,Assumptions!$B$9))</f>
        <v>0.26215550731137</v>
      </c>
      <c r="N115" s="8" t="n">
        <f aca="true">NORMINV(RAND(),Assumptions!$B$14,Assumptions!$B$15)</f>
        <v>0.0335415284817932</v>
      </c>
      <c r="O115" s="8" t="n">
        <f aca="true">NORMINV(RAND(),Assumptions!$B$14,Assumptions!$B$15)</f>
        <v>0.0498484908517517</v>
      </c>
      <c r="P115" s="8" t="n">
        <f aca="true">NORMINV(RAND(),Assumptions!$B$14,Assumptions!$B$15)</f>
        <v>0.077465757709508</v>
      </c>
      <c r="Q115" s="8" t="n">
        <f aca="true">NORMINV(RAND(),Assumptions!$B$14,Assumptions!$B$15)</f>
        <v>0.0336532799970825</v>
      </c>
      <c r="R115" s="8" t="n">
        <f aca="true">NORMINV(RAND(),Assumptions!$B$14,Assumptions!$B$15)</f>
        <v>0.0764865473746613</v>
      </c>
      <c r="S115" s="8" t="n">
        <f aca="true">NORMINV(RAND(),Assumptions!$B$14,Assumptions!$B$15)</f>
        <v>0.0688435399948348</v>
      </c>
      <c r="T115" s="8" t="n">
        <f aca="false">Assumptions!$B$19*H115+(1-Assumptions!$B$19)*N115</f>
        <v>0.0534676042068264</v>
      </c>
      <c r="U115" s="8" t="n">
        <f aca="false">Assumptions!$B$20*I115+(1-Assumptions!$B$20)*O115</f>
        <v>0.347842125605494</v>
      </c>
      <c r="V115" s="8" t="n">
        <f aca="false">Assumptions!$B$21*J115+(1-Assumptions!$B$21)*P115</f>
        <v>0.206600970713526</v>
      </c>
      <c r="W115" s="8" t="n">
        <f aca="false">Assumptions!$B$22*K115+(1-Assumptions!$B$22)*Q115</f>
        <v>-0.0380147940395964</v>
      </c>
      <c r="X115" s="8" t="n">
        <f aca="false">Assumptions!$B$23*L115+(1-Assumptions!$B$23)*R115</f>
        <v>-0.154515611736565</v>
      </c>
      <c r="Y115" s="8" t="n">
        <f aca="false">Assumptions!$B$24*M115+(1-Assumptions!$B$24)*S115</f>
        <v>0.184830720384756</v>
      </c>
      <c r="Z115" s="6" t="n">
        <f aca="false">Assumptions!$B$27*(1+T115)</f>
        <v>316040.281262048</v>
      </c>
      <c r="AA115" s="6" t="n">
        <f aca="false">(Z115+Assumptions!$B$28)*(1+U115)</f>
        <v>628148.723314021</v>
      </c>
      <c r="AB115" s="6" t="n">
        <f aca="false">AA115*(1+V115)</f>
        <v>757924.85930316</v>
      </c>
      <c r="AC115" s="6" t="n">
        <f aca="false">AB115*(1+W115)</f>
        <v>729112.50187926</v>
      </c>
      <c r="AD115" s="6" t="n">
        <f aca="false">AC115*(1+X115)</f>
        <v>616453.237626609</v>
      </c>
      <c r="AE115" s="6" t="n">
        <f aca="false">AD115*(1+Y115)</f>
        <v>730392.73362065</v>
      </c>
      <c r="AF115" s="6" t="n">
        <f aca="false">Z115</f>
        <v>316040.281262048</v>
      </c>
      <c r="AG115" s="6" t="n">
        <f aca="false">MAX(AF115,AA115)</f>
        <v>628148.723314021</v>
      </c>
      <c r="AH115" s="6" t="n">
        <f aca="false">MAX(AG115,AB115)</f>
        <v>757924.85930316</v>
      </c>
      <c r="AI115" s="6" t="n">
        <f aca="false">MAX(AH115,AC115)</f>
        <v>757924.85930316</v>
      </c>
      <c r="AJ115" s="6" t="n">
        <f aca="false">MAX(AI115,AD115)</f>
        <v>757924.85930316</v>
      </c>
      <c r="AK115" s="6" t="n">
        <f aca="false">MAX(AJ115,AE115)</f>
        <v>757924.85930316</v>
      </c>
      <c r="AL115" s="8" t="n">
        <f aca="false">MIN(Z115/AF115-1,AA115/AG115-1,AB115/AH115-1,AC115/AI115-1,AD115/AJ115-1,AE115/AK115-1)</f>
        <v>-0.186656526620094</v>
      </c>
      <c r="AM115" s="6" t="n">
        <f aca="false">AE115-Assumptions!$B$35</f>
        <v>289128.736958146</v>
      </c>
    </row>
    <row r="116" customFormat="false" ht="15" hidden="false" customHeight="false" outlineLevel="0" collapsed="false">
      <c r="A116" s="0" t="n">
        <f aca="false">ROW()-1</f>
        <v>115</v>
      </c>
      <c r="B116" s="0" t="str">
        <f aca="true">IF(RAND()&lt;Assumptions!$B$11,"Bull","Bear")</f>
        <v>Bear</v>
      </c>
      <c r="C116" s="0" t="str">
        <f aca="true">IF(B116="Bull",IF(RAND()&lt;Assumptions!$B$7,"Bull","Bear"),IF(RAND()&lt;Assumptions!$B$10,"Bear","Bull"))</f>
        <v>Bear</v>
      </c>
      <c r="D116" s="0" t="str">
        <f aca="true">IF(C116="Bull",IF(RAND()&lt;Assumptions!$B$7,"Bull","Bear"),IF(RAND()&lt;Assumptions!$B$10,"Bear","Bull"))</f>
        <v>Bull</v>
      </c>
      <c r="E116" s="0" t="str">
        <f aca="true">IF(D116="Bull",IF(RAND()&lt;Assumptions!$B$7,"Bull","Bear"),IF(RAND()&lt;Assumptions!$B$10,"Bear","Bull"))</f>
        <v>Bull</v>
      </c>
      <c r="F116" s="0" t="str">
        <f aca="true">IF(E116="Bull",IF(RAND()&lt;Assumptions!$B$7,"Bull","Bear"),IF(RAND()&lt;Assumptions!$B$10,"Bear","Bull"))</f>
        <v>Bull</v>
      </c>
      <c r="G116" s="0" t="str">
        <f aca="true">IF(F116="Bull",IF(RAND()&lt;Assumptions!$B$7,"Bull","Bear"),IF(RAND()&lt;Assumptions!$B$10,"Bear","Bull"))</f>
        <v>Bull</v>
      </c>
      <c r="H116" s="8" t="n">
        <f aca="true">IF(B116="Bull",NORMINV(RAND(),Assumptions!$B$5,Assumptions!$B$6),NORMINV(RAND(),Assumptions!$B$8,Assumptions!$B$9))</f>
        <v>-0.211830834073792</v>
      </c>
      <c r="I116" s="8" t="n">
        <f aca="true">IF(C116="Bull",NORMINV(RAND(),Assumptions!$B$5,Assumptions!$B$6),NORMINV(RAND(),Assumptions!$B$8,Assumptions!$B$9))</f>
        <v>-0.166556142241723</v>
      </c>
      <c r="J116" s="8" t="n">
        <f aca="true">IF(D116="Bull",NORMINV(RAND(),Assumptions!$B$5,Assumptions!$B$6),NORMINV(RAND(),Assumptions!$B$8,Assumptions!$B$9))</f>
        <v>0.308176847821235</v>
      </c>
      <c r="K116" s="8" t="n">
        <f aca="true">IF(E116="Bull",NORMINV(RAND(),Assumptions!$B$5,Assumptions!$B$6),NORMINV(RAND(),Assumptions!$B$8,Assumptions!$B$9))</f>
        <v>0.0854659651116852</v>
      </c>
      <c r="L116" s="8" t="n">
        <f aca="true">IF(F116="Bull",NORMINV(RAND(),Assumptions!$B$5,Assumptions!$B$6),NORMINV(RAND(),Assumptions!$B$8,Assumptions!$B$9))</f>
        <v>0.177780314668439</v>
      </c>
      <c r="M116" s="8" t="n">
        <f aca="true">IF(G116="Bull",NORMINV(RAND(),Assumptions!$B$5,Assumptions!$B$6),NORMINV(RAND(),Assumptions!$B$8,Assumptions!$B$9))</f>
        <v>0.124153844392993</v>
      </c>
      <c r="N116" s="8" t="n">
        <f aca="true">NORMINV(RAND(),Assumptions!$B$14,Assumptions!$B$15)</f>
        <v>0.0390803545371965</v>
      </c>
      <c r="O116" s="8" t="n">
        <f aca="true">NORMINV(RAND(),Assumptions!$B$14,Assumptions!$B$15)</f>
        <v>0.0589568019769724</v>
      </c>
      <c r="P116" s="8" t="n">
        <f aca="true">NORMINV(RAND(),Assumptions!$B$14,Assumptions!$B$15)</f>
        <v>0.0673580005229387</v>
      </c>
      <c r="Q116" s="8" t="n">
        <f aca="true">NORMINV(RAND(),Assumptions!$B$14,Assumptions!$B$15)</f>
        <v>0.0363150513405254</v>
      </c>
      <c r="R116" s="8" t="n">
        <f aca="true">NORMINV(RAND(),Assumptions!$B$14,Assumptions!$B$15)</f>
        <v>0.0772824159118775</v>
      </c>
      <c r="S116" s="8" t="n">
        <f aca="true">NORMINV(RAND(),Assumptions!$B$14,Assumptions!$B$15)</f>
        <v>0.024624632767582</v>
      </c>
      <c r="T116" s="8" t="n">
        <f aca="false">Assumptions!$B$19*H116+(1-Assumptions!$B$19)*N116</f>
        <v>-0.211830834073792</v>
      </c>
      <c r="U116" s="8" t="n">
        <f aca="false">Assumptions!$B$20*I116+(1-Assumptions!$B$20)*O116</f>
        <v>-0.166556142241723</v>
      </c>
      <c r="V116" s="8" t="n">
        <f aca="false">Assumptions!$B$21*J116+(1-Assumptions!$B$21)*P116</f>
        <v>0.308176847821235</v>
      </c>
      <c r="W116" s="8" t="n">
        <f aca="false">Assumptions!$B$22*K116+(1-Assumptions!$B$22)*Q116</f>
        <v>0.0854659651116852</v>
      </c>
      <c r="X116" s="8" t="n">
        <f aca="false">Assumptions!$B$23*L116+(1-Assumptions!$B$23)*R116</f>
        <v>0.157680734917127</v>
      </c>
      <c r="Y116" s="8" t="n">
        <f aca="false">Assumptions!$B$24*M116+(1-Assumptions!$B$24)*S116</f>
        <v>0.0843421597428286</v>
      </c>
      <c r="Z116" s="6" t="n">
        <f aca="false">Assumptions!$B$27*(1+T116)</f>
        <v>236450.749777862</v>
      </c>
      <c r="AA116" s="6" t="n">
        <f aca="false">(Z116+Assumptions!$B$28)*(1+U116)</f>
        <v>322085.00372844</v>
      </c>
      <c r="AB116" s="6" t="n">
        <f aca="false">AA116*(1+V116)</f>
        <v>421344.144907962</v>
      </c>
      <c r="AC116" s="6" t="n">
        <f aca="false">AB116*(1+W116)</f>
        <v>457354.728896678</v>
      </c>
      <c r="AD116" s="6" t="n">
        <f aca="false">AC116*(1+X116)</f>
        <v>529470.75866693</v>
      </c>
      <c r="AE116" s="6" t="n">
        <f aca="false">AD116*(1+Y116)</f>
        <v>574127.465973573</v>
      </c>
      <c r="AF116" s="6" t="n">
        <f aca="false">Z116</f>
        <v>236450.749777862</v>
      </c>
      <c r="AG116" s="6" t="n">
        <f aca="false">MAX(AF116,AA116)</f>
        <v>322085.00372844</v>
      </c>
      <c r="AH116" s="6" t="n">
        <f aca="false">MAX(AG116,AB116)</f>
        <v>421344.144907962</v>
      </c>
      <c r="AI116" s="6" t="n">
        <f aca="false">MAX(AH116,AC116)</f>
        <v>457354.728896678</v>
      </c>
      <c r="AJ116" s="6" t="n">
        <f aca="false">MAX(AI116,AD116)</f>
        <v>529470.75866693</v>
      </c>
      <c r="AK116" s="6" t="n">
        <f aca="false">MAX(AJ116,AE116)</f>
        <v>574127.465973573</v>
      </c>
      <c r="AL116" s="8" t="n">
        <f aca="false">MIN(Z116/AF116-1,AA116/AG116-1,AB116/AH116-1,AC116/AI116-1,AD116/AJ116-1,AE116/AK116-1)</f>
        <v>0</v>
      </c>
      <c r="AM116" s="6" t="n">
        <f aca="false">AE116-Assumptions!$B$35</f>
        <v>132863.469311069</v>
      </c>
    </row>
    <row r="117" customFormat="false" ht="15" hidden="false" customHeight="false" outlineLevel="0" collapsed="false">
      <c r="A117" s="0" t="n">
        <f aca="false">ROW()-1</f>
        <v>116</v>
      </c>
      <c r="B117" s="0" t="str">
        <f aca="true">IF(RAND()&lt;Assumptions!$B$11,"Bull","Bear")</f>
        <v>Bull</v>
      </c>
      <c r="C117" s="0" t="str">
        <f aca="true">IF(B117="Bull",IF(RAND()&lt;Assumptions!$B$7,"Bull","Bear"),IF(RAND()&lt;Assumptions!$B$10,"Bear","Bull"))</f>
        <v>Bull</v>
      </c>
      <c r="D117" s="0" t="str">
        <f aca="true">IF(C117="Bull",IF(RAND()&lt;Assumptions!$B$7,"Bull","Bear"),IF(RAND()&lt;Assumptions!$B$10,"Bear","Bull"))</f>
        <v>Bull</v>
      </c>
      <c r="E117" s="0" t="str">
        <f aca="true">IF(D117="Bull",IF(RAND()&lt;Assumptions!$B$7,"Bull","Bear"),IF(RAND()&lt;Assumptions!$B$10,"Bear","Bull"))</f>
        <v>Bear</v>
      </c>
      <c r="F117" s="0" t="str">
        <f aca="true">IF(E117="Bull",IF(RAND()&lt;Assumptions!$B$7,"Bull","Bear"),IF(RAND()&lt;Assumptions!$B$10,"Bear","Bull"))</f>
        <v>Bull</v>
      </c>
      <c r="G117" s="0" t="str">
        <f aca="true">IF(F117="Bull",IF(RAND()&lt;Assumptions!$B$7,"Bull","Bear"),IF(RAND()&lt;Assumptions!$B$10,"Bear","Bull"))</f>
        <v>Bull</v>
      </c>
      <c r="H117" s="8" t="n">
        <f aca="true">IF(B117="Bull",NORMINV(RAND(),Assumptions!$B$5,Assumptions!$B$6),NORMINV(RAND(),Assumptions!$B$8,Assumptions!$B$9))</f>
        <v>0.139677481377029</v>
      </c>
      <c r="I117" s="8" t="n">
        <f aca="true">IF(C117="Bull",NORMINV(RAND(),Assumptions!$B$5,Assumptions!$B$6),NORMINV(RAND(),Assumptions!$B$8,Assumptions!$B$9))</f>
        <v>0.12239415718603</v>
      </c>
      <c r="J117" s="8" t="n">
        <f aca="true">IF(D117="Bull",NORMINV(RAND(),Assumptions!$B$5,Assumptions!$B$6),NORMINV(RAND(),Assumptions!$B$8,Assumptions!$B$9))</f>
        <v>0.215534164153499</v>
      </c>
      <c r="K117" s="8" t="n">
        <f aca="true">IF(E117="Bull",NORMINV(RAND(),Assumptions!$B$5,Assumptions!$B$6),NORMINV(RAND(),Assumptions!$B$8,Assumptions!$B$9))</f>
        <v>-0.060983326476133</v>
      </c>
      <c r="L117" s="8" t="n">
        <f aca="true">IF(F117="Bull",NORMINV(RAND(),Assumptions!$B$5,Assumptions!$B$6),NORMINV(RAND(),Assumptions!$B$8,Assumptions!$B$9))</f>
        <v>-0.00385027535515961</v>
      </c>
      <c r="M117" s="8" t="n">
        <f aca="true">IF(G117="Bull",NORMINV(RAND(),Assumptions!$B$5,Assumptions!$B$6),NORMINV(RAND(),Assumptions!$B$8,Assumptions!$B$9))</f>
        <v>0.181607007039891</v>
      </c>
      <c r="N117" s="8" t="n">
        <f aca="true">NORMINV(RAND(),Assumptions!$B$14,Assumptions!$B$15)</f>
        <v>0.0885241542978228</v>
      </c>
      <c r="O117" s="8" t="n">
        <f aca="true">NORMINV(RAND(),Assumptions!$B$14,Assumptions!$B$15)</f>
        <v>0.100567642137659</v>
      </c>
      <c r="P117" s="8" t="n">
        <f aca="true">NORMINV(RAND(),Assumptions!$B$14,Assumptions!$B$15)</f>
        <v>0.0753712346423713</v>
      </c>
      <c r="Q117" s="8" t="n">
        <f aca="true">NORMINV(RAND(),Assumptions!$B$14,Assumptions!$B$15)</f>
        <v>0.0776809971519291</v>
      </c>
      <c r="R117" s="8" t="n">
        <f aca="true">NORMINV(RAND(),Assumptions!$B$14,Assumptions!$B$15)</f>
        <v>0.0343701683965888</v>
      </c>
      <c r="S117" s="8" t="n">
        <f aca="true">NORMINV(RAND(),Assumptions!$B$14,Assumptions!$B$15)</f>
        <v>0.0645298203294233</v>
      </c>
      <c r="T117" s="8" t="n">
        <f aca="false">Assumptions!$B$19*H117+(1-Assumptions!$B$19)*N117</f>
        <v>0.139677481377029</v>
      </c>
      <c r="U117" s="8" t="n">
        <f aca="false">Assumptions!$B$20*I117+(1-Assumptions!$B$20)*O117</f>
        <v>0.12239415718603</v>
      </c>
      <c r="V117" s="8" t="n">
        <f aca="false">Assumptions!$B$21*J117+(1-Assumptions!$B$21)*P117</f>
        <v>0.215534164153499</v>
      </c>
      <c r="W117" s="8" t="n">
        <f aca="false">Assumptions!$B$22*K117+(1-Assumptions!$B$22)*Q117</f>
        <v>-0.060983326476133</v>
      </c>
      <c r="X117" s="8" t="n">
        <f aca="false">Assumptions!$B$23*L117+(1-Assumptions!$B$23)*R117</f>
        <v>0.00379381339519008</v>
      </c>
      <c r="Y117" s="8" t="n">
        <f aca="false">Assumptions!$B$24*M117+(1-Assumptions!$B$24)*S117</f>
        <v>0.134776132355704</v>
      </c>
      <c r="Z117" s="6" t="n">
        <f aca="false">Assumptions!$B$27*(1+T117)</f>
        <v>341903.244413109</v>
      </c>
      <c r="AA117" s="6" t="n">
        <f aca="false">(Z117+Assumptions!$B$28)*(1+U117)</f>
        <v>552109.327430125</v>
      </c>
      <c r="AB117" s="6" t="n">
        <f aca="false">AA117*(1+V117)</f>
        <v>671107.749839127</v>
      </c>
      <c r="AC117" s="6" t="n">
        <f aca="false">AB117*(1+W117)</f>
        <v>630181.366830025</v>
      </c>
      <c r="AD117" s="6" t="n">
        <f aca="false">AC117*(1+X117)</f>
        <v>632572.157340904</v>
      </c>
      <c r="AE117" s="6" t="n">
        <f aca="false">AD117*(1+Y117)</f>
        <v>717827.786143214</v>
      </c>
      <c r="AF117" s="6" t="n">
        <f aca="false">Z117</f>
        <v>341903.244413109</v>
      </c>
      <c r="AG117" s="6" t="n">
        <f aca="false">MAX(AF117,AA117)</f>
        <v>552109.327430125</v>
      </c>
      <c r="AH117" s="6" t="n">
        <f aca="false">MAX(AG117,AB117)</f>
        <v>671107.749839127</v>
      </c>
      <c r="AI117" s="6" t="n">
        <f aca="false">MAX(AH117,AC117)</f>
        <v>671107.749839127</v>
      </c>
      <c r="AJ117" s="6" t="n">
        <f aca="false">MAX(AI117,AD117)</f>
        <v>671107.749839127</v>
      </c>
      <c r="AK117" s="6" t="n">
        <f aca="false">MAX(AJ117,AE117)</f>
        <v>717827.786143214</v>
      </c>
      <c r="AL117" s="8" t="n">
        <f aca="false">MIN(Z117/AF117-1,AA117/AG117-1,AB117/AH117-1,AC117/AI117-1,AD117/AJ117-1,AE117/AK117-1)</f>
        <v>-0.0609833264761329</v>
      </c>
      <c r="AM117" s="6" t="n">
        <f aca="false">AE117-Assumptions!$B$35</f>
        <v>276563.789480711</v>
      </c>
    </row>
    <row r="118" customFormat="false" ht="15" hidden="false" customHeight="false" outlineLevel="0" collapsed="false">
      <c r="A118" s="0" t="n">
        <f aca="false">ROW()-1</f>
        <v>117</v>
      </c>
      <c r="B118" s="0" t="str">
        <f aca="true">IF(RAND()&lt;Assumptions!$B$11,"Bull","Bear")</f>
        <v>Bull</v>
      </c>
      <c r="C118" s="0" t="str">
        <f aca="true">IF(B118="Bull",IF(RAND()&lt;Assumptions!$B$7,"Bull","Bear"),IF(RAND()&lt;Assumptions!$B$10,"Bear","Bull"))</f>
        <v>Bull</v>
      </c>
      <c r="D118" s="0" t="str">
        <f aca="true">IF(C118="Bull",IF(RAND()&lt;Assumptions!$B$7,"Bull","Bear"),IF(RAND()&lt;Assumptions!$B$10,"Bear","Bull"))</f>
        <v>Bull</v>
      </c>
      <c r="E118" s="0" t="str">
        <f aca="true">IF(D118="Bull",IF(RAND()&lt;Assumptions!$B$7,"Bull","Bear"),IF(RAND()&lt;Assumptions!$B$10,"Bear","Bull"))</f>
        <v>Bear</v>
      </c>
      <c r="F118" s="0" t="str">
        <f aca="true">IF(E118="Bull",IF(RAND()&lt;Assumptions!$B$7,"Bull","Bear"),IF(RAND()&lt;Assumptions!$B$10,"Bear","Bull"))</f>
        <v>Bear</v>
      </c>
      <c r="G118" s="0" t="str">
        <f aca="true">IF(F118="Bull",IF(RAND()&lt;Assumptions!$B$7,"Bull","Bear"),IF(RAND()&lt;Assumptions!$B$10,"Bear","Bull"))</f>
        <v>Bear</v>
      </c>
      <c r="H118" s="8" t="n">
        <f aca="true">IF(B118="Bull",NORMINV(RAND(),Assumptions!$B$5,Assumptions!$B$6),NORMINV(RAND(),Assumptions!$B$8,Assumptions!$B$9))</f>
        <v>0.28176793197902</v>
      </c>
      <c r="I118" s="8" t="n">
        <f aca="true">IF(C118="Bull",NORMINV(RAND(),Assumptions!$B$5,Assumptions!$B$6),NORMINV(RAND(),Assumptions!$B$8,Assumptions!$B$9))</f>
        <v>0.206146577076725</v>
      </c>
      <c r="J118" s="8" t="n">
        <f aca="true">IF(D118="Bull",NORMINV(RAND(),Assumptions!$B$5,Assumptions!$B$6),NORMINV(RAND(),Assumptions!$B$8,Assumptions!$B$9))</f>
        <v>0.0888384579775358</v>
      </c>
      <c r="K118" s="8" t="n">
        <f aca="true">IF(E118="Bull",NORMINV(RAND(),Assumptions!$B$5,Assumptions!$B$6),NORMINV(RAND(),Assumptions!$B$8,Assumptions!$B$9))</f>
        <v>-0.0167463148020625</v>
      </c>
      <c r="L118" s="8" t="n">
        <f aca="true">IF(F118="Bull",NORMINV(RAND(),Assumptions!$B$5,Assumptions!$B$6),NORMINV(RAND(),Assumptions!$B$8,Assumptions!$B$9))</f>
        <v>-0.53698104746447</v>
      </c>
      <c r="M118" s="8" t="n">
        <f aca="true">IF(G118="Bull",NORMINV(RAND(),Assumptions!$B$5,Assumptions!$B$6),NORMINV(RAND(),Assumptions!$B$8,Assumptions!$B$9))</f>
        <v>-0.321576127873487</v>
      </c>
      <c r="N118" s="8" t="n">
        <f aca="true">NORMINV(RAND(),Assumptions!$B$14,Assumptions!$B$15)</f>
        <v>0.00807845055865986</v>
      </c>
      <c r="O118" s="8" t="n">
        <f aca="true">NORMINV(RAND(),Assumptions!$B$14,Assumptions!$B$15)</f>
        <v>0.0305488433819076</v>
      </c>
      <c r="P118" s="8" t="n">
        <f aca="true">NORMINV(RAND(),Assumptions!$B$14,Assumptions!$B$15)</f>
        <v>0.0310735046348414</v>
      </c>
      <c r="Q118" s="8" t="n">
        <f aca="true">NORMINV(RAND(),Assumptions!$B$14,Assumptions!$B$15)</f>
        <v>0.0778201649290775</v>
      </c>
      <c r="R118" s="8" t="n">
        <f aca="true">NORMINV(RAND(),Assumptions!$B$14,Assumptions!$B$15)</f>
        <v>0.0539746874731028</v>
      </c>
      <c r="S118" s="8" t="n">
        <f aca="true">NORMINV(RAND(),Assumptions!$B$14,Assumptions!$B$15)</f>
        <v>0.0333712574087422</v>
      </c>
      <c r="T118" s="8" t="n">
        <f aca="false">Assumptions!$B$19*H118+(1-Assumptions!$B$19)*N118</f>
        <v>0.28176793197902</v>
      </c>
      <c r="U118" s="8" t="n">
        <f aca="false">Assumptions!$B$20*I118+(1-Assumptions!$B$20)*O118</f>
        <v>0.206146577076725</v>
      </c>
      <c r="V118" s="8" t="n">
        <f aca="false">Assumptions!$B$21*J118+(1-Assumptions!$B$21)*P118</f>
        <v>0.0888384579775358</v>
      </c>
      <c r="W118" s="8" t="n">
        <f aca="false">Assumptions!$B$22*K118+(1-Assumptions!$B$22)*Q118</f>
        <v>-0.0167463148020625</v>
      </c>
      <c r="X118" s="8" t="n">
        <f aca="false">Assumptions!$B$23*L118+(1-Assumptions!$B$23)*R118</f>
        <v>-0.418789900476955</v>
      </c>
      <c r="Y118" s="8" t="n">
        <f aca="false">Assumptions!$B$24*M118+(1-Assumptions!$B$24)*S118</f>
        <v>-0.179597173760595</v>
      </c>
      <c r="Z118" s="6" t="n">
        <f aca="false">Assumptions!$B$27*(1+T118)</f>
        <v>384530.379593706</v>
      </c>
      <c r="AA118" s="6" t="n">
        <f aca="false">(Z118+Assumptions!$B$28)*(1+U118)</f>
        <v>644721.987690471</v>
      </c>
      <c r="AB118" s="6" t="n">
        <f aca="false">AA118*(1+V118)</f>
        <v>701998.094901104</v>
      </c>
      <c r="AC118" s="6" t="n">
        <f aca="false">AB118*(1+W118)</f>
        <v>690242.213813442</v>
      </c>
      <c r="AD118" s="6" t="n">
        <f aca="false">AC118*(1+X118)</f>
        <v>401175.745785518</v>
      </c>
      <c r="AE118" s="6" t="n">
        <f aca="false">AD118*(1+Y118)</f>
        <v>329125.71566114</v>
      </c>
      <c r="AF118" s="6" t="n">
        <f aca="false">Z118</f>
        <v>384530.379593706</v>
      </c>
      <c r="AG118" s="6" t="n">
        <f aca="false">MAX(AF118,AA118)</f>
        <v>644721.987690471</v>
      </c>
      <c r="AH118" s="6" t="n">
        <f aca="false">MAX(AG118,AB118)</f>
        <v>701998.094901104</v>
      </c>
      <c r="AI118" s="6" t="n">
        <f aca="false">MAX(AH118,AC118)</f>
        <v>701998.094901104</v>
      </c>
      <c r="AJ118" s="6" t="n">
        <f aca="false">MAX(AI118,AD118)</f>
        <v>701998.094901104</v>
      </c>
      <c r="AK118" s="6" t="n">
        <f aca="false">MAX(AJ118,AE118)</f>
        <v>701998.094901104</v>
      </c>
      <c r="AL118" s="8" t="n">
        <f aca="false">MIN(Z118/AF118-1,AA118/AG118-1,AB118/AH118-1,AC118/AI118-1,AD118/AJ118-1,AE118/AK118-1)</f>
        <v>-0.531158676851529</v>
      </c>
      <c r="AM118" s="6" t="n">
        <f aca="false">AE118-Assumptions!$B$35</f>
        <v>-112138.281001364</v>
      </c>
    </row>
    <row r="119" customFormat="false" ht="15" hidden="false" customHeight="false" outlineLevel="0" collapsed="false">
      <c r="A119" s="0" t="n">
        <f aca="false">ROW()-1</f>
        <v>118</v>
      </c>
      <c r="B119" s="0" t="str">
        <f aca="true">IF(RAND()&lt;Assumptions!$B$11,"Bull","Bear")</f>
        <v>Bull</v>
      </c>
      <c r="C119" s="0" t="str">
        <f aca="true">IF(B119="Bull",IF(RAND()&lt;Assumptions!$B$7,"Bull","Bear"),IF(RAND()&lt;Assumptions!$B$10,"Bear","Bull"))</f>
        <v>Bull</v>
      </c>
      <c r="D119" s="0" t="str">
        <f aca="true">IF(C119="Bull",IF(RAND()&lt;Assumptions!$B$7,"Bull","Bear"),IF(RAND()&lt;Assumptions!$B$10,"Bear","Bull"))</f>
        <v>Bull</v>
      </c>
      <c r="E119" s="0" t="str">
        <f aca="true">IF(D119="Bull",IF(RAND()&lt;Assumptions!$B$7,"Bull","Bear"),IF(RAND()&lt;Assumptions!$B$10,"Bear","Bull"))</f>
        <v>Bear</v>
      </c>
      <c r="F119" s="0" t="str">
        <f aca="true">IF(E119="Bull",IF(RAND()&lt;Assumptions!$B$7,"Bull","Bear"),IF(RAND()&lt;Assumptions!$B$10,"Bear","Bull"))</f>
        <v>Bear</v>
      </c>
      <c r="G119" s="0" t="str">
        <f aca="true">IF(F119="Bull",IF(RAND()&lt;Assumptions!$B$7,"Bull","Bear"),IF(RAND()&lt;Assumptions!$B$10,"Bear","Bull"))</f>
        <v>Bear</v>
      </c>
      <c r="H119" s="8" t="n">
        <f aca="true">IF(B119="Bull",NORMINV(RAND(),Assumptions!$B$5,Assumptions!$B$6),NORMINV(RAND(),Assumptions!$B$8,Assumptions!$B$9))</f>
        <v>0.00543961817224098</v>
      </c>
      <c r="I119" s="8" t="n">
        <f aca="true">IF(C119="Bull",NORMINV(RAND(),Assumptions!$B$5,Assumptions!$B$6),NORMINV(RAND(),Assumptions!$B$8,Assumptions!$B$9))</f>
        <v>0.20436324167996</v>
      </c>
      <c r="J119" s="8" t="n">
        <f aca="true">IF(D119="Bull",NORMINV(RAND(),Assumptions!$B$5,Assumptions!$B$6),NORMINV(RAND(),Assumptions!$B$8,Assumptions!$B$9))</f>
        <v>0.102889894826791</v>
      </c>
      <c r="K119" s="8" t="n">
        <f aca="true">IF(E119="Bull",NORMINV(RAND(),Assumptions!$B$5,Assumptions!$B$6),NORMINV(RAND(),Assumptions!$B$8,Assumptions!$B$9))</f>
        <v>-0.163113826171735</v>
      </c>
      <c r="L119" s="8" t="n">
        <f aca="true">IF(F119="Bull",NORMINV(RAND(),Assumptions!$B$5,Assumptions!$B$6),NORMINV(RAND(),Assumptions!$B$8,Assumptions!$B$9))</f>
        <v>-0.166657430863078</v>
      </c>
      <c r="M119" s="8" t="n">
        <f aca="true">IF(G119="Bull",NORMINV(RAND(),Assumptions!$B$5,Assumptions!$B$6),NORMINV(RAND(),Assumptions!$B$8,Assumptions!$B$9))</f>
        <v>0.114379081204839</v>
      </c>
      <c r="N119" s="8" t="n">
        <f aca="true">NORMINV(RAND(),Assumptions!$B$14,Assumptions!$B$15)</f>
        <v>0.0628532592770271</v>
      </c>
      <c r="O119" s="8" t="n">
        <f aca="true">NORMINV(RAND(),Assumptions!$B$14,Assumptions!$B$15)</f>
        <v>0.0802325203625026</v>
      </c>
      <c r="P119" s="8" t="n">
        <f aca="true">NORMINV(RAND(),Assumptions!$B$14,Assumptions!$B$15)</f>
        <v>0.054126641290843</v>
      </c>
      <c r="Q119" s="8" t="n">
        <f aca="true">NORMINV(RAND(),Assumptions!$B$14,Assumptions!$B$15)</f>
        <v>0.0307357950071648</v>
      </c>
      <c r="R119" s="8" t="n">
        <f aca="true">NORMINV(RAND(),Assumptions!$B$14,Assumptions!$B$15)</f>
        <v>0.0480905761432263</v>
      </c>
      <c r="S119" s="8" t="n">
        <f aca="true">NORMINV(RAND(),Assumptions!$B$14,Assumptions!$B$15)</f>
        <v>0.0166721567974786</v>
      </c>
      <c r="T119" s="8" t="n">
        <f aca="false">Assumptions!$B$19*H119+(1-Assumptions!$B$19)*N119</f>
        <v>0.00543961817224098</v>
      </c>
      <c r="U119" s="8" t="n">
        <f aca="false">Assumptions!$B$20*I119+(1-Assumptions!$B$20)*O119</f>
        <v>0.20436324167996</v>
      </c>
      <c r="V119" s="8" t="n">
        <f aca="false">Assumptions!$B$21*J119+(1-Assumptions!$B$21)*P119</f>
        <v>0.102889894826791</v>
      </c>
      <c r="W119" s="8" t="n">
        <f aca="false">Assumptions!$B$22*K119+(1-Assumptions!$B$22)*Q119</f>
        <v>-0.163113826171735</v>
      </c>
      <c r="X119" s="8" t="n">
        <f aca="false">Assumptions!$B$23*L119+(1-Assumptions!$B$23)*R119</f>
        <v>-0.123707829461817</v>
      </c>
      <c r="Y119" s="8" t="n">
        <f aca="false">Assumptions!$B$24*M119+(1-Assumptions!$B$24)*S119</f>
        <v>0.0752963114418948</v>
      </c>
      <c r="Z119" s="6" t="n">
        <f aca="false">Assumptions!$B$27*(1+T119)</f>
        <v>301631.885451672</v>
      </c>
      <c r="AA119" s="6" t="n">
        <f aca="false">(Z119+Assumptions!$B$28)*(1+U119)</f>
        <v>543928.841608608</v>
      </c>
      <c r="AB119" s="6" t="n">
        <f aca="false">AA119*(1+V119)</f>
        <v>599893.622914976</v>
      </c>
      <c r="AC119" s="6" t="n">
        <f aca="false">AB119*(1+W119)</f>
        <v>502042.678785291</v>
      </c>
      <c r="AD119" s="6" t="n">
        <f aca="false">AC119*(1+X119)</f>
        <v>439936.068695566</v>
      </c>
      <c r="AE119" s="6" t="n">
        <f aca="false">AD119*(1+Y119)</f>
        <v>473061.631938591</v>
      </c>
      <c r="AF119" s="6" t="n">
        <f aca="false">Z119</f>
        <v>301631.885451672</v>
      </c>
      <c r="AG119" s="6" t="n">
        <f aca="false">MAX(AF119,AA119)</f>
        <v>543928.841608608</v>
      </c>
      <c r="AH119" s="6" t="n">
        <f aca="false">MAX(AG119,AB119)</f>
        <v>599893.622914976</v>
      </c>
      <c r="AI119" s="6" t="n">
        <f aca="false">MAX(AH119,AC119)</f>
        <v>599893.622914976</v>
      </c>
      <c r="AJ119" s="6" t="n">
        <f aca="false">MAX(AI119,AD119)</f>
        <v>599893.622914976</v>
      </c>
      <c r="AK119" s="6" t="n">
        <f aca="false">MAX(AJ119,AE119)</f>
        <v>599893.622914976</v>
      </c>
      <c r="AL119" s="8" t="n">
        <f aca="false">MIN(Z119/AF119-1,AA119/AG119-1,AB119/AH119-1,AC119/AI119-1,AD119/AJ119-1,AE119/AK119-1)</f>
        <v>-0.266643198242634</v>
      </c>
      <c r="AM119" s="6" t="n">
        <f aca="false">AE119-Assumptions!$B$35</f>
        <v>31797.635276087</v>
      </c>
    </row>
    <row r="120" customFormat="false" ht="15" hidden="false" customHeight="false" outlineLevel="0" collapsed="false">
      <c r="A120" s="0" t="n">
        <f aca="false">ROW()-1</f>
        <v>119</v>
      </c>
      <c r="B120" s="0" t="str">
        <f aca="true">IF(RAND()&lt;Assumptions!$B$11,"Bull","Bear")</f>
        <v>Bull</v>
      </c>
      <c r="C120" s="0" t="str">
        <f aca="true">IF(B120="Bull",IF(RAND()&lt;Assumptions!$B$7,"Bull","Bear"),IF(RAND()&lt;Assumptions!$B$10,"Bear","Bull"))</f>
        <v>Bull</v>
      </c>
      <c r="D120" s="0" t="str">
        <f aca="true">IF(C120="Bull",IF(RAND()&lt;Assumptions!$B$7,"Bull","Bear"),IF(RAND()&lt;Assumptions!$B$10,"Bear","Bull"))</f>
        <v>Bear</v>
      </c>
      <c r="E120" s="0" t="str">
        <f aca="true">IF(D120="Bull",IF(RAND()&lt;Assumptions!$B$7,"Bull","Bear"),IF(RAND()&lt;Assumptions!$B$10,"Bear","Bull"))</f>
        <v>Bear</v>
      </c>
      <c r="F120" s="0" t="str">
        <f aca="true">IF(E120="Bull",IF(RAND()&lt;Assumptions!$B$7,"Bull","Bear"),IF(RAND()&lt;Assumptions!$B$10,"Bear","Bull"))</f>
        <v>Bull</v>
      </c>
      <c r="G120" s="0" t="str">
        <f aca="true">IF(F120="Bull",IF(RAND()&lt;Assumptions!$B$7,"Bull","Bear"),IF(RAND()&lt;Assumptions!$B$10,"Bear","Bull"))</f>
        <v>Bear</v>
      </c>
      <c r="H120" s="8" t="n">
        <f aca="true">IF(B120="Bull",NORMINV(RAND(),Assumptions!$B$5,Assumptions!$B$6),NORMINV(RAND(),Assumptions!$B$8,Assumptions!$B$9))</f>
        <v>0.1745726472294</v>
      </c>
      <c r="I120" s="8" t="n">
        <f aca="true">IF(C120="Bull",NORMINV(RAND(),Assumptions!$B$5,Assumptions!$B$6),NORMINV(RAND(),Assumptions!$B$8,Assumptions!$B$9))</f>
        <v>-0.083649412024508</v>
      </c>
      <c r="J120" s="8" t="n">
        <f aca="true">IF(D120="Bull",NORMINV(RAND(),Assumptions!$B$5,Assumptions!$B$6),NORMINV(RAND(),Assumptions!$B$8,Assumptions!$B$9))</f>
        <v>0.14622699762533</v>
      </c>
      <c r="K120" s="8" t="n">
        <f aca="true">IF(E120="Bull",NORMINV(RAND(),Assumptions!$B$5,Assumptions!$B$6),NORMINV(RAND(),Assumptions!$B$8,Assumptions!$B$9))</f>
        <v>-0.281904163369083</v>
      </c>
      <c r="L120" s="8" t="n">
        <f aca="true">IF(F120="Bull",NORMINV(RAND(),Assumptions!$B$5,Assumptions!$B$6),NORMINV(RAND(),Assumptions!$B$8,Assumptions!$B$9))</f>
        <v>0.103290056957645</v>
      </c>
      <c r="M120" s="8" t="n">
        <f aca="true">IF(G120="Bull",NORMINV(RAND(),Assumptions!$B$5,Assumptions!$B$6),NORMINV(RAND(),Assumptions!$B$8,Assumptions!$B$9))</f>
        <v>-0.157588752884386</v>
      </c>
      <c r="N120" s="8" t="n">
        <f aca="true">NORMINV(RAND(),Assumptions!$B$14,Assumptions!$B$15)</f>
        <v>0.0234313477148971</v>
      </c>
      <c r="O120" s="8" t="n">
        <f aca="true">NORMINV(RAND(),Assumptions!$B$14,Assumptions!$B$15)</f>
        <v>0.0447674858589654</v>
      </c>
      <c r="P120" s="8" t="n">
        <f aca="true">NORMINV(RAND(),Assumptions!$B$14,Assumptions!$B$15)</f>
        <v>0.0806778597727275</v>
      </c>
      <c r="Q120" s="8" t="n">
        <f aca="true">NORMINV(RAND(),Assumptions!$B$14,Assumptions!$B$15)</f>
        <v>0.064351181908546</v>
      </c>
      <c r="R120" s="8" t="n">
        <f aca="true">NORMINV(RAND(),Assumptions!$B$14,Assumptions!$B$15)</f>
        <v>0.0151358638648981</v>
      </c>
      <c r="S120" s="8" t="n">
        <f aca="true">NORMINV(RAND(),Assumptions!$B$14,Assumptions!$B$15)</f>
        <v>0.0818613346579238</v>
      </c>
      <c r="T120" s="8" t="n">
        <f aca="false">Assumptions!$B$19*H120+(1-Assumptions!$B$19)*N120</f>
        <v>0.1745726472294</v>
      </c>
      <c r="U120" s="8" t="n">
        <f aca="false">Assumptions!$B$20*I120+(1-Assumptions!$B$20)*O120</f>
        <v>-0.083649412024508</v>
      </c>
      <c r="V120" s="8" t="n">
        <f aca="false">Assumptions!$B$21*J120+(1-Assumptions!$B$21)*P120</f>
        <v>0.14622699762533</v>
      </c>
      <c r="W120" s="8" t="n">
        <f aca="false">Assumptions!$B$22*K120+(1-Assumptions!$B$22)*Q120</f>
        <v>-0.281904163369083</v>
      </c>
      <c r="X120" s="8" t="n">
        <f aca="false">Assumptions!$B$23*L120+(1-Assumptions!$B$23)*R120</f>
        <v>0.0856592183390957</v>
      </c>
      <c r="Y120" s="8" t="n">
        <f aca="false">Assumptions!$B$24*M120+(1-Assumptions!$B$24)*S120</f>
        <v>-0.0618087178674621</v>
      </c>
      <c r="Z120" s="6" t="n">
        <f aca="false">Assumptions!$B$27*(1+T120)</f>
        <v>352371.79416882</v>
      </c>
      <c r="AA120" s="6" t="n">
        <f aca="false">(Z120+Assumptions!$B$28)*(1+U120)</f>
        <v>460348.688968901</v>
      </c>
      <c r="AB120" s="6" t="n">
        <f aca="false">AA120*(1+V120)</f>
        <v>527664.095617581</v>
      </c>
      <c r="AC120" s="6" t="n">
        <f aca="false">AB120*(1+W120)</f>
        <v>378913.390202603</v>
      </c>
      <c r="AD120" s="6" t="n">
        <f aca="false">AC120*(1+X120)</f>
        <v>411370.815025574</v>
      </c>
      <c r="AE120" s="6" t="n">
        <f aca="false">AD120*(1+Y120)</f>
        <v>385944.512380751</v>
      </c>
      <c r="AF120" s="6" t="n">
        <f aca="false">Z120</f>
        <v>352371.79416882</v>
      </c>
      <c r="AG120" s="6" t="n">
        <f aca="false">MAX(AF120,AA120)</f>
        <v>460348.688968901</v>
      </c>
      <c r="AH120" s="6" t="n">
        <f aca="false">MAX(AG120,AB120)</f>
        <v>527664.095617581</v>
      </c>
      <c r="AI120" s="6" t="n">
        <f aca="false">MAX(AH120,AC120)</f>
        <v>527664.095617581</v>
      </c>
      <c r="AJ120" s="6" t="n">
        <f aca="false">MAX(AI120,AD120)</f>
        <v>527664.095617581</v>
      </c>
      <c r="AK120" s="6" t="n">
        <f aca="false">MAX(AJ120,AE120)</f>
        <v>527664.095617581</v>
      </c>
      <c r="AL120" s="8" t="n">
        <f aca="false">MIN(Z120/AF120-1,AA120/AG120-1,AB120/AH120-1,AC120/AI120-1,AD120/AJ120-1,AE120/AK120-1)</f>
        <v>-0.281904163369083</v>
      </c>
      <c r="AM120" s="6" t="n">
        <f aca="false">AE120-Assumptions!$B$35</f>
        <v>-55319.4842817527</v>
      </c>
    </row>
    <row r="121" customFormat="false" ht="15" hidden="false" customHeight="false" outlineLevel="0" collapsed="false">
      <c r="A121" s="0" t="n">
        <f aca="false">ROW()-1</f>
        <v>120</v>
      </c>
      <c r="B121" s="0" t="str">
        <f aca="true">IF(RAND()&lt;Assumptions!$B$11,"Bull","Bear")</f>
        <v>Bear</v>
      </c>
      <c r="C121" s="0" t="str">
        <f aca="true">IF(B121="Bull",IF(RAND()&lt;Assumptions!$B$7,"Bull","Bear"),IF(RAND()&lt;Assumptions!$B$10,"Bear","Bull"))</f>
        <v>Bear</v>
      </c>
      <c r="D121" s="0" t="str">
        <f aca="true">IF(C121="Bull",IF(RAND()&lt;Assumptions!$B$7,"Bull","Bear"),IF(RAND()&lt;Assumptions!$B$10,"Bear","Bull"))</f>
        <v>Bear</v>
      </c>
      <c r="E121" s="0" t="str">
        <f aca="true">IF(D121="Bull",IF(RAND()&lt;Assumptions!$B$7,"Bull","Bear"),IF(RAND()&lt;Assumptions!$B$10,"Bear","Bull"))</f>
        <v>Bear</v>
      </c>
      <c r="F121" s="0" t="str">
        <f aca="true">IF(E121="Bull",IF(RAND()&lt;Assumptions!$B$7,"Bull","Bear"),IF(RAND()&lt;Assumptions!$B$10,"Bear","Bull"))</f>
        <v>Bear</v>
      </c>
      <c r="G121" s="0" t="str">
        <f aca="true">IF(F121="Bull",IF(RAND()&lt;Assumptions!$B$7,"Bull","Bear"),IF(RAND()&lt;Assumptions!$B$10,"Bear","Bull"))</f>
        <v>Bull</v>
      </c>
      <c r="H121" s="8" t="n">
        <f aca="true">IF(B121="Bull",NORMINV(RAND(),Assumptions!$B$5,Assumptions!$B$6),NORMINV(RAND(),Assumptions!$B$8,Assumptions!$B$9))</f>
        <v>-0.270201255106672</v>
      </c>
      <c r="I121" s="8" t="n">
        <f aca="true">IF(C121="Bull",NORMINV(RAND(),Assumptions!$B$5,Assumptions!$B$6),NORMINV(RAND(),Assumptions!$B$8,Assumptions!$B$9))</f>
        <v>-0.10143636008564</v>
      </c>
      <c r="J121" s="8" t="n">
        <f aca="true">IF(D121="Bull",NORMINV(RAND(),Assumptions!$B$5,Assumptions!$B$6),NORMINV(RAND(),Assumptions!$B$8,Assumptions!$B$9))</f>
        <v>-0.0378759545905047</v>
      </c>
      <c r="K121" s="8" t="n">
        <f aca="true">IF(E121="Bull",NORMINV(RAND(),Assumptions!$B$5,Assumptions!$B$6),NORMINV(RAND(),Assumptions!$B$8,Assumptions!$B$9))</f>
        <v>-0.438647635734783</v>
      </c>
      <c r="L121" s="8" t="n">
        <f aca="true">IF(F121="Bull",NORMINV(RAND(),Assumptions!$B$5,Assumptions!$B$6),NORMINV(RAND(),Assumptions!$B$8,Assumptions!$B$9))</f>
        <v>0.0410342070321338</v>
      </c>
      <c r="M121" s="8" t="n">
        <f aca="true">IF(G121="Bull",NORMINV(RAND(),Assumptions!$B$5,Assumptions!$B$6),NORMINV(RAND(),Assumptions!$B$8,Assumptions!$B$9))</f>
        <v>0.0689385077194756</v>
      </c>
      <c r="N121" s="8" t="n">
        <f aca="true">NORMINV(RAND(),Assumptions!$B$14,Assumptions!$B$15)</f>
        <v>0.051832446460503</v>
      </c>
      <c r="O121" s="8" t="n">
        <f aca="true">NORMINV(RAND(),Assumptions!$B$14,Assumptions!$B$15)</f>
        <v>0.00339974186445222</v>
      </c>
      <c r="P121" s="8" t="n">
        <f aca="true">NORMINV(RAND(),Assumptions!$B$14,Assumptions!$B$15)</f>
        <v>0.0316655570353779</v>
      </c>
      <c r="Q121" s="8" t="n">
        <f aca="true">NORMINV(RAND(),Assumptions!$B$14,Assumptions!$B$15)</f>
        <v>0.0659518705818783</v>
      </c>
      <c r="R121" s="8" t="n">
        <f aca="true">NORMINV(RAND(),Assumptions!$B$14,Assumptions!$B$15)</f>
        <v>0.0564435814369537</v>
      </c>
      <c r="S121" s="8" t="n">
        <f aca="true">NORMINV(RAND(),Assumptions!$B$14,Assumptions!$B$15)</f>
        <v>0.0587069268940007</v>
      </c>
      <c r="T121" s="8" t="n">
        <f aca="false">Assumptions!$B$19*H121+(1-Assumptions!$B$19)*N121</f>
        <v>-0.270201255106672</v>
      </c>
      <c r="U121" s="8" t="n">
        <f aca="false">Assumptions!$B$20*I121+(1-Assumptions!$B$20)*O121</f>
        <v>-0.10143636008564</v>
      </c>
      <c r="V121" s="8" t="n">
        <f aca="false">Assumptions!$B$21*J121+(1-Assumptions!$B$21)*P121</f>
        <v>-0.0378759545905047</v>
      </c>
      <c r="W121" s="8" t="n">
        <f aca="false">Assumptions!$B$22*K121+(1-Assumptions!$B$22)*Q121</f>
        <v>-0.438647635734783</v>
      </c>
      <c r="X121" s="8" t="n">
        <f aca="false">Assumptions!$B$23*L121+(1-Assumptions!$B$23)*R121</f>
        <v>0.0441160819130978</v>
      </c>
      <c r="Y121" s="8" t="n">
        <f aca="false">Assumptions!$B$24*M121+(1-Assumptions!$B$24)*S121</f>
        <v>0.0648458753892856</v>
      </c>
      <c r="Z121" s="6" t="n">
        <f aca="false">Assumptions!$B$27*(1+T121)</f>
        <v>218939.623467998</v>
      </c>
      <c r="AA121" s="6" t="n">
        <f aca="false">(Z121+Assumptions!$B$28)*(1+U121)</f>
        <v>331515.730972038</v>
      </c>
      <c r="AB121" s="6" t="n">
        <f aca="false">AA121*(1+V121)</f>
        <v>318959.256199703</v>
      </c>
      <c r="AC121" s="6" t="n">
        <f aca="false">AB121*(1+W121)</f>
        <v>179048.532571978</v>
      </c>
      <c r="AD121" s="6" t="n">
        <f aca="false">AC121*(1+X121)</f>
        <v>186947.452301344</v>
      </c>
      <c r="AE121" s="6" t="n">
        <f aca="false">AD121*(1+Y121)</f>
        <v>199070.223497621</v>
      </c>
      <c r="AF121" s="6" t="n">
        <f aca="false">Z121</f>
        <v>218939.623467998</v>
      </c>
      <c r="AG121" s="6" t="n">
        <f aca="false">MAX(AF121,AA121)</f>
        <v>331515.730972038</v>
      </c>
      <c r="AH121" s="6" t="n">
        <f aca="false">MAX(AG121,AB121)</f>
        <v>331515.730972038</v>
      </c>
      <c r="AI121" s="6" t="n">
        <f aca="false">MAX(AH121,AC121)</f>
        <v>331515.730972038</v>
      </c>
      <c r="AJ121" s="6" t="n">
        <f aca="false">MAX(AI121,AD121)</f>
        <v>331515.730972038</v>
      </c>
      <c r="AK121" s="6" t="n">
        <f aca="false">MAX(AJ121,AE121)</f>
        <v>331515.730972038</v>
      </c>
      <c r="AL121" s="8" t="n">
        <f aca="false">MIN(Z121/AF121-1,AA121/AG121-1,AB121/AH121-1,AC121/AI121-1,AD121/AJ121-1,AE121/AK121-1)</f>
        <v>-0.459909392392965</v>
      </c>
      <c r="AM121" s="6" t="n">
        <f aca="false">AE121-Assumptions!$B$35</f>
        <v>-242193.773164883</v>
      </c>
    </row>
    <row r="122" customFormat="false" ht="15" hidden="false" customHeight="false" outlineLevel="0" collapsed="false">
      <c r="A122" s="0" t="n">
        <f aca="false">ROW()-1</f>
        <v>121</v>
      </c>
      <c r="B122" s="0" t="str">
        <f aca="true">IF(RAND()&lt;Assumptions!$B$11,"Bull","Bear")</f>
        <v>Bear</v>
      </c>
      <c r="C122" s="0" t="str">
        <f aca="true">IF(B122="Bull",IF(RAND()&lt;Assumptions!$B$7,"Bull","Bear"),IF(RAND()&lt;Assumptions!$B$10,"Bear","Bull"))</f>
        <v>Bear</v>
      </c>
      <c r="D122" s="0" t="str">
        <f aca="true">IF(C122="Bull",IF(RAND()&lt;Assumptions!$B$7,"Bull","Bear"),IF(RAND()&lt;Assumptions!$B$10,"Bear","Bull"))</f>
        <v>Bear</v>
      </c>
      <c r="E122" s="0" t="str">
        <f aca="true">IF(D122="Bull",IF(RAND()&lt;Assumptions!$B$7,"Bull","Bear"),IF(RAND()&lt;Assumptions!$B$10,"Bear","Bull"))</f>
        <v>Bear</v>
      </c>
      <c r="F122" s="0" t="str">
        <f aca="true">IF(E122="Bull",IF(RAND()&lt;Assumptions!$B$7,"Bull","Bear"),IF(RAND()&lt;Assumptions!$B$10,"Bear","Bull"))</f>
        <v>Bull</v>
      </c>
      <c r="G122" s="0" t="str">
        <f aca="true">IF(F122="Bull",IF(RAND()&lt;Assumptions!$B$7,"Bull","Bear"),IF(RAND()&lt;Assumptions!$B$10,"Bear","Bull"))</f>
        <v>Bull</v>
      </c>
      <c r="H122" s="8" t="n">
        <f aca="true">IF(B122="Bull",NORMINV(RAND(),Assumptions!$B$5,Assumptions!$B$6),NORMINV(RAND(),Assumptions!$B$8,Assumptions!$B$9))</f>
        <v>-0.182919720527805</v>
      </c>
      <c r="I122" s="8" t="n">
        <f aca="true">IF(C122="Bull",NORMINV(RAND(),Assumptions!$B$5,Assumptions!$B$6),NORMINV(RAND(),Assumptions!$B$8,Assumptions!$B$9))</f>
        <v>-0.242594686872688</v>
      </c>
      <c r="J122" s="8" t="n">
        <f aca="true">IF(D122="Bull",NORMINV(RAND(),Assumptions!$B$5,Assumptions!$B$6),NORMINV(RAND(),Assumptions!$B$8,Assumptions!$B$9))</f>
        <v>-0.196592965301985</v>
      </c>
      <c r="K122" s="8" t="n">
        <f aca="true">IF(E122="Bull",NORMINV(RAND(),Assumptions!$B$5,Assumptions!$B$6),NORMINV(RAND(),Assumptions!$B$8,Assumptions!$B$9))</f>
        <v>-0.176552792009119</v>
      </c>
      <c r="L122" s="8" t="n">
        <f aca="true">IF(F122="Bull",NORMINV(RAND(),Assumptions!$B$5,Assumptions!$B$6),NORMINV(RAND(),Assumptions!$B$8,Assumptions!$B$9))</f>
        <v>0.17626993780511</v>
      </c>
      <c r="M122" s="8" t="n">
        <f aca="true">IF(G122="Bull",NORMINV(RAND(),Assumptions!$B$5,Assumptions!$B$6),NORMINV(RAND(),Assumptions!$B$8,Assumptions!$B$9))</f>
        <v>0.200498111069219</v>
      </c>
      <c r="N122" s="8" t="n">
        <f aca="true">NORMINV(RAND(),Assumptions!$B$14,Assumptions!$B$15)</f>
        <v>0.0824982519328176</v>
      </c>
      <c r="O122" s="8" t="n">
        <f aca="true">NORMINV(RAND(),Assumptions!$B$14,Assumptions!$B$15)</f>
        <v>0.0671903569288066</v>
      </c>
      <c r="P122" s="8" t="n">
        <f aca="true">NORMINV(RAND(),Assumptions!$B$14,Assumptions!$B$15)</f>
        <v>0.0308023868211432</v>
      </c>
      <c r="Q122" s="8" t="n">
        <f aca="true">NORMINV(RAND(),Assumptions!$B$14,Assumptions!$B$15)</f>
        <v>0.0240411458765139</v>
      </c>
      <c r="R122" s="8" t="n">
        <f aca="true">NORMINV(RAND(),Assumptions!$B$14,Assumptions!$B$15)</f>
        <v>0.0546989093998566</v>
      </c>
      <c r="S122" s="8" t="n">
        <f aca="true">NORMINV(RAND(),Assumptions!$B$14,Assumptions!$B$15)</f>
        <v>0.0683976194410903</v>
      </c>
      <c r="T122" s="8" t="n">
        <f aca="false">Assumptions!$B$19*H122+(1-Assumptions!$B$19)*N122</f>
        <v>-0.182919720527805</v>
      </c>
      <c r="U122" s="8" t="n">
        <f aca="false">Assumptions!$B$20*I122+(1-Assumptions!$B$20)*O122</f>
        <v>-0.242594686872688</v>
      </c>
      <c r="V122" s="8" t="n">
        <f aca="false">Assumptions!$B$21*J122+(1-Assumptions!$B$21)*P122</f>
        <v>-0.196592965301985</v>
      </c>
      <c r="W122" s="8" t="n">
        <f aca="false">Assumptions!$B$22*K122+(1-Assumptions!$B$22)*Q122</f>
        <v>-0.176552792009119</v>
      </c>
      <c r="X122" s="8" t="n">
        <f aca="false">Assumptions!$B$23*L122+(1-Assumptions!$B$23)*R122</f>
        <v>0.151955732124059</v>
      </c>
      <c r="Y122" s="8" t="n">
        <f aca="false">Assumptions!$B$24*M122+(1-Assumptions!$B$24)*S122</f>
        <v>0.147657914417968</v>
      </c>
      <c r="Z122" s="6" t="n">
        <f aca="false">Assumptions!$B$27*(1+T122)</f>
        <v>245124.083841659</v>
      </c>
      <c r="AA122" s="6" t="n">
        <f aca="false">(Z122+Assumptions!$B$28)*(1+U122)</f>
        <v>299269.080446234</v>
      </c>
      <c r="AB122" s="6" t="n">
        <f aca="false">AA122*(1+V122)</f>
        <v>240434.88449811</v>
      </c>
      <c r="AC122" s="6" t="n">
        <f aca="false">AB122*(1+W122)</f>
        <v>197985.434343579</v>
      </c>
      <c r="AD122" s="6" t="n">
        <f aca="false">AC122*(1+X122)</f>
        <v>228070.455969157</v>
      </c>
      <c r="AE122" s="6" t="n">
        <f aca="false">AD122*(1+Y122)</f>
        <v>261746.863837918</v>
      </c>
      <c r="AF122" s="6" t="n">
        <f aca="false">Z122</f>
        <v>245124.083841659</v>
      </c>
      <c r="AG122" s="6" t="n">
        <f aca="false">MAX(AF122,AA122)</f>
        <v>299269.080446234</v>
      </c>
      <c r="AH122" s="6" t="n">
        <f aca="false">MAX(AG122,AB122)</f>
        <v>299269.080446234</v>
      </c>
      <c r="AI122" s="6" t="n">
        <f aca="false">MAX(AH122,AC122)</f>
        <v>299269.080446234</v>
      </c>
      <c r="AJ122" s="6" t="n">
        <f aca="false">MAX(AI122,AD122)</f>
        <v>299269.080446234</v>
      </c>
      <c r="AK122" s="6" t="n">
        <f aca="false">MAX(AJ122,AE122)</f>
        <v>299269.080446234</v>
      </c>
      <c r="AL122" s="8" t="n">
        <f aca="false">MIN(Z122/AF122-1,AA122/AG122-1,AB122/AH122-1,AC122/AI122-1,AD122/AJ122-1,AE122/AK122-1)</f>
        <v>-0.338436720397687</v>
      </c>
      <c r="AM122" s="6" t="n">
        <f aca="false">AE122-Assumptions!$B$35</f>
        <v>-179517.132824586</v>
      </c>
    </row>
    <row r="123" customFormat="false" ht="15" hidden="false" customHeight="false" outlineLevel="0" collapsed="false">
      <c r="A123" s="0" t="n">
        <f aca="false">ROW()-1</f>
        <v>122</v>
      </c>
      <c r="B123" s="0" t="str">
        <f aca="true">IF(RAND()&lt;Assumptions!$B$11,"Bull","Bear")</f>
        <v>Bear</v>
      </c>
      <c r="C123" s="0" t="str">
        <f aca="true">IF(B123="Bull",IF(RAND()&lt;Assumptions!$B$7,"Bull","Bear"),IF(RAND()&lt;Assumptions!$B$10,"Bear","Bull"))</f>
        <v>Bear</v>
      </c>
      <c r="D123" s="0" t="str">
        <f aca="true">IF(C123="Bull",IF(RAND()&lt;Assumptions!$B$7,"Bull","Bear"),IF(RAND()&lt;Assumptions!$B$10,"Bear","Bull"))</f>
        <v>Bull</v>
      </c>
      <c r="E123" s="0" t="str">
        <f aca="true">IF(D123="Bull",IF(RAND()&lt;Assumptions!$B$7,"Bull","Bear"),IF(RAND()&lt;Assumptions!$B$10,"Bear","Bull"))</f>
        <v>Bull</v>
      </c>
      <c r="F123" s="0" t="str">
        <f aca="true">IF(E123="Bull",IF(RAND()&lt;Assumptions!$B$7,"Bull","Bear"),IF(RAND()&lt;Assumptions!$B$10,"Bear","Bull"))</f>
        <v>Bull</v>
      </c>
      <c r="G123" s="0" t="str">
        <f aca="true">IF(F123="Bull",IF(RAND()&lt;Assumptions!$B$7,"Bull","Bear"),IF(RAND()&lt;Assumptions!$B$10,"Bear","Bull"))</f>
        <v>Bull</v>
      </c>
      <c r="H123" s="8" t="n">
        <f aca="true">IF(B123="Bull",NORMINV(RAND(),Assumptions!$B$5,Assumptions!$B$6),NORMINV(RAND(),Assumptions!$B$8,Assumptions!$B$9))</f>
        <v>0.0728298184621541</v>
      </c>
      <c r="I123" s="8" t="n">
        <f aca="true">IF(C123="Bull",NORMINV(RAND(),Assumptions!$B$5,Assumptions!$B$6),NORMINV(RAND(),Assumptions!$B$8,Assumptions!$B$9))</f>
        <v>0.0847106619996352</v>
      </c>
      <c r="J123" s="8" t="n">
        <f aca="true">IF(D123="Bull",NORMINV(RAND(),Assumptions!$B$5,Assumptions!$B$6),NORMINV(RAND(),Assumptions!$B$8,Assumptions!$B$9))</f>
        <v>0.0812313078727146</v>
      </c>
      <c r="K123" s="8" t="n">
        <f aca="true">IF(E123="Bull",NORMINV(RAND(),Assumptions!$B$5,Assumptions!$B$6),NORMINV(RAND(),Assumptions!$B$8,Assumptions!$B$9))</f>
        <v>0.162741578562497</v>
      </c>
      <c r="L123" s="8" t="n">
        <f aca="true">IF(F123="Bull",NORMINV(RAND(),Assumptions!$B$5,Assumptions!$B$6),NORMINV(RAND(),Assumptions!$B$8,Assumptions!$B$9))</f>
        <v>0.223678574197944</v>
      </c>
      <c r="M123" s="8" t="n">
        <f aca="true">IF(G123="Bull",NORMINV(RAND(),Assumptions!$B$5,Assumptions!$B$6),NORMINV(RAND(),Assumptions!$B$8,Assumptions!$B$9))</f>
        <v>0.169163710693413</v>
      </c>
      <c r="N123" s="8" t="n">
        <f aca="true">NORMINV(RAND(),Assumptions!$B$14,Assumptions!$B$15)</f>
        <v>0.0336482372893024</v>
      </c>
      <c r="O123" s="8" t="n">
        <f aca="true">NORMINV(RAND(),Assumptions!$B$14,Assumptions!$B$15)</f>
        <v>0.0252227466051068</v>
      </c>
      <c r="P123" s="8" t="n">
        <f aca="true">NORMINV(RAND(),Assumptions!$B$14,Assumptions!$B$15)</f>
        <v>0.070359699539984</v>
      </c>
      <c r="Q123" s="8" t="n">
        <f aca="true">NORMINV(RAND(),Assumptions!$B$14,Assumptions!$B$15)</f>
        <v>0.0230840014676144</v>
      </c>
      <c r="R123" s="8" t="n">
        <f aca="true">NORMINV(RAND(),Assumptions!$B$14,Assumptions!$B$15)</f>
        <v>0.0340059451009172</v>
      </c>
      <c r="S123" s="8" t="n">
        <f aca="true">NORMINV(RAND(),Assumptions!$B$14,Assumptions!$B$15)</f>
        <v>0.0820442037082735</v>
      </c>
      <c r="T123" s="8" t="n">
        <f aca="false">Assumptions!$B$19*H123+(1-Assumptions!$B$19)*N123</f>
        <v>0.0728298184621541</v>
      </c>
      <c r="U123" s="8" t="n">
        <f aca="false">Assumptions!$B$20*I123+(1-Assumptions!$B$20)*O123</f>
        <v>0.0847106619996352</v>
      </c>
      <c r="V123" s="8" t="n">
        <f aca="false">Assumptions!$B$21*J123+(1-Assumptions!$B$21)*P123</f>
        <v>0.0812313078727146</v>
      </c>
      <c r="W123" s="8" t="n">
        <f aca="false">Assumptions!$B$22*K123+(1-Assumptions!$B$22)*Q123</f>
        <v>0.162741578562497</v>
      </c>
      <c r="X123" s="8" t="n">
        <f aca="false">Assumptions!$B$23*L123+(1-Assumptions!$B$23)*R123</f>
        <v>0.185744048378539</v>
      </c>
      <c r="Y123" s="8" t="n">
        <f aca="false">Assumptions!$B$24*M123+(1-Assumptions!$B$24)*S123</f>
        <v>0.134315907899357</v>
      </c>
      <c r="Z123" s="6" t="n">
        <f aca="false">Assumptions!$B$27*(1+T123)</f>
        <v>321848.945538646</v>
      </c>
      <c r="AA123" s="6" t="n">
        <f aca="false">(Z123+Assumptions!$B$28)*(1+U123)</f>
        <v>511819.582079055</v>
      </c>
      <c r="AB123" s="6" t="n">
        <f aca="false">AA123*(1+V123)</f>
        <v>553395.356126203</v>
      </c>
      <c r="AC123" s="6" t="n">
        <f aca="false">AB123*(1+W123)</f>
        <v>643455.789951336</v>
      </c>
      <c r="AD123" s="6" t="n">
        <f aca="false">AC123*(1+X123)</f>
        <v>762973.873329508</v>
      </c>
      <c r="AE123" s="6" t="n">
        <f aca="false">AD123*(1+Y123)</f>
        <v>865453.40182925</v>
      </c>
      <c r="AF123" s="6" t="n">
        <f aca="false">Z123</f>
        <v>321848.945538646</v>
      </c>
      <c r="AG123" s="6" t="n">
        <f aca="false">MAX(AF123,AA123)</f>
        <v>511819.582079055</v>
      </c>
      <c r="AH123" s="6" t="n">
        <f aca="false">MAX(AG123,AB123)</f>
        <v>553395.356126203</v>
      </c>
      <c r="AI123" s="6" t="n">
        <f aca="false">MAX(AH123,AC123)</f>
        <v>643455.789951336</v>
      </c>
      <c r="AJ123" s="6" t="n">
        <f aca="false">MAX(AI123,AD123)</f>
        <v>762973.873329508</v>
      </c>
      <c r="AK123" s="6" t="n">
        <f aca="false">MAX(AJ123,AE123)</f>
        <v>865453.40182925</v>
      </c>
      <c r="AL123" s="8" t="n">
        <f aca="false">MIN(Z123/AF123-1,AA123/AG123-1,AB123/AH123-1,AC123/AI123-1,AD123/AJ123-1,AE123/AK123-1)</f>
        <v>0</v>
      </c>
      <c r="AM123" s="6" t="n">
        <f aca="false">AE123-Assumptions!$B$35</f>
        <v>424189.405166746</v>
      </c>
    </row>
    <row r="124" customFormat="false" ht="15" hidden="false" customHeight="false" outlineLevel="0" collapsed="false">
      <c r="A124" s="0" t="n">
        <f aca="false">ROW()-1</f>
        <v>123</v>
      </c>
      <c r="B124" s="0" t="str">
        <f aca="true">IF(RAND()&lt;Assumptions!$B$11,"Bull","Bear")</f>
        <v>Bull</v>
      </c>
      <c r="C124" s="0" t="str">
        <f aca="true">IF(B124="Bull",IF(RAND()&lt;Assumptions!$B$7,"Bull","Bear"),IF(RAND()&lt;Assumptions!$B$10,"Bear","Bull"))</f>
        <v>Bull</v>
      </c>
      <c r="D124" s="0" t="str">
        <f aca="true">IF(C124="Bull",IF(RAND()&lt;Assumptions!$B$7,"Bull","Bear"),IF(RAND()&lt;Assumptions!$B$10,"Bear","Bull"))</f>
        <v>Bull</v>
      </c>
      <c r="E124" s="0" t="str">
        <f aca="true">IF(D124="Bull",IF(RAND()&lt;Assumptions!$B$7,"Bull","Bear"),IF(RAND()&lt;Assumptions!$B$10,"Bear","Bull"))</f>
        <v>Bull</v>
      </c>
      <c r="F124" s="0" t="str">
        <f aca="true">IF(E124="Bull",IF(RAND()&lt;Assumptions!$B$7,"Bull","Bear"),IF(RAND()&lt;Assumptions!$B$10,"Bear","Bull"))</f>
        <v>Bull</v>
      </c>
      <c r="G124" s="0" t="str">
        <f aca="true">IF(F124="Bull",IF(RAND()&lt;Assumptions!$B$7,"Bull","Bear"),IF(RAND()&lt;Assumptions!$B$10,"Bear","Bull"))</f>
        <v>Bull</v>
      </c>
      <c r="H124" s="8" t="n">
        <f aca="true">IF(B124="Bull",NORMINV(RAND(),Assumptions!$B$5,Assumptions!$B$6),NORMINV(RAND(),Assumptions!$B$8,Assumptions!$B$9))</f>
        <v>0.40451040549088</v>
      </c>
      <c r="I124" s="8" t="n">
        <f aca="true">IF(C124="Bull",NORMINV(RAND(),Assumptions!$B$5,Assumptions!$B$6),NORMINV(RAND(),Assumptions!$B$8,Assumptions!$B$9))</f>
        <v>0.172196329700397</v>
      </c>
      <c r="J124" s="8" t="n">
        <f aca="true">IF(D124="Bull",NORMINV(RAND(),Assumptions!$B$5,Assumptions!$B$6),NORMINV(RAND(),Assumptions!$B$8,Assumptions!$B$9))</f>
        <v>0.291393523426637</v>
      </c>
      <c r="K124" s="8" t="n">
        <f aca="true">IF(E124="Bull",NORMINV(RAND(),Assumptions!$B$5,Assumptions!$B$6),NORMINV(RAND(),Assumptions!$B$8,Assumptions!$B$9))</f>
        <v>0.13206288338714</v>
      </c>
      <c r="L124" s="8" t="n">
        <f aca="true">IF(F124="Bull",NORMINV(RAND(),Assumptions!$B$5,Assumptions!$B$6),NORMINV(RAND(),Assumptions!$B$8,Assumptions!$B$9))</f>
        <v>0.119798214029872</v>
      </c>
      <c r="M124" s="8" t="n">
        <f aca="true">IF(G124="Bull",NORMINV(RAND(),Assumptions!$B$5,Assumptions!$B$6),NORMINV(RAND(),Assumptions!$B$8,Assumptions!$B$9))</f>
        <v>0.0564118917109528</v>
      </c>
      <c r="N124" s="8" t="n">
        <f aca="true">NORMINV(RAND(),Assumptions!$B$14,Assumptions!$B$15)</f>
        <v>0.0964296932824373</v>
      </c>
      <c r="O124" s="8" t="n">
        <f aca="true">NORMINV(RAND(),Assumptions!$B$14,Assumptions!$B$15)</f>
        <v>0.0235041421505917</v>
      </c>
      <c r="P124" s="8" t="n">
        <f aca="true">NORMINV(RAND(),Assumptions!$B$14,Assumptions!$B$15)</f>
        <v>0.0308778814771188</v>
      </c>
      <c r="Q124" s="8" t="n">
        <f aca="true">NORMINV(RAND(),Assumptions!$B$14,Assumptions!$B$15)</f>
        <v>0.0244247129900755</v>
      </c>
      <c r="R124" s="8" t="n">
        <f aca="true">NORMINV(RAND(),Assumptions!$B$14,Assumptions!$B$15)</f>
        <v>0.0529452963392785</v>
      </c>
      <c r="S124" s="8" t="n">
        <f aca="true">NORMINV(RAND(),Assumptions!$B$14,Assumptions!$B$15)</f>
        <v>0.028419789468809</v>
      </c>
      <c r="T124" s="8" t="n">
        <f aca="false">Assumptions!$B$19*H124+(1-Assumptions!$B$19)*N124</f>
        <v>0.40451040549088</v>
      </c>
      <c r="U124" s="8" t="n">
        <f aca="false">Assumptions!$B$20*I124+(1-Assumptions!$B$20)*O124</f>
        <v>0.172196329700397</v>
      </c>
      <c r="V124" s="8" t="n">
        <f aca="false">Assumptions!$B$21*J124+(1-Assumptions!$B$21)*P124</f>
        <v>0.291393523426637</v>
      </c>
      <c r="W124" s="8" t="n">
        <f aca="false">Assumptions!$B$22*K124+(1-Assumptions!$B$22)*Q124</f>
        <v>0.13206288338714</v>
      </c>
      <c r="X124" s="8" t="n">
        <f aca="false">Assumptions!$B$23*L124+(1-Assumptions!$B$23)*R124</f>
        <v>0.106427630491754</v>
      </c>
      <c r="Y124" s="8" t="n">
        <f aca="false">Assumptions!$B$24*M124+(1-Assumptions!$B$24)*S124</f>
        <v>0.0452150508140953</v>
      </c>
      <c r="Z124" s="6" t="n">
        <f aca="false">Assumptions!$B$27*(1+T124)</f>
        <v>421353.121647264</v>
      </c>
      <c r="AA124" s="6" t="n">
        <f aca="false">(Z124+Assumptions!$B$28)*(1+U124)</f>
        <v>669738.032157788</v>
      </c>
      <c r="AB124" s="6" t="n">
        <f aca="false">AA124*(1+V124)</f>
        <v>864895.357121067</v>
      </c>
      <c r="AC124" s="6" t="n">
        <f aca="false">AB124*(1+W124)</f>
        <v>979115.931810625</v>
      </c>
      <c r="AD124" s="6" t="n">
        <f aca="false">AC124*(1+X124)</f>
        <v>1083320.92040996</v>
      </c>
      <c r="AE124" s="6" t="n">
        <f aca="false">AD124*(1+Y124)</f>
        <v>1132303.33087426</v>
      </c>
      <c r="AF124" s="6" t="n">
        <f aca="false">Z124</f>
        <v>421353.121647264</v>
      </c>
      <c r="AG124" s="6" t="n">
        <f aca="false">MAX(AF124,AA124)</f>
        <v>669738.032157788</v>
      </c>
      <c r="AH124" s="6" t="n">
        <f aca="false">MAX(AG124,AB124)</f>
        <v>864895.357121067</v>
      </c>
      <c r="AI124" s="6" t="n">
        <f aca="false">MAX(AH124,AC124)</f>
        <v>979115.931810625</v>
      </c>
      <c r="AJ124" s="6" t="n">
        <f aca="false">MAX(AI124,AD124)</f>
        <v>1083320.92040996</v>
      </c>
      <c r="AK124" s="6" t="n">
        <f aca="false">MAX(AJ124,AE124)</f>
        <v>1132303.33087426</v>
      </c>
      <c r="AL124" s="8" t="n">
        <f aca="false">MIN(Z124/AF124-1,AA124/AG124-1,AB124/AH124-1,AC124/AI124-1,AD124/AJ124-1,AE124/AK124-1)</f>
        <v>0</v>
      </c>
      <c r="AM124" s="6" t="n">
        <f aca="false">AE124-Assumptions!$B$35</f>
        <v>691039.334211761</v>
      </c>
    </row>
    <row r="125" customFormat="false" ht="15" hidden="false" customHeight="false" outlineLevel="0" collapsed="false">
      <c r="A125" s="0" t="n">
        <f aca="false">ROW()-1</f>
        <v>124</v>
      </c>
      <c r="B125" s="0" t="str">
        <f aca="true">IF(RAND()&lt;Assumptions!$B$11,"Bull","Bear")</f>
        <v>Bull</v>
      </c>
      <c r="C125" s="0" t="str">
        <f aca="true">IF(B125="Bull",IF(RAND()&lt;Assumptions!$B$7,"Bull","Bear"),IF(RAND()&lt;Assumptions!$B$10,"Bear","Bull"))</f>
        <v>Bull</v>
      </c>
      <c r="D125" s="0" t="str">
        <f aca="true">IF(C125="Bull",IF(RAND()&lt;Assumptions!$B$7,"Bull","Bear"),IF(RAND()&lt;Assumptions!$B$10,"Bear","Bull"))</f>
        <v>Bull</v>
      </c>
      <c r="E125" s="0" t="str">
        <f aca="true">IF(D125="Bull",IF(RAND()&lt;Assumptions!$B$7,"Bull","Bear"),IF(RAND()&lt;Assumptions!$B$10,"Bear","Bull"))</f>
        <v>Bull</v>
      </c>
      <c r="F125" s="0" t="str">
        <f aca="true">IF(E125="Bull",IF(RAND()&lt;Assumptions!$B$7,"Bull","Bear"),IF(RAND()&lt;Assumptions!$B$10,"Bear","Bull"))</f>
        <v>Bear</v>
      </c>
      <c r="G125" s="0" t="str">
        <f aca="true">IF(F125="Bull",IF(RAND()&lt;Assumptions!$B$7,"Bull","Bear"),IF(RAND()&lt;Assumptions!$B$10,"Bear","Bull"))</f>
        <v>Bull</v>
      </c>
      <c r="H125" s="8" t="n">
        <f aca="true">IF(B125="Bull",NORMINV(RAND(),Assumptions!$B$5,Assumptions!$B$6),NORMINV(RAND(),Assumptions!$B$8,Assumptions!$B$9))</f>
        <v>-0.0310794745120943</v>
      </c>
      <c r="I125" s="8" t="n">
        <f aca="true">IF(C125="Bull",NORMINV(RAND(),Assumptions!$B$5,Assumptions!$B$6),NORMINV(RAND(),Assumptions!$B$8,Assumptions!$B$9))</f>
        <v>0.236806302658504</v>
      </c>
      <c r="J125" s="8" t="n">
        <f aca="true">IF(D125="Bull",NORMINV(RAND(),Assumptions!$B$5,Assumptions!$B$6),NORMINV(RAND(),Assumptions!$B$8,Assumptions!$B$9))</f>
        <v>0.174249915599025</v>
      </c>
      <c r="K125" s="8" t="n">
        <f aca="true">IF(E125="Bull",NORMINV(RAND(),Assumptions!$B$5,Assumptions!$B$6),NORMINV(RAND(),Assumptions!$B$8,Assumptions!$B$9))</f>
        <v>0.149876985319556</v>
      </c>
      <c r="L125" s="8" t="n">
        <f aca="true">IF(F125="Bull",NORMINV(RAND(),Assumptions!$B$5,Assumptions!$B$6),NORMINV(RAND(),Assumptions!$B$8,Assumptions!$B$9))</f>
        <v>-0.196454105635201</v>
      </c>
      <c r="M125" s="8" t="n">
        <f aca="true">IF(G125="Bull",NORMINV(RAND(),Assumptions!$B$5,Assumptions!$B$6),NORMINV(RAND(),Assumptions!$B$8,Assumptions!$B$9))</f>
        <v>0.181113047456515</v>
      </c>
      <c r="N125" s="8" t="n">
        <f aca="true">NORMINV(RAND(),Assumptions!$B$14,Assumptions!$B$15)</f>
        <v>0.0339668401154359</v>
      </c>
      <c r="O125" s="8" t="n">
        <f aca="true">NORMINV(RAND(),Assumptions!$B$14,Assumptions!$B$15)</f>
        <v>0.0194685366832125</v>
      </c>
      <c r="P125" s="8" t="n">
        <f aca="true">NORMINV(RAND(),Assumptions!$B$14,Assumptions!$B$15)</f>
        <v>0.00731221095488653</v>
      </c>
      <c r="Q125" s="8" t="n">
        <f aca="true">NORMINV(RAND(),Assumptions!$B$14,Assumptions!$B$15)</f>
        <v>-0.01384677798323</v>
      </c>
      <c r="R125" s="8" t="n">
        <f aca="true">NORMINV(RAND(),Assumptions!$B$14,Assumptions!$B$15)</f>
        <v>0.0411808839082838</v>
      </c>
      <c r="S125" s="8" t="n">
        <f aca="true">NORMINV(RAND(),Assumptions!$B$14,Assumptions!$B$15)</f>
        <v>0.0762150563894009</v>
      </c>
      <c r="T125" s="8" t="n">
        <f aca="false">Assumptions!$B$19*H125+(1-Assumptions!$B$19)*N125</f>
        <v>-0.0310794745120943</v>
      </c>
      <c r="U125" s="8" t="n">
        <f aca="false">Assumptions!$B$20*I125+(1-Assumptions!$B$20)*O125</f>
        <v>0.236806302658504</v>
      </c>
      <c r="V125" s="8" t="n">
        <f aca="false">Assumptions!$B$21*J125+(1-Assumptions!$B$21)*P125</f>
        <v>0.174249915599025</v>
      </c>
      <c r="W125" s="8" t="n">
        <f aca="false">Assumptions!$B$22*K125+(1-Assumptions!$B$22)*Q125</f>
        <v>0.149876985319556</v>
      </c>
      <c r="X125" s="8" t="n">
        <f aca="false">Assumptions!$B$23*L125+(1-Assumptions!$B$23)*R125</f>
        <v>-0.148927107726504</v>
      </c>
      <c r="Y125" s="8" t="n">
        <f aca="false">Assumptions!$B$24*M125+(1-Assumptions!$B$24)*S125</f>
        <v>0.139153851029669</v>
      </c>
      <c r="Z125" s="6" t="n">
        <f aca="false">Assumptions!$B$27*(1+T125)</f>
        <v>290676.157646372</v>
      </c>
      <c r="AA125" s="6" t="n">
        <f aca="false">(Z125+Assumptions!$B$28)*(1+U125)</f>
        <v>545031.049208365</v>
      </c>
      <c r="AB125" s="6" t="n">
        <f aca="false">AA125*(1+V125)</f>
        <v>640002.66353177</v>
      </c>
      <c r="AC125" s="6" t="n">
        <f aca="false">AB125*(1+W125)</f>
        <v>735924.333338398</v>
      </c>
      <c r="AD125" s="6" t="n">
        <f aca="false">AC125*(1+X125)</f>
        <v>626325.250868755</v>
      </c>
      <c r="AE125" s="6" t="n">
        <f aca="false">AD125*(1+Y125)</f>
        <v>713480.821524266</v>
      </c>
      <c r="AF125" s="6" t="n">
        <f aca="false">Z125</f>
        <v>290676.157646372</v>
      </c>
      <c r="AG125" s="6" t="n">
        <f aca="false">MAX(AF125,AA125)</f>
        <v>545031.049208365</v>
      </c>
      <c r="AH125" s="6" t="n">
        <f aca="false">MAX(AG125,AB125)</f>
        <v>640002.66353177</v>
      </c>
      <c r="AI125" s="6" t="n">
        <f aca="false">MAX(AH125,AC125)</f>
        <v>735924.333338398</v>
      </c>
      <c r="AJ125" s="6" t="n">
        <f aca="false">MAX(AI125,AD125)</f>
        <v>735924.333338398</v>
      </c>
      <c r="AK125" s="6" t="n">
        <f aca="false">MAX(AJ125,AE125)</f>
        <v>735924.333338398</v>
      </c>
      <c r="AL125" s="8" t="n">
        <f aca="false">MIN(Z125/AF125-1,AA125/AG125-1,AB125/AH125-1,AC125/AI125-1,AD125/AJ125-1,AE125/AK125-1)</f>
        <v>-0.148927107726504</v>
      </c>
      <c r="AM125" s="6" t="n">
        <f aca="false">AE125-Assumptions!$B$35</f>
        <v>272216.824861762</v>
      </c>
    </row>
    <row r="126" customFormat="false" ht="15" hidden="false" customHeight="false" outlineLevel="0" collapsed="false">
      <c r="A126" s="0" t="n">
        <f aca="false">ROW()-1</f>
        <v>125</v>
      </c>
      <c r="B126" s="0" t="str">
        <f aca="true">IF(RAND()&lt;Assumptions!$B$11,"Bull","Bear")</f>
        <v>Bull</v>
      </c>
      <c r="C126" s="0" t="str">
        <f aca="true">IF(B126="Bull",IF(RAND()&lt;Assumptions!$B$7,"Bull","Bear"),IF(RAND()&lt;Assumptions!$B$10,"Bear","Bull"))</f>
        <v>Bull</v>
      </c>
      <c r="D126" s="0" t="str">
        <f aca="true">IF(C126="Bull",IF(RAND()&lt;Assumptions!$B$7,"Bull","Bear"),IF(RAND()&lt;Assumptions!$B$10,"Bear","Bull"))</f>
        <v>Bull</v>
      </c>
      <c r="E126" s="0" t="str">
        <f aca="true">IF(D126="Bull",IF(RAND()&lt;Assumptions!$B$7,"Bull","Bear"),IF(RAND()&lt;Assumptions!$B$10,"Bear","Bull"))</f>
        <v>Bull</v>
      </c>
      <c r="F126" s="0" t="str">
        <f aca="true">IF(E126="Bull",IF(RAND()&lt;Assumptions!$B$7,"Bull","Bear"),IF(RAND()&lt;Assumptions!$B$10,"Bear","Bull"))</f>
        <v>Bull</v>
      </c>
      <c r="G126" s="0" t="str">
        <f aca="true">IF(F126="Bull",IF(RAND()&lt;Assumptions!$B$7,"Bull","Bear"),IF(RAND()&lt;Assumptions!$B$10,"Bear","Bull"))</f>
        <v>Bear</v>
      </c>
      <c r="H126" s="8" t="n">
        <f aca="true">IF(B126="Bull",NORMINV(RAND(),Assumptions!$B$5,Assumptions!$B$6),NORMINV(RAND(),Assumptions!$B$8,Assumptions!$B$9))</f>
        <v>0.241312951244477</v>
      </c>
      <c r="I126" s="8" t="n">
        <f aca="true">IF(C126="Bull",NORMINV(RAND(),Assumptions!$B$5,Assumptions!$B$6),NORMINV(RAND(),Assumptions!$B$8,Assumptions!$B$9))</f>
        <v>0.190279606830116</v>
      </c>
      <c r="J126" s="8" t="n">
        <f aca="true">IF(D126="Bull",NORMINV(RAND(),Assumptions!$B$5,Assumptions!$B$6),NORMINV(RAND(),Assumptions!$B$8,Assumptions!$B$9))</f>
        <v>0.304097275307849</v>
      </c>
      <c r="K126" s="8" t="n">
        <f aca="true">IF(E126="Bull",NORMINV(RAND(),Assumptions!$B$5,Assumptions!$B$6),NORMINV(RAND(),Assumptions!$B$8,Assumptions!$B$9))</f>
        <v>0.124611314573016</v>
      </c>
      <c r="L126" s="8" t="n">
        <f aca="true">IF(F126="Bull",NORMINV(RAND(),Assumptions!$B$5,Assumptions!$B$6),NORMINV(RAND(),Assumptions!$B$8,Assumptions!$B$9))</f>
        <v>-0.0228696240819262</v>
      </c>
      <c r="M126" s="8" t="n">
        <f aca="true">IF(G126="Bull",NORMINV(RAND(),Assumptions!$B$5,Assumptions!$B$6),NORMINV(RAND(),Assumptions!$B$8,Assumptions!$B$9))</f>
        <v>-0.162761075509472</v>
      </c>
      <c r="N126" s="8" t="n">
        <f aca="true">NORMINV(RAND(),Assumptions!$B$14,Assumptions!$B$15)</f>
        <v>0.0686783696703783</v>
      </c>
      <c r="O126" s="8" t="n">
        <f aca="true">NORMINV(RAND(),Assumptions!$B$14,Assumptions!$B$15)</f>
        <v>0.0541593292752757</v>
      </c>
      <c r="P126" s="8" t="n">
        <f aca="true">NORMINV(RAND(),Assumptions!$B$14,Assumptions!$B$15)</f>
        <v>0.0283393297960125</v>
      </c>
      <c r="Q126" s="8" t="n">
        <f aca="true">NORMINV(RAND(),Assumptions!$B$14,Assumptions!$B$15)</f>
        <v>0.0638155339979803</v>
      </c>
      <c r="R126" s="8" t="n">
        <f aca="true">NORMINV(RAND(),Assumptions!$B$14,Assumptions!$B$15)</f>
        <v>0.0490077668404616</v>
      </c>
      <c r="S126" s="8" t="n">
        <f aca="true">NORMINV(RAND(),Assumptions!$B$14,Assumptions!$B$15)</f>
        <v>0.0844430407895582</v>
      </c>
      <c r="T126" s="8" t="n">
        <f aca="false">Assumptions!$B$19*H126+(1-Assumptions!$B$19)*N126</f>
        <v>0.241312951244477</v>
      </c>
      <c r="U126" s="8" t="n">
        <f aca="false">Assumptions!$B$20*I126+(1-Assumptions!$B$20)*O126</f>
        <v>0.190279606830116</v>
      </c>
      <c r="V126" s="8" t="n">
        <f aca="false">Assumptions!$B$21*J126+(1-Assumptions!$B$21)*P126</f>
        <v>0.304097275307849</v>
      </c>
      <c r="W126" s="8" t="n">
        <f aca="false">Assumptions!$B$22*K126+(1-Assumptions!$B$22)*Q126</f>
        <v>0.124611314573016</v>
      </c>
      <c r="X126" s="8" t="n">
        <f aca="false">Assumptions!$B$23*L126+(1-Assumptions!$B$23)*R126</f>
        <v>-0.00849414589744865</v>
      </c>
      <c r="Y126" s="8" t="n">
        <f aca="false">Assumptions!$B$24*M126+(1-Assumptions!$B$24)*S126</f>
        <v>-0.0638794289898598</v>
      </c>
      <c r="Z126" s="6" t="n">
        <f aca="false">Assumptions!$B$27*(1+T126)</f>
        <v>372393.885373343</v>
      </c>
      <c r="AA126" s="6" t="n">
        <f aca="false">(Z126+Assumptions!$B$28)*(1+U126)</f>
        <v>621794.788492639</v>
      </c>
      <c r="AB126" s="6" t="n">
        <f aca="false">AA126*(1+V126)</f>
        <v>810880.889473871</v>
      </c>
      <c r="AC126" s="6" t="n">
        <f aca="false">AB126*(1+W126)</f>
        <v>911925.823073347</v>
      </c>
      <c r="AD126" s="6" t="n">
        <f aca="false">AC126*(1+X126)</f>
        <v>904179.792084511</v>
      </c>
      <c r="AE126" s="6" t="n">
        <f aca="false">AD126*(1+Y126)</f>
        <v>846421.303261983</v>
      </c>
      <c r="AF126" s="6" t="n">
        <f aca="false">Z126</f>
        <v>372393.885373343</v>
      </c>
      <c r="AG126" s="6" t="n">
        <f aca="false">MAX(AF126,AA126)</f>
        <v>621794.788492639</v>
      </c>
      <c r="AH126" s="6" t="n">
        <f aca="false">MAX(AG126,AB126)</f>
        <v>810880.889473871</v>
      </c>
      <c r="AI126" s="6" t="n">
        <f aca="false">MAX(AH126,AC126)</f>
        <v>911925.823073347</v>
      </c>
      <c r="AJ126" s="6" t="n">
        <f aca="false">MAX(AI126,AD126)</f>
        <v>911925.823073347</v>
      </c>
      <c r="AK126" s="6" t="n">
        <f aca="false">MAX(AJ126,AE126)</f>
        <v>911925.823073347</v>
      </c>
      <c r="AL126" s="8" t="n">
        <f aca="false">MIN(Z126/AF126-1,AA126/AG126-1,AB126/AH126-1,AC126/AI126-1,AD126/AJ126-1,AE126/AK126-1)</f>
        <v>-0.0718309736976229</v>
      </c>
      <c r="AM126" s="6" t="n">
        <f aca="false">AE126-Assumptions!$B$35</f>
        <v>405157.306599479</v>
      </c>
    </row>
    <row r="127" customFormat="false" ht="15" hidden="false" customHeight="false" outlineLevel="0" collapsed="false">
      <c r="A127" s="0" t="n">
        <f aca="false">ROW()-1</f>
        <v>126</v>
      </c>
      <c r="B127" s="0" t="str">
        <f aca="true">IF(RAND()&lt;Assumptions!$B$11,"Bull","Bear")</f>
        <v>Bull</v>
      </c>
      <c r="C127" s="0" t="str">
        <f aca="true">IF(B127="Bull",IF(RAND()&lt;Assumptions!$B$7,"Bull","Bear"),IF(RAND()&lt;Assumptions!$B$10,"Bear","Bull"))</f>
        <v>Bull</v>
      </c>
      <c r="D127" s="0" t="str">
        <f aca="true">IF(C127="Bull",IF(RAND()&lt;Assumptions!$B$7,"Bull","Bear"),IF(RAND()&lt;Assumptions!$B$10,"Bear","Bull"))</f>
        <v>Bull</v>
      </c>
      <c r="E127" s="0" t="str">
        <f aca="true">IF(D127="Bull",IF(RAND()&lt;Assumptions!$B$7,"Bull","Bear"),IF(RAND()&lt;Assumptions!$B$10,"Bear","Bull"))</f>
        <v>Bull</v>
      </c>
      <c r="F127" s="0" t="str">
        <f aca="true">IF(E127="Bull",IF(RAND()&lt;Assumptions!$B$7,"Bull","Bear"),IF(RAND()&lt;Assumptions!$B$10,"Bear","Bull"))</f>
        <v>Bear</v>
      </c>
      <c r="G127" s="0" t="str">
        <f aca="true">IF(F127="Bull",IF(RAND()&lt;Assumptions!$B$7,"Bull","Bear"),IF(RAND()&lt;Assumptions!$B$10,"Bear","Bull"))</f>
        <v>Bull</v>
      </c>
      <c r="H127" s="8" t="n">
        <f aca="true">IF(B127="Bull",NORMINV(RAND(),Assumptions!$B$5,Assumptions!$B$6),NORMINV(RAND(),Assumptions!$B$8,Assumptions!$B$9))</f>
        <v>0.0243957737464333</v>
      </c>
      <c r="I127" s="8" t="n">
        <f aca="true">IF(C127="Bull",NORMINV(RAND(),Assumptions!$B$5,Assumptions!$B$6),NORMINV(RAND(),Assumptions!$B$8,Assumptions!$B$9))</f>
        <v>0.12971376990104</v>
      </c>
      <c r="J127" s="8" t="n">
        <f aca="true">IF(D127="Bull",NORMINV(RAND(),Assumptions!$B$5,Assumptions!$B$6),NORMINV(RAND(),Assumptions!$B$8,Assumptions!$B$9))</f>
        <v>0.146144038238662</v>
      </c>
      <c r="K127" s="8" t="n">
        <f aca="true">IF(E127="Bull",NORMINV(RAND(),Assumptions!$B$5,Assumptions!$B$6),NORMINV(RAND(),Assumptions!$B$8,Assumptions!$B$9))</f>
        <v>0.126487361458721</v>
      </c>
      <c r="L127" s="8" t="n">
        <f aca="true">IF(F127="Bull",NORMINV(RAND(),Assumptions!$B$5,Assumptions!$B$6),NORMINV(RAND(),Assumptions!$B$8,Assumptions!$B$9))</f>
        <v>-0.00925627985730219</v>
      </c>
      <c r="M127" s="8" t="n">
        <f aca="true">IF(G127="Bull",NORMINV(RAND(),Assumptions!$B$5,Assumptions!$B$6),NORMINV(RAND(),Assumptions!$B$8,Assumptions!$B$9))</f>
        <v>0.126265654707923</v>
      </c>
      <c r="N127" s="8" t="n">
        <f aca="true">NORMINV(RAND(),Assumptions!$B$14,Assumptions!$B$15)</f>
        <v>0.0537565004633636</v>
      </c>
      <c r="O127" s="8" t="n">
        <f aca="true">NORMINV(RAND(),Assumptions!$B$14,Assumptions!$B$15)</f>
        <v>0.0514381363372375</v>
      </c>
      <c r="P127" s="8" t="n">
        <f aca="true">NORMINV(RAND(),Assumptions!$B$14,Assumptions!$B$15)</f>
        <v>0.115120250987529</v>
      </c>
      <c r="Q127" s="8" t="n">
        <f aca="true">NORMINV(RAND(),Assumptions!$B$14,Assumptions!$B$15)</f>
        <v>0.0866994889549138</v>
      </c>
      <c r="R127" s="8" t="n">
        <f aca="true">NORMINV(RAND(),Assumptions!$B$14,Assumptions!$B$15)</f>
        <v>0.113118991789946</v>
      </c>
      <c r="S127" s="8" t="n">
        <f aca="true">NORMINV(RAND(),Assumptions!$B$14,Assumptions!$B$15)</f>
        <v>0.0384730441093057</v>
      </c>
      <c r="T127" s="8" t="n">
        <f aca="false">Assumptions!$B$19*H127+(1-Assumptions!$B$19)*N127</f>
        <v>0.0243957737464333</v>
      </c>
      <c r="U127" s="8" t="n">
        <f aca="false">Assumptions!$B$20*I127+(1-Assumptions!$B$20)*O127</f>
        <v>0.12971376990104</v>
      </c>
      <c r="V127" s="8" t="n">
        <f aca="false">Assumptions!$B$21*J127+(1-Assumptions!$B$21)*P127</f>
        <v>0.146144038238662</v>
      </c>
      <c r="W127" s="8" t="n">
        <f aca="false">Assumptions!$B$22*K127+(1-Assumptions!$B$22)*Q127</f>
        <v>0.126487361458721</v>
      </c>
      <c r="X127" s="8" t="n">
        <f aca="false">Assumptions!$B$23*L127+(1-Assumptions!$B$23)*R127</f>
        <v>0.0152187744721474</v>
      </c>
      <c r="Y127" s="8" t="n">
        <f aca="false">Assumptions!$B$24*M127+(1-Assumptions!$B$24)*S127</f>
        <v>0.0911486104684761</v>
      </c>
      <c r="Z127" s="6" t="n">
        <f aca="false">Assumptions!$B$27*(1+T127)</f>
        <v>307318.73212393</v>
      </c>
      <c r="AA127" s="6" t="n">
        <f aca="false">(Z127+Assumptions!$B$28)*(1+U127)</f>
        <v>516639.268914089</v>
      </c>
      <c r="AB127" s="6" t="n">
        <f aca="false">AA127*(1+V127)</f>
        <v>592143.017985864</v>
      </c>
      <c r="AC127" s="6" t="n">
        <f aca="false">AB127*(1+W127)</f>
        <v>667041.6259371</v>
      </c>
      <c r="AD127" s="6" t="n">
        <f aca="false">AC127*(1+X127)</f>
        <v>677193.182005771</v>
      </c>
      <c r="AE127" s="6" t="n">
        <f aca="false">AD127*(1+Y127)</f>
        <v>738918.399564323</v>
      </c>
      <c r="AF127" s="6" t="n">
        <f aca="false">Z127</f>
        <v>307318.73212393</v>
      </c>
      <c r="AG127" s="6" t="n">
        <f aca="false">MAX(AF127,AA127)</f>
        <v>516639.268914089</v>
      </c>
      <c r="AH127" s="6" t="n">
        <f aca="false">MAX(AG127,AB127)</f>
        <v>592143.017985864</v>
      </c>
      <c r="AI127" s="6" t="n">
        <f aca="false">MAX(AH127,AC127)</f>
        <v>667041.6259371</v>
      </c>
      <c r="AJ127" s="6" t="n">
        <f aca="false">MAX(AI127,AD127)</f>
        <v>677193.182005771</v>
      </c>
      <c r="AK127" s="6" t="n">
        <f aca="false">MAX(AJ127,AE127)</f>
        <v>738918.399564323</v>
      </c>
      <c r="AL127" s="8" t="n">
        <f aca="false">MIN(Z127/AF127-1,AA127/AG127-1,AB127/AH127-1,AC127/AI127-1,AD127/AJ127-1,AE127/AK127-1)</f>
        <v>0</v>
      </c>
      <c r="AM127" s="6" t="n">
        <f aca="false">AE127-Assumptions!$B$35</f>
        <v>297654.402901819</v>
      </c>
    </row>
    <row r="128" customFormat="false" ht="15" hidden="false" customHeight="false" outlineLevel="0" collapsed="false">
      <c r="A128" s="0" t="n">
        <f aca="false">ROW()-1</f>
        <v>127</v>
      </c>
      <c r="B128" s="0" t="str">
        <f aca="true">IF(RAND()&lt;Assumptions!$B$11,"Bull","Bear")</f>
        <v>Bull</v>
      </c>
      <c r="C128" s="0" t="str">
        <f aca="true">IF(B128="Bull",IF(RAND()&lt;Assumptions!$B$7,"Bull","Bear"),IF(RAND()&lt;Assumptions!$B$10,"Bear","Bull"))</f>
        <v>Bull</v>
      </c>
      <c r="D128" s="0" t="str">
        <f aca="true">IF(C128="Bull",IF(RAND()&lt;Assumptions!$B$7,"Bull","Bear"),IF(RAND()&lt;Assumptions!$B$10,"Bear","Bull"))</f>
        <v>Bull</v>
      </c>
      <c r="E128" s="0" t="str">
        <f aca="true">IF(D128="Bull",IF(RAND()&lt;Assumptions!$B$7,"Bull","Bear"),IF(RAND()&lt;Assumptions!$B$10,"Bear","Bull"))</f>
        <v>Bull</v>
      </c>
      <c r="F128" s="0" t="str">
        <f aca="true">IF(E128="Bull",IF(RAND()&lt;Assumptions!$B$7,"Bull","Bear"),IF(RAND()&lt;Assumptions!$B$10,"Bear","Bull"))</f>
        <v>Bear</v>
      </c>
      <c r="G128" s="0" t="str">
        <f aca="true">IF(F128="Bull",IF(RAND()&lt;Assumptions!$B$7,"Bull","Bear"),IF(RAND()&lt;Assumptions!$B$10,"Bear","Bull"))</f>
        <v>Bear</v>
      </c>
      <c r="H128" s="8" t="n">
        <f aca="true">IF(B128="Bull",NORMINV(RAND(),Assumptions!$B$5,Assumptions!$B$6),NORMINV(RAND(),Assumptions!$B$8,Assumptions!$B$9))</f>
        <v>0.0553532607240109</v>
      </c>
      <c r="I128" s="8" t="n">
        <f aca="true">IF(C128="Bull",NORMINV(RAND(),Assumptions!$B$5,Assumptions!$B$6),NORMINV(RAND(),Assumptions!$B$8,Assumptions!$B$9))</f>
        <v>0.0575047770495153</v>
      </c>
      <c r="J128" s="8" t="n">
        <f aca="true">IF(D128="Bull",NORMINV(RAND(),Assumptions!$B$5,Assumptions!$B$6),NORMINV(RAND(),Assumptions!$B$8,Assumptions!$B$9))</f>
        <v>0.0541743180173692</v>
      </c>
      <c r="K128" s="8" t="n">
        <f aca="true">IF(E128="Bull",NORMINV(RAND(),Assumptions!$B$5,Assumptions!$B$6),NORMINV(RAND(),Assumptions!$B$8,Assumptions!$B$9))</f>
        <v>0.339970793573803</v>
      </c>
      <c r="L128" s="8" t="n">
        <f aca="true">IF(F128="Bull",NORMINV(RAND(),Assumptions!$B$5,Assumptions!$B$6),NORMINV(RAND(),Assumptions!$B$8,Assumptions!$B$9))</f>
        <v>0.261744944353398</v>
      </c>
      <c r="M128" s="8" t="n">
        <f aca="true">IF(G128="Bull",NORMINV(RAND(),Assumptions!$B$5,Assumptions!$B$6),NORMINV(RAND(),Assumptions!$B$8,Assumptions!$B$9))</f>
        <v>-0.0341350460211958</v>
      </c>
      <c r="N128" s="8" t="n">
        <f aca="true">NORMINV(RAND(),Assumptions!$B$14,Assumptions!$B$15)</f>
        <v>0.0784415044233552</v>
      </c>
      <c r="O128" s="8" t="n">
        <f aca="true">NORMINV(RAND(),Assumptions!$B$14,Assumptions!$B$15)</f>
        <v>0.0252740175700394</v>
      </c>
      <c r="P128" s="8" t="n">
        <f aca="true">NORMINV(RAND(),Assumptions!$B$14,Assumptions!$B$15)</f>
        <v>0.03463538160222</v>
      </c>
      <c r="Q128" s="8" t="n">
        <f aca="true">NORMINV(RAND(),Assumptions!$B$14,Assumptions!$B$15)</f>
        <v>0.0298934536796211</v>
      </c>
      <c r="R128" s="8" t="n">
        <f aca="true">NORMINV(RAND(),Assumptions!$B$14,Assumptions!$B$15)</f>
        <v>0.0668690349838971</v>
      </c>
      <c r="S128" s="8" t="n">
        <f aca="true">NORMINV(RAND(),Assumptions!$B$14,Assumptions!$B$15)</f>
        <v>0.0485250915662991</v>
      </c>
      <c r="T128" s="8" t="n">
        <f aca="false">Assumptions!$B$19*H128+(1-Assumptions!$B$19)*N128</f>
        <v>0.0553532607240109</v>
      </c>
      <c r="U128" s="8" t="n">
        <f aca="false">Assumptions!$B$20*I128+(1-Assumptions!$B$20)*O128</f>
        <v>0.0575047770495153</v>
      </c>
      <c r="V128" s="8" t="n">
        <f aca="false">Assumptions!$B$21*J128+(1-Assumptions!$B$21)*P128</f>
        <v>0.0541743180173692</v>
      </c>
      <c r="W128" s="8" t="n">
        <f aca="false">Assumptions!$B$22*K128+(1-Assumptions!$B$22)*Q128</f>
        <v>0.339970793573803</v>
      </c>
      <c r="X128" s="8" t="n">
        <f aca="false">Assumptions!$B$23*L128+(1-Assumptions!$B$23)*R128</f>
        <v>0.222769762479498</v>
      </c>
      <c r="Y128" s="8" t="n">
        <f aca="false">Assumptions!$B$24*M128+(1-Assumptions!$B$24)*S128</f>
        <v>-0.00107099098619788</v>
      </c>
      <c r="Z128" s="6" t="n">
        <f aca="false">Assumptions!$B$27*(1+T128)</f>
        <v>316605.978217203</v>
      </c>
      <c r="AA128" s="6" t="n">
        <f aca="false">(Z128+Assumptions!$B$28)*(1+U128)</f>
        <v>493438.050964555</v>
      </c>
      <c r="AB128" s="6" t="n">
        <f aca="false">AA128*(1+V128)</f>
        <v>520169.720859379</v>
      </c>
      <c r="AC128" s="6" t="n">
        <f aca="false">AB128*(1+W128)</f>
        <v>697012.233653006</v>
      </c>
      <c r="AD128" s="6" t="n">
        <f aca="false">AC128*(1+X128)</f>
        <v>852285.48338919</v>
      </c>
      <c r="AE128" s="6" t="n">
        <f aca="false">AD128*(1+Y128)</f>
        <v>851372.693318813</v>
      </c>
      <c r="AF128" s="6" t="n">
        <f aca="false">Z128</f>
        <v>316605.978217203</v>
      </c>
      <c r="AG128" s="6" t="n">
        <f aca="false">MAX(AF128,AA128)</f>
        <v>493438.050964555</v>
      </c>
      <c r="AH128" s="6" t="n">
        <f aca="false">MAX(AG128,AB128)</f>
        <v>520169.720859379</v>
      </c>
      <c r="AI128" s="6" t="n">
        <f aca="false">MAX(AH128,AC128)</f>
        <v>697012.233653006</v>
      </c>
      <c r="AJ128" s="6" t="n">
        <f aca="false">MAX(AI128,AD128)</f>
        <v>852285.48338919</v>
      </c>
      <c r="AK128" s="6" t="n">
        <f aca="false">MAX(AJ128,AE128)</f>
        <v>852285.48338919</v>
      </c>
      <c r="AL128" s="8" t="n">
        <f aca="false">MIN(Z128/AF128-1,AA128/AG128-1,AB128/AH128-1,AC128/AI128-1,AD128/AJ128-1,AE128/AK128-1)</f>
        <v>-0.0010709909861979</v>
      </c>
      <c r="AM128" s="6" t="n">
        <f aca="false">AE128-Assumptions!$B$35</f>
        <v>410108.69665631</v>
      </c>
    </row>
    <row r="129" customFormat="false" ht="15" hidden="false" customHeight="false" outlineLevel="0" collapsed="false">
      <c r="A129" s="0" t="n">
        <f aca="false">ROW()-1</f>
        <v>128</v>
      </c>
      <c r="B129" s="0" t="str">
        <f aca="true">IF(RAND()&lt;Assumptions!$B$11,"Bull","Bear")</f>
        <v>Bull</v>
      </c>
      <c r="C129" s="0" t="str">
        <f aca="true">IF(B129="Bull",IF(RAND()&lt;Assumptions!$B$7,"Bull","Bear"),IF(RAND()&lt;Assumptions!$B$10,"Bear","Bull"))</f>
        <v>Bull</v>
      </c>
      <c r="D129" s="0" t="str">
        <f aca="true">IF(C129="Bull",IF(RAND()&lt;Assumptions!$B$7,"Bull","Bear"),IF(RAND()&lt;Assumptions!$B$10,"Bear","Bull"))</f>
        <v>Bull</v>
      </c>
      <c r="E129" s="0" t="str">
        <f aca="true">IF(D129="Bull",IF(RAND()&lt;Assumptions!$B$7,"Bull","Bear"),IF(RAND()&lt;Assumptions!$B$10,"Bear","Bull"))</f>
        <v>Bull</v>
      </c>
      <c r="F129" s="0" t="str">
        <f aca="true">IF(E129="Bull",IF(RAND()&lt;Assumptions!$B$7,"Bull","Bear"),IF(RAND()&lt;Assumptions!$B$10,"Bear","Bull"))</f>
        <v>Bull</v>
      </c>
      <c r="G129" s="0" t="str">
        <f aca="true">IF(F129="Bull",IF(RAND()&lt;Assumptions!$B$7,"Bull","Bear"),IF(RAND()&lt;Assumptions!$B$10,"Bear","Bull"))</f>
        <v>Bull</v>
      </c>
      <c r="H129" s="8" t="n">
        <f aca="true">IF(B129="Bull",NORMINV(RAND(),Assumptions!$B$5,Assumptions!$B$6),NORMINV(RAND(),Assumptions!$B$8,Assumptions!$B$9))</f>
        <v>0.338007810636901</v>
      </c>
      <c r="I129" s="8" t="n">
        <f aca="true">IF(C129="Bull",NORMINV(RAND(),Assumptions!$B$5,Assumptions!$B$6),NORMINV(RAND(),Assumptions!$B$8,Assumptions!$B$9))</f>
        <v>0.000558339040228117</v>
      </c>
      <c r="J129" s="8" t="n">
        <f aca="true">IF(D129="Bull",NORMINV(RAND(),Assumptions!$B$5,Assumptions!$B$6),NORMINV(RAND(),Assumptions!$B$8,Assumptions!$B$9))</f>
        <v>0.0818259034961999</v>
      </c>
      <c r="K129" s="8" t="n">
        <f aca="true">IF(E129="Bull",NORMINV(RAND(),Assumptions!$B$5,Assumptions!$B$6),NORMINV(RAND(),Assumptions!$B$8,Assumptions!$B$9))</f>
        <v>0.198129433135347</v>
      </c>
      <c r="L129" s="8" t="n">
        <f aca="true">IF(F129="Bull",NORMINV(RAND(),Assumptions!$B$5,Assumptions!$B$6),NORMINV(RAND(),Assumptions!$B$8,Assumptions!$B$9))</f>
        <v>0.0810598776900427</v>
      </c>
      <c r="M129" s="8" t="n">
        <f aca="true">IF(G129="Bull",NORMINV(RAND(),Assumptions!$B$5,Assumptions!$B$6),NORMINV(RAND(),Assumptions!$B$8,Assumptions!$B$9))</f>
        <v>0.305826512621287</v>
      </c>
      <c r="N129" s="8" t="n">
        <f aca="true">NORMINV(RAND(),Assumptions!$B$14,Assumptions!$B$15)</f>
        <v>0.0532327572378803</v>
      </c>
      <c r="O129" s="8" t="n">
        <f aca="true">NORMINV(RAND(),Assumptions!$B$14,Assumptions!$B$15)</f>
        <v>0.049974962236328</v>
      </c>
      <c r="P129" s="8" t="n">
        <f aca="true">NORMINV(RAND(),Assumptions!$B$14,Assumptions!$B$15)</f>
        <v>0.0764783140019408</v>
      </c>
      <c r="Q129" s="8" t="n">
        <f aca="true">NORMINV(RAND(),Assumptions!$B$14,Assumptions!$B$15)</f>
        <v>0.0483304249131066</v>
      </c>
      <c r="R129" s="8" t="n">
        <f aca="true">NORMINV(RAND(),Assumptions!$B$14,Assumptions!$B$15)</f>
        <v>0.066172674564035</v>
      </c>
      <c r="S129" s="8" t="n">
        <f aca="true">NORMINV(RAND(),Assumptions!$B$14,Assumptions!$B$15)</f>
        <v>0.0213858758062877</v>
      </c>
      <c r="T129" s="8" t="n">
        <f aca="false">Assumptions!$B$19*H129+(1-Assumptions!$B$19)*N129</f>
        <v>0.338007810636901</v>
      </c>
      <c r="U129" s="8" t="n">
        <f aca="false">Assumptions!$B$20*I129+(1-Assumptions!$B$20)*O129</f>
        <v>0.000558339040228117</v>
      </c>
      <c r="V129" s="8" t="n">
        <f aca="false">Assumptions!$B$21*J129+(1-Assumptions!$B$21)*P129</f>
        <v>0.0818259034961999</v>
      </c>
      <c r="W129" s="8" t="n">
        <f aca="false">Assumptions!$B$22*K129+(1-Assumptions!$B$22)*Q129</f>
        <v>0.198129433135347</v>
      </c>
      <c r="X129" s="8" t="n">
        <f aca="false">Assumptions!$B$23*L129+(1-Assumptions!$B$23)*R129</f>
        <v>0.0780824370648412</v>
      </c>
      <c r="Y129" s="8" t="n">
        <f aca="false">Assumptions!$B$24*M129+(1-Assumptions!$B$24)*S129</f>
        <v>0.192050257895287</v>
      </c>
      <c r="Z129" s="6" t="n">
        <f aca="false">Assumptions!$B$27*(1+T129)</f>
        <v>401402.34319107</v>
      </c>
      <c r="AA129" s="6" t="n">
        <f aca="false">(Z129+Assumptions!$B$28)*(1+U129)</f>
        <v>551710.212646147</v>
      </c>
      <c r="AB129" s="6" t="n">
        <f aca="false">AA129*(1+V129)</f>
        <v>596854.399263999</v>
      </c>
      <c r="AC129" s="6" t="n">
        <f aca="false">AB129*(1+W129)</f>
        <v>715108.823054512</v>
      </c>
      <c r="AD129" s="6" t="n">
        <f aca="false">AC129*(1+X129)</f>
        <v>770946.262725179</v>
      </c>
      <c r="AE129" s="6" t="n">
        <f aca="false">AD129*(1+Y129)</f>
        <v>919006.691304957</v>
      </c>
      <c r="AF129" s="6" t="n">
        <f aca="false">Z129</f>
        <v>401402.34319107</v>
      </c>
      <c r="AG129" s="6" t="n">
        <f aca="false">MAX(AF129,AA129)</f>
        <v>551710.212646147</v>
      </c>
      <c r="AH129" s="6" t="n">
        <f aca="false">MAX(AG129,AB129)</f>
        <v>596854.399263999</v>
      </c>
      <c r="AI129" s="6" t="n">
        <f aca="false">MAX(AH129,AC129)</f>
        <v>715108.823054512</v>
      </c>
      <c r="AJ129" s="6" t="n">
        <f aca="false">MAX(AI129,AD129)</f>
        <v>770946.262725179</v>
      </c>
      <c r="AK129" s="6" t="n">
        <f aca="false">MAX(AJ129,AE129)</f>
        <v>919006.691304957</v>
      </c>
      <c r="AL129" s="8" t="n">
        <f aca="false">MIN(Z129/AF129-1,AA129/AG129-1,AB129/AH129-1,AC129/AI129-1,AD129/AJ129-1,AE129/AK129-1)</f>
        <v>0</v>
      </c>
      <c r="AM129" s="6" t="n">
        <f aca="false">AE129-Assumptions!$B$35</f>
        <v>477742.694642454</v>
      </c>
    </row>
    <row r="130" customFormat="false" ht="15" hidden="false" customHeight="false" outlineLevel="0" collapsed="false">
      <c r="A130" s="0" t="n">
        <f aca="false">ROW()-1</f>
        <v>129</v>
      </c>
      <c r="B130" s="0" t="str">
        <f aca="true">IF(RAND()&lt;Assumptions!$B$11,"Bull","Bear")</f>
        <v>Bull</v>
      </c>
      <c r="C130" s="0" t="str">
        <f aca="true">IF(B130="Bull",IF(RAND()&lt;Assumptions!$B$7,"Bull","Bear"),IF(RAND()&lt;Assumptions!$B$10,"Bear","Bull"))</f>
        <v>Bull</v>
      </c>
      <c r="D130" s="0" t="str">
        <f aca="true">IF(C130="Bull",IF(RAND()&lt;Assumptions!$B$7,"Bull","Bear"),IF(RAND()&lt;Assumptions!$B$10,"Bear","Bull"))</f>
        <v>Bull</v>
      </c>
      <c r="E130" s="0" t="str">
        <f aca="true">IF(D130="Bull",IF(RAND()&lt;Assumptions!$B$7,"Bull","Bear"),IF(RAND()&lt;Assumptions!$B$10,"Bear","Bull"))</f>
        <v>Bull</v>
      </c>
      <c r="F130" s="0" t="str">
        <f aca="true">IF(E130="Bull",IF(RAND()&lt;Assumptions!$B$7,"Bull","Bear"),IF(RAND()&lt;Assumptions!$B$10,"Bear","Bull"))</f>
        <v>Bull</v>
      </c>
      <c r="G130" s="0" t="str">
        <f aca="true">IF(F130="Bull",IF(RAND()&lt;Assumptions!$B$7,"Bull","Bear"),IF(RAND()&lt;Assumptions!$B$10,"Bear","Bull"))</f>
        <v>Bear</v>
      </c>
      <c r="H130" s="8" t="n">
        <f aca="true">IF(B130="Bull",NORMINV(RAND(),Assumptions!$B$5,Assumptions!$B$6),NORMINV(RAND(),Assumptions!$B$8,Assumptions!$B$9))</f>
        <v>0.304442698863147</v>
      </c>
      <c r="I130" s="8" t="n">
        <f aca="true">IF(C130="Bull",NORMINV(RAND(),Assumptions!$B$5,Assumptions!$B$6),NORMINV(RAND(),Assumptions!$B$8,Assumptions!$B$9))</f>
        <v>0.116634869124869</v>
      </c>
      <c r="J130" s="8" t="n">
        <f aca="true">IF(D130="Bull",NORMINV(RAND(),Assumptions!$B$5,Assumptions!$B$6),NORMINV(RAND(),Assumptions!$B$8,Assumptions!$B$9))</f>
        <v>0.341818827737014</v>
      </c>
      <c r="K130" s="8" t="n">
        <f aca="true">IF(E130="Bull",NORMINV(RAND(),Assumptions!$B$5,Assumptions!$B$6),NORMINV(RAND(),Assumptions!$B$8,Assumptions!$B$9))</f>
        <v>0.0999396448987305</v>
      </c>
      <c r="L130" s="8" t="n">
        <f aca="true">IF(F130="Bull",NORMINV(RAND(),Assumptions!$B$5,Assumptions!$B$6),NORMINV(RAND(),Assumptions!$B$8,Assumptions!$B$9))</f>
        <v>0.199651027804059</v>
      </c>
      <c r="M130" s="8" t="n">
        <f aca="true">IF(G130="Bull",NORMINV(RAND(),Assumptions!$B$5,Assumptions!$B$6),NORMINV(RAND(),Assumptions!$B$8,Assumptions!$B$9))</f>
        <v>-0.238100652815587</v>
      </c>
      <c r="N130" s="8" t="n">
        <f aca="true">NORMINV(RAND(),Assumptions!$B$14,Assumptions!$B$15)</f>
        <v>0.0745923558055464</v>
      </c>
      <c r="O130" s="8" t="n">
        <f aca="true">NORMINV(RAND(),Assumptions!$B$14,Assumptions!$B$15)</f>
        <v>0.0134528795094197</v>
      </c>
      <c r="P130" s="8" t="n">
        <f aca="true">NORMINV(RAND(),Assumptions!$B$14,Assumptions!$B$15)</f>
        <v>0.0422075289306441</v>
      </c>
      <c r="Q130" s="8" t="n">
        <f aca="true">NORMINV(RAND(),Assumptions!$B$14,Assumptions!$B$15)</f>
        <v>0.0225044343886051</v>
      </c>
      <c r="R130" s="8" t="n">
        <f aca="true">NORMINV(RAND(),Assumptions!$B$14,Assumptions!$B$15)</f>
        <v>0.0257239618887381</v>
      </c>
      <c r="S130" s="8" t="n">
        <f aca="true">NORMINV(RAND(),Assumptions!$B$14,Assumptions!$B$15)</f>
        <v>0.0256609912703194</v>
      </c>
      <c r="T130" s="8" t="n">
        <f aca="false">Assumptions!$B$19*H130+(1-Assumptions!$B$19)*N130</f>
        <v>0.304442698863147</v>
      </c>
      <c r="U130" s="8" t="n">
        <f aca="false">Assumptions!$B$20*I130+(1-Assumptions!$B$20)*O130</f>
        <v>0.116634869124869</v>
      </c>
      <c r="V130" s="8" t="n">
        <f aca="false">Assumptions!$B$21*J130+(1-Assumptions!$B$21)*P130</f>
        <v>0.341818827737014</v>
      </c>
      <c r="W130" s="8" t="n">
        <f aca="false">Assumptions!$B$22*K130+(1-Assumptions!$B$22)*Q130</f>
        <v>0.0999396448987305</v>
      </c>
      <c r="X130" s="8" t="n">
        <f aca="false">Assumptions!$B$23*L130+(1-Assumptions!$B$23)*R130</f>
        <v>0.164865614620995</v>
      </c>
      <c r="Y130" s="8" t="n">
        <f aca="false">Assumptions!$B$24*M130+(1-Assumptions!$B$24)*S130</f>
        <v>-0.132595995181225</v>
      </c>
      <c r="Z130" s="6" t="n">
        <f aca="false">Assumptions!$B$27*(1+T130)</f>
        <v>391332.809658944</v>
      </c>
      <c r="AA130" s="6" t="n">
        <f aca="false">(Z130+Assumptions!$B$28)*(1+U130)</f>
        <v>604471.091066512</v>
      </c>
      <c r="AB130" s="6" t="n">
        <f aca="false">AA130*(1+V130)</f>
        <v>811090.690815782</v>
      </c>
      <c r="AC130" s="6" t="n">
        <f aca="false">AB130*(1+W130)</f>
        <v>892150.806436577</v>
      </c>
      <c r="AD130" s="6" t="n">
        <f aca="false">AC130*(1+X130)</f>
        <v>1039235.79747436</v>
      </c>
      <c r="AE130" s="6" t="n">
        <f aca="false">AD130*(1+Y130)</f>
        <v>901437.292680293</v>
      </c>
      <c r="AF130" s="6" t="n">
        <f aca="false">Z130</f>
        <v>391332.809658944</v>
      </c>
      <c r="AG130" s="6" t="n">
        <f aca="false">MAX(AF130,AA130)</f>
        <v>604471.091066512</v>
      </c>
      <c r="AH130" s="6" t="n">
        <f aca="false">MAX(AG130,AB130)</f>
        <v>811090.690815782</v>
      </c>
      <c r="AI130" s="6" t="n">
        <f aca="false">MAX(AH130,AC130)</f>
        <v>892150.806436577</v>
      </c>
      <c r="AJ130" s="6" t="n">
        <f aca="false">MAX(AI130,AD130)</f>
        <v>1039235.79747436</v>
      </c>
      <c r="AK130" s="6" t="n">
        <f aca="false">MAX(AJ130,AE130)</f>
        <v>1039235.79747436</v>
      </c>
      <c r="AL130" s="8" t="n">
        <f aca="false">MIN(Z130/AF130-1,AA130/AG130-1,AB130/AH130-1,AC130/AI130-1,AD130/AJ130-1,AE130/AK130-1)</f>
        <v>-0.132595995181225</v>
      </c>
      <c r="AM130" s="6" t="n">
        <f aca="false">AE130-Assumptions!$B$35</f>
        <v>460173.296017789</v>
      </c>
    </row>
    <row r="131" customFormat="false" ht="15" hidden="false" customHeight="false" outlineLevel="0" collapsed="false">
      <c r="A131" s="0" t="n">
        <f aca="false">ROW()-1</f>
        <v>130</v>
      </c>
      <c r="B131" s="0" t="str">
        <f aca="true">IF(RAND()&lt;Assumptions!$B$11,"Bull","Bear")</f>
        <v>Bull</v>
      </c>
      <c r="C131" s="0" t="str">
        <f aca="true">IF(B131="Bull",IF(RAND()&lt;Assumptions!$B$7,"Bull","Bear"),IF(RAND()&lt;Assumptions!$B$10,"Bear","Bull"))</f>
        <v>Bull</v>
      </c>
      <c r="D131" s="0" t="str">
        <f aca="true">IF(C131="Bull",IF(RAND()&lt;Assumptions!$B$7,"Bull","Bear"),IF(RAND()&lt;Assumptions!$B$10,"Bear","Bull"))</f>
        <v>Bull</v>
      </c>
      <c r="E131" s="0" t="str">
        <f aca="true">IF(D131="Bull",IF(RAND()&lt;Assumptions!$B$7,"Bull","Bear"),IF(RAND()&lt;Assumptions!$B$10,"Bear","Bull"))</f>
        <v>Bull</v>
      </c>
      <c r="F131" s="0" t="str">
        <f aca="true">IF(E131="Bull",IF(RAND()&lt;Assumptions!$B$7,"Bull","Bear"),IF(RAND()&lt;Assumptions!$B$10,"Bear","Bull"))</f>
        <v>Bull</v>
      </c>
      <c r="G131" s="0" t="str">
        <f aca="true">IF(F131="Bull",IF(RAND()&lt;Assumptions!$B$7,"Bull","Bear"),IF(RAND()&lt;Assumptions!$B$10,"Bear","Bull"))</f>
        <v>Bull</v>
      </c>
      <c r="H131" s="8" t="n">
        <f aca="true">IF(B131="Bull",NORMINV(RAND(),Assumptions!$B$5,Assumptions!$B$6),NORMINV(RAND(),Assumptions!$B$8,Assumptions!$B$9))</f>
        <v>0.194165381583398</v>
      </c>
      <c r="I131" s="8" t="n">
        <f aca="true">IF(C131="Bull",NORMINV(RAND(),Assumptions!$B$5,Assumptions!$B$6),NORMINV(RAND(),Assumptions!$B$8,Assumptions!$B$9))</f>
        <v>0.163021864263692</v>
      </c>
      <c r="J131" s="8" t="n">
        <f aca="true">IF(D131="Bull",NORMINV(RAND(),Assumptions!$B$5,Assumptions!$B$6),NORMINV(RAND(),Assumptions!$B$8,Assumptions!$B$9))</f>
        <v>0.17200044145898</v>
      </c>
      <c r="K131" s="8" t="n">
        <f aca="true">IF(E131="Bull",NORMINV(RAND(),Assumptions!$B$5,Assumptions!$B$6),NORMINV(RAND(),Assumptions!$B$8,Assumptions!$B$9))</f>
        <v>0.0164073593062162</v>
      </c>
      <c r="L131" s="8" t="n">
        <f aca="true">IF(F131="Bull",NORMINV(RAND(),Assumptions!$B$5,Assumptions!$B$6),NORMINV(RAND(),Assumptions!$B$8,Assumptions!$B$9))</f>
        <v>0.0539375153906825</v>
      </c>
      <c r="M131" s="8" t="n">
        <f aca="true">IF(G131="Bull",NORMINV(RAND(),Assumptions!$B$5,Assumptions!$B$6),NORMINV(RAND(),Assumptions!$B$8,Assumptions!$B$9))</f>
        <v>0.154073040392989</v>
      </c>
      <c r="N131" s="8" t="n">
        <f aca="true">NORMINV(RAND(),Assumptions!$B$14,Assumptions!$B$15)</f>
        <v>0.0506543362997935</v>
      </c>
      <c r="O131" s="8" t="n">
        <f aca="true">NORMINV(RAND(),Assumptions!$B$14,Assumptions!$B$15)</f>
        <v>0.0310022900867983</v>
      </c>
      <c r="P131" s="8" t="n">
        <f aca="true">NORMINV(RAND(),Assumptions!$B$14,Assumptions!$B$15)</f>
        <v>0.0245094058294259</v>
      </c>
      <c r="Q131" s="8" t="n">
        <f aca="true">NORMINV(RAND(),Assumptions!$B$14,Assumptions!$B$15)</f>
        <v>-0.00971076219830325</v>
      </c>
      <c r="R131" s="8" t="n">
        <f aca="true">NORMINV(RAND(),Assumptions!$B$14,Assumptions!$B$15)</f>
        <v>0.0605354103468101</v>
      </c>
      <c r="S131" s="8" t="n">
        <f aca="true">NORMINV(RAND(),Assumptions!$B$14,Assumptions!$B$15)</f>
        <v>-0.00845986942023159</v>
      </c>
      <c r="T131" s="8" t="n">
        <f aca="false">Assumptions!$B$19*H131+(1-Assumptions!$B$19)*N131</f>
        <v>0.194165381583398</v>
      </c>
      <c r="U131" s="8" t="n">
        <f aca="false">Assumptions!$B$20*I131+(1-Assumptions!$B$20)*O131</f>
        <v>0.163021864263692</v>
      </c>
      <c r="V131" s="8" t="n">
        <f aca="false">Assumptions!$B$21*J131+(1-Assumptions!$B$21)*P131</f>
        <v>0.17200044145898</v>
      </c>
      <c r="W131" s="8" t="n">
        <f aca="false">Assumptions!$B$22*K131+(1-Assumptions!$B$22)*Q131</f>
        <v>0.0164073593062162</v>
      </c>
      <c r="X131" s="8" t="n">
        <f aca="false">Assumptions!$B$23*L131+(1-Assumptions!$B$23)*R131</f>
        <v>0.055257094381908</v>
      </c>
      <c r="Y131" s="8" t="n">
        <f aca="false">Assumptions!$B$24*M131+(1-Assumptions!$B$24)*S131</f>
        <v>0.0890598764677009</v>
      </c>
      <c r="Z131" s="6" t="n">
        <f aca="false">Assumptions!$B$27*(1+T131)</f>
        <v>358249.614475019</v>
      </c>
      <c r="AA131" s="6" t="n">
        <f aca="false">(Z131+Assumptions!$B$28)*(1+U131)</f>
        <v>591105.41413804</v>
      </c>
      <c r="AB131" s="6" t="n">
        <f aca="false">AA131*(1+V131)</f>
        <v>692775.806318576</v>
      </c>
      <c r="AC131" s="6" t="n">
        <f aca="false">AB131*(1+W131)</f>
        <v>704142.427891498</v>
      </c>
      <c r="AD131" s="6" t="n">
        <f aca="false">AC131*(1+X131)</f>
        <v>743051.292487805</v>
      </c>
      <c r="AE131" s="6" t="n">
        <f aca="false">AD131*(1+Y131)</f>
        <v>809227.348805934</v>
      </c>
      <c r="AF131" s="6" t="n">
        <f aca="false">Z131</f>
        <v>358249.614475019</v>
      </c>
      <c r="AG131" s="6" t="n">
        <f aca="false">MAX(AF131,AA131)</f>
        <v>591105.41413804</v>
      </c>
      <c r="AH131" s="6" t="n">
        <f aca="false">MAX(AG131,AB131)</f>
        <v>692775.806318576</v>
      </c>
      <c r="AI131" s="6" t="n">
        <f aca="false">MAX(AH131,AC131)</f>
        <v>704142.427891498</v>
      </c>
      <c r="AJ131" s="6" t="n">
        <f aca="false">MAX(AI131,AD131)</f>
        <v>743051.292487805</v>
      </c>
      <c r="AK131" s="6" t="n">
        <f aca="false">MAX(AJ131,AE131)</f>
        <v>809227.348805934</v>
      </c>
      <c r="AL131" s="8" t="n">
        <f aca="false">MIN(Z131/AF131-1,AA131/AG131-1,AB131/AH131-1,AC131/AI131-1,AD131/AJ131-1,AE131/AK131-1)</f>
        <v>0</v>
      </c>
      <c r="AM131" s="6" t="n">
        <f aca="false">AE131-Assumptions!$B$35</f>
        <v>367963.35214343</v>
      </c>
    </row>
    <row r="132" customFormat="false" ht="15" hidden="false" customHeight="false" outlineLevel="0" collapsed="false">
      <c r="A132" s="0" t="n">
        <f aca="false">ROW()-1</f>
        <v>131</v>
      </c>
      <c r="B132" s="0" t="str">
        <f aca="true">IF(RAND()&lt;Assumptions!$B$11,"Bull","Bear")</f>
        <v>Bear</v>
      </c>
      <c r="C132" s="0" t="str">
        <f aca="true">IF(B132="Bull",IF(RAND()&lt;Assumptions!$B$7,"Bull","Bear"),IF(RAND()&lt;Assumptions!$B$10,"Bear","Bull"))</f>
        <v>Bear</v>
      </c>
      <c r="D132" s="0" t="str">
        <f aca="true">IF(C132="Bull",IF(RAND()&lt;Assumptions!$B$7,"Bull","Bear"),IF(RAND()&lt;Assumptions!$B$10,"Bear","Bull"))</f>
        <v>Bear</v>
      </c>
      <c r="E132" s="0" t="str">
        <f aca="true">IF(D132="Bull",IF(RAND()&lt;Assumptions!$B$7,"Bull","Bear"),IF(RAND()&lt;Assumptions!$B$10,"Bear","Bull"))</f>
        <v>Bull</v>
      </c>
      <c r="F132" s="0" t="str">
        <f aca="true">IF(E132="Bull",IF(RAND()&lt;Assumptions!$B$7,"Bull","Bear"),IF(RAND()&lt;Assumptions!$B$10,"Bear","Bull"))</f>
        <v>Bear</v>
      </c>
      <c r="G132" s="0" t="str">
        <f aca="true">IF(F132="Bull",IF(RAND()&lt;Assumptions!$B$7,"Bull","Bear"),IF(RAND()&lt;Assumptions!$B$10,"Bear","Bull"))</f>
        <v>Bull</v>
      </c>
      <c r="H132" s="8" t="n">
        <f aca="true">IF(B132="Bull",NORMINV(RAND(),Assumptions!$B$5,Assumptions!$B$6),NORMINV(RAND(),Assumptions!$B$8,Assumptions!$B$9))</f>
        <v>-0.158349847493055</v>
      </c>
      <c r="I132" s="8" t="n">
        <f aca="true">IF(C132="Bull",NORMINV(RAND(),Assumptions!$B$5,Assumptions!$B$6),NORMINV(RAND(),Assumptions!$B$8,Assumptions!$B$9))</f>
        <v>0.189827039017762</v>
      </c>
      <c r="J132" s="8" t="n">
        <f aca="true">IF(D132="Bull",NORMINV(RAND(),Assumptions!$B$5,Assumptions!$B$6),NORMINV(RAND(),Assumptions!$B$8,Assumptions!$B$9))</f>
        <v>-0.00027418505712834</v>
      </c>
      <c r="K132" s="8" t="n">
        <f aca="true">IF(E132="Bull",NORMINV(RAND(),Assumptions!$B$5,Assumptions!$B$6),NORMINV(RAND(),Assumptions!$B$8,Assumptions!$B$9))</f>
        <v>0.173999260634002</v>
      </c>
      <c r="L132" s="8" t="n">
        <f aca="true">IF(F132="Bull",NORMINV(RAND(),Assumptions!$B$5,Assumptions!$B$6),NORMINV(RAND(),Assumptions!$B$8,Assumptions!$B$9))</f>
        <v>0.0699931409955524</v>
      </c>
      <c r="M132" s="8" t="n">
        <f aca="true">IF(G132="Bull",NORMINV(RAND(),Assumptions!$B$5,Assumptions!$B$6),NORMINV(RAND(),Assumptions!$B$8,Assumptions!$B$9))</f>
        <v>0.0953275094867572</v>
      </c>
      <c r="N132" s="8" t="n">
        <f aca="true">NORMINV(RAND(),Assumptions!$B$14,Assumptions!$B$15)</f>
        <v>0.0879663334000359</v>
      </c>
      <c r="O132" s="8" t="n">
        <f aca="true">NORMINV(RAND(),Assumptions!$B$14,Assumptions!$B$15)</f>
        <v>0.094224509380025</v>
      </c>
      <c r="P132" s="8" t="n">
        <f aca="true">NORMINV(RAND(),Assumptions!$B$14,Assumptions!$B$15)</f>
        <v>0.0124936199138619</v>
      </c>
      <c r="Q132" s="8" t="n">
        <f aca="true">NORMINV(RAND(),Assumptions!$B$14,Assumptions!$B$15)</f>
        <v>0.0321553968240304</v>
      </c>
      <c r="R132" s="8" t="n">
        <f aca="true">NORMINV(RAND(),Assumptions!$B$14,Assumptions!$B$15)</f>
        <v>0.0506313691561204</v>
      </c>
      <c r="S132" s="8" t="n">
        <f aca="true">NORMINV(RAND(),Assumptions!$B$14,Assumptions!$B$15)</f>
        <v>0.0455189072196281</v>
      </c>
      <c r="T132" s="8" t="n">
        <f aca="false">Assumptions!$B$19*H132+(1-Assumptions!$B$19)*N132</f>
        <v>-0.158349847493055</v>
      </c>
      <c r="U132" s="8" t="n">
        <f aca="false">Assumptions!$B$20*I132+(1-Assumptions!$B$20)*O132</f>
        <v>0.189827039017762</v>
      </c>
      <c r="V132" s="8" t="n">
        <f aca="false">Assumptions!$B$21*J132+(1-Assumptions!$B$21)*P132</f>
        <v>-0.00027418505712834</v>
      </c>
      <c r="W132" s="8" t="n">
        <f aca="false">Assumptions!$B$22*K132+(1-Assumptions!$B$22)*Q132</f>
        <v>0.173999260634002</v>
      </c>
      <c r="X132" s="8" t="n">
        <f aca="false">Assumptions!$B$23*L132+(1-Assumptions!$B$23)*R132</f>
        <v>0.066120786627666</v>
      </c>
      <c r="Y132" s="8" t="n">
        <f aca="false">Assumptions!$B$24*M132+(1-Assumptions!$B$24)*S132</f>
        <v>0.0754040685799055</v>
      </c>
      <c r="Z132" s="6" t="n">
        <f aca="false">Assumptions!$B$27*(1+T132)</f>
        <v>252495.045752084</v>
      </c>
      <c r="AA132" s="6" t="n">
        <f aca="false">(Z132+Assumptions!$B$28)*(1+U132)</f>
        <v>478899.48850652</v>
      </c>
      <c r="AB132" s="6" t="n">
        <f aca="false">AA132*(1+V132)</f>
        <v>478768.181422905</v>
      </c>
      <c r="AC132" s="6" t="n">
        <f aca="false">AB132*(1+W132)</f>
        <v>562073.491005577</v>
      </c>
      <c r="AD132" s="6" t="n">
        <f aca="false">AC132*(1+X132)</f>
        <v>599238.232373424</v>
      </c>
      <c r="AE132" s="6" t="n">
        <f aca="false">AD132*(1+Y132)</f>
        <v>644423.233143011</v>
      </c>
      <c r="AF132" s="6" t="n">
        <f aca="false">Z132</f>
        <v>252495.045752084</v>
      </c>
      <c r="AG132" s="6" t="n">
        <f aca="false">MAX(AF132,AA132)</f>
        <v>478899.48850652</v>
      </c>
      <c r="AH132" s="6" t="n">
        <f aca="false">MAX(AG132,AB132)</f>
        <v>478899.48850652</v>
      </c>
      <c r="AI132" s="6" t="n">
        <f aca="false">MAX(AH132,AC132)</f>
        <v>562073.491005577</v>
      </c>
      <c r="AJ132" s="6" t="n">
        <f aca="false">MAX(AI132,AD132)</f>
        <v>599238.232373424</v>
      </c>
      <c r="AK132" s="6" t="n">
        <f aca="false">MAX(AJ132,AE132)</f>
        <v>644423.233143011</v>
      </c>
      <c r="AL132" s="8" t="n">
        <f aca="false">MIN(Z132/AF132-1,AA132/AG132-1,AB132/AH132-1,AC132/AI132-1,AD132/AJ132-1,AE132/AK132-1)</f>
        <v>-0.000274185057128395</v>
      </c>
      <c r="AM132" s="6" t="n">
        <f aca="false">AE132-Assumptions!$B$35</f>
        <v>203159.236480507</v>
      </c>
    </row>
    <row r="133" customFormat="false" ht="15" hidden="false" customHeight="false" outlineLevel="0" collapsed="false">
      <c r="A133" s="0" t="n">
        <f aca="false">ROW()-1</f>
        <v>132</v>
      </c>
      <c r="B133" s="0" t="str">
        <f aca="true">IF(RAND()&lt;Assumptions!$B$11,"Bull","Bear")</f>
        <v>Bull</v>
      </c>
      <c r="C133" s="0" t="str">
        <f aca="true">IF(B133="Bull",IF(RAND()&lt;Assumptions!$B$7,"Bull","Bear"),IF(RAND()&lt;Assumptions!$B$10,"Bear","Bull"))</f>
        <v>Bull</v>
      </c>
      <c r="D133" s="0" t="str">
        <f aca="true">IF(C133="Bull",IF(RAND()&lt;Assumptions!$B$7,"Bull","Bear"),IF(RAND()&lt;Assumptions!$B$10,"Bear","Bull"))</f>
        <v>Bull</v>
      </c>
      <c r="E133" s="0" t="str">
        <f aca="true">IF(D133="Bull",IF(RAND()&lt;Assumptions!$B$7,"Bull","Bear"),IF(RAND()&lt;Assumptions!$B$10,"Bear","Bull"))</f>
        <v>Bull</v>
      </c>
      <c r="F133" s="0" t="str">
        <f aca="true">IF(E133="Bull",IF(RAND()&lt;Assumptions!$B$7,"Bull","Bear"),IF(RAND()&lt;Assumptions!$B$10,"Bear","Bull"))</f>
        <v>Bull</v>
      </c>
      <c r="G133" s="0" t="str">
        <f aca="true">IF(F133="Bull",IF(RAND()&lt;Assumptions!$B$7,"Bull","Bear"),IF(RAND()&lt;Assumptions!$B$10,"Bear","Bull"))</f>
        <v>Bear</v>
      </c>
      <c r="H133" s="8" t="n">
        <f aca="true">IF(B133="Bull",NORMINV(RAND(),Assumptions!$B$5,Assumptions!$B$6),NORMINV(RAND(),Assumptions!$B$8,Assumptions!$B$9))</f>
        <v>0.154271324744241</v>
      </c>
      <c r="I133" s="8" t="n">
        <f aca="true">IF(C133="Bull",NORMINV(RAND(),Assumptions!$B$5,Assumptions!$B$6),NORMINV(RAND(),Assumptions!$B$8,Assumptions!$B$9))</f>
        <v>-0.00463198626125849</v>
      </c>
      <c r="J133" s="8" t="n">
        <f aca="true">IF(D133="Bull",NORMINV(RAND(),Assumptions!$B$5,Assumptions!$B$6),NORMINV(RAND(),Assumptions!$B$8,Assumptions!$B$9))</f>
        <v>0.255941456179107</v>
      </c>
      <c r="K133" s="8" t="n">
        <f aca="true">IF(E133="Bull",NORMINV(RAND(),Assumptions!$B$5,Assumptions!$B$6),NORMINV(RAND(),Assumptions!$B$8,Assumptions!$B$9))</f>
        <v>0.269873484013176</v>
      </c>
      <c r="L133" s="8" t="n">
        <f aca="true">IF(F133="Bull",NORMINV(RAND(),Assumptions!$B$5,Assumptions!$B$6),NORMINV(RAND(),Assumptions!$B$8,Assumptions!$B$9))</f>
        <v>0.179407197724217</v>
      </c>
      <c r="M133" s="8" t="n">
        <f aca="true">IF(G133="Bull",NORMINV(RAND(),Assumptions!$B$5,Assumptions!$B$6),NORMINV(RAND(),Assumptions!$B$8,Assumptions!$B$9))</f>
        <v>0.113455819446366</v>
      </c>
      <c r="N133" s="8" t="n">
        <f aca="true">NORMINV(RAND(),Assumptions!$B$14,Assumptions!$B$15)</f>
        <v>0.0596175673940474</v>
      </c>
      <c r="O133" s="8" t="n">
        <f aca="true">NORMINV(RAND(),Assumptions!$B$14,Assumptions!$B$15)</f>
        <v>0.0823337847536025</v>
      </c>
      <c r="P133" s="8" t="n">
        <f aca="true">NORMINV(RAND(),Assumptions!$B$14,Assumptions!$B$15)</f>
        <v>0.0899347673952562</v>
      </c>
      <c r="Q133" s="8" t="n">
        <f aca="true">NORMINV(RAND(),Assumptions!$B$14,Assumptions!$B$15)</f>
        <v>0.0568904915940495</v>
      </c>
      <c r="R133" s="8" t="n">
        <f aca="true">NORMINV(RAND(),Assumptions!$B$14,Assumptions!$B$15)</f>
        <v>0.00513490589953179</v>
      </c>
      <c r="S133" s="8" t="n">
        <f aca="true">NORMINV(RAND(),Assumptions!$B$14,Assumptions!$B$15)</f>
        <v>0.0231328937709051</v>
      </c>
      <c r="T133" s="8" t="n">
        <f aca="false">Assumptions!$B$19*H133+(1-Assumptions!$B$19)*N133</f>
        <v>0.154271324744241</v>
      </c>
      <c r="U133" s="8" t="n">
        <f aca="false">Assumptions!$B$20*I133+(1-Assumptions!$B$20)*O133</f>
        <v>-0.00463198626125849</v>
      </c>
      <c r="V133" s="8" t="n">
        <f aca="false">Assumptions!$B$21*J133+(1-Assumptions!$B$21)*P133</f>
        <v>0.255941456179107</v>
      </c>
      <c r="W133" s="8" t="n">
        <f aca="false">Assumptions!$B$22*K133+(1-Assumptions!$B$22)*Q133</f>
        <v>0.269873484013176</v>
      </c>
      <c r="X133" s="8" t="n">
        <f aca="false">Assumptions!$B$23*L133+(1-Assumptions!$B$23)*R133</f>
        <v>0.14455273935928</v>
      </c>
      <c r="Y133" s="8" t="n">
        <f aca="false">Assumptions!$B$24*M133+(1-Assumptions!$B$24)*S133</f>
        <v>0.0773266491761815</v>
      </c>
      <c r="Z133" s="6" t="n">
        <f aca="false">Assumptions!$B$27*(1+T133)</f>
        <v>346281.397423272</v>
      </c>
      <c r="AA133" s="6" t="n">
        <f aca="false">(Z133+Assumptions!$B$28)*(1+U133)</f>
        <v>493982.62880869</v>
      </c>
      <c r="AB133" s="6" t="n">
        <f aca="false">AA133*(1+V133)</f>
        <v>620413.262153169</v>
      </c>
      <c r="AC133" s="6" t="n">
        <f aca="false">AB133*(1+W133)</f>
        <v>787846.350738424</v>
      </c>
      <c r="AD133" s="6" t="n">
        <f aca="false">AC133*(1+X133)</f>
        <v>901731.698931876</v>
      </c>
      <c r="AE133" s="6" t="n">
        <f aca="false">AD133*(1+Y133)</f>
        <v>971459.589666223</v>
      </c>
      <c r="AF133" s="6" t="n">
        <f aca="false">Z133</f>
        <v>346281.397423272</v>
      </c>
      <c r="AG133" s="6" t="n">
        <f aca="false">MAX(AF133,AA133)</f>
        <v>493982.62880869</v>
      </c>
      <c r="AH133" s="6" t="n">
        <f aca="false">MAX(AG133,AB133)</f>
        <v>620413.262153169</v>
      </c>
      <c r="AI133" s="6" t="n">
        <f aca="false">MAX(AH133,AC133)</f>
        <v>787846.350738424</v>
      </c>
      <c r="AJ133" s="6" t="n">
        <f aca="false">MAX(AI133,AD133)</f>
        <v>901731.698931876</v>
      </c>
      <c r="AK133" s="6" t="n">
        <f aca="false">MAX(AJ133,AE133)</f>
        <v>971459.589666223</v>
      </c>
      <c r="AL133" s="8" t="n">
        <f aca="false">MIN(Z133/AF133-1,AA133/AG133-1,AB133/AH133-1,AC133/AI133-1,AD133/AJ133-1,AE133/AK133-1)</f>
        <v>0</v>
      </c>
      <c r="AM133" s="6" t="n">
        <f aca="false">AE133-Assumptions!$B$35</f>
        <v>530195.59300372</v>
      </c>
    </row>
    <row r="134" customFormat="false" ht="15" hidden="false" customHeight="false" outlineLevel="0" collapsed="false">
      <c r="A134" s="0" t="n">
        <f aca="false">ROW()-1</f>
        <v>133</v>
      </c>
      <c r="B134" s="0" t="str">
        <f aca="true">IF(RAND()&lt;Assumptions!$B$11,"Bull","Bear")</f>
        <v>Bear</v>
      </c>
      <c r="C134" s="0" t="str">
        <f aca="true">IF(B134="Bull",IF(RAND()&lt;Assumptions!$B$7,"Bull","Bear"),IF(RAND()&lt;Assumptions!$B$10,"Bear","Bull"))</f>
        <v>Bull</v>
      </c>
      <c r="D134" s="0" t="str">
        <f aca="true">IF(C134="Bull",IF(RAND()&lt;Assumptions!$B$7,"Bull","Bear"),IF(RAND()&lt;Assumptions!$B$10,"Bear","Bull"))</f>
        <v>Bull</v>
      </c>
      <c r="E134" s="0" t="str">
        <f aca="true">IF(D134="Bull",IF(RAND()&lt;Assumptions!$B$7,"Bull","Bear"),IF(RAND()&lt;Assumptions!$B$10,"Bear","Bull"))</f>
        <v>Bull</v>
      </c>
      <c r="F134" s="0" t="str">
        <f aca="true">IF(E134="Bull",IF(RAND()&lt;Assumptions!$B$7,"Bull","Bear"),IF(RAND()&lt;Assumptions!$B$10,"Bear","Bull"))</f>
        <v>Bull</v>
      </c>
      <c r="G134" s="0" t="str">
        <f aca="true">IF(F134="Bull",IF(RAND()&lt;Assumptions!$B$7,"Bull","Bear"),IF(RAND()&lt;Assumptions!$B$10,"Bear","Bull"))</f>
        <v>Bull</v>
      </c>
      <c r="H134" s="8" t="n">
        <f aca="true">IF(B134="Bull",NORMINV(RAND(),Assumptions!$B$5,Assumptions!$B$6),NORMINV(RAND(),Assumptions!$B$8,Assumptions!$B$9))</f>
        <v>-0.0188136219854734</v>
      </c>
      <c r="I134" s="8" t="n">
        <f aca="true">IF(C134="Bull",NORMINV(RAND(),Assumptions!$B$5,Assumptions!$B$6),NORMINV(RAND(),Assumptions!$B$8,Assumptions!$B$9))</f>
        <v>0.258426040594275</v>
      </c>
      <c r="J134" s="8" t="n">
        <f aca="true">IF(D134="Bull",NORMINV(RAND(),Assumptions!$B$5,Assumptions!$B$6),NORMINV(RAND(),Assumptions!$B$8,Assumptions!$B$9))</f>
        <v>0.209254003694155</v>
      </c>
      <c r="K134" s="8" t="n">
        <f aca="true">IF(E134="Bull",NORMINV(RAND(),Assumptions!$B$5,Assumptions!$B$6),NORMINV(RAND(),Assumptions!$B$8,Assumptions!$B$9))</f>
        <v>0.0981334324447539</v>
      </c>
      <c r="L134" s="8" t="n">
        <f aca="true">IF(F134="Bull",NORMINV(RAND(),Assumptions!$B$5,Assumptions!$B$6),NORMINV(RAND(),Assumptions!$B$8,Assumptions!$B$9))</f>
        <v>0.333173942098972</v>
      </c>
      <c r="M134" s="8" t="n">
        <f aca="true">IF(G134="Bull",NORMINV(RAND(),Assumptions!$B$5,Assumptions!$B$6),NORMINV(RAND(),Assumptions!$B$8,Assumptions!$B$9))</f>
        <v>0.271624862875363</v>
      </c>
      <c r="N134" s="8" t="n">
        <f aca="true">NORMINV(RAND(),Assumptions!$B$14,Assumptions!$B$15)</f>
        <v>0.0719806627259937</v>
      </c>
      <c r="O134" s="8" t="n">
        <f aca="true">NORMINV(RAND(),Assumptions!$B$14,Assumptions!$B$15)</f>
        <v>0.0208616827948372</v>
      </c>
      <c r="P134" s="8" t="n">
        <f aca="true">NORMINV(RAND(),Assumptions!$B$14,Assumptions!$B$15)</f>
        <v>0.0695643381121837</v>
      </c>
      <c r="Q134" s="8" t="n">
        <f aca="true">NORMINV(RAND(),Assumptions!$B$14,Assumptions!$B$15)</f>
        <v>0.0351877142079342</v>
      </c>
      <c r="R134" s="8" t="n">
        <f aca="true">NORMINV(RAND(),Assumptions!$B$14,Assumptions!$B$15)</f>
        <v>-0.00739704509120574</v>
      </c>
      <c r="S134" s="8" t="n">
        <f aca="true">NORMINV(RAND(),Assumptions!$B$14,Assumptions!$B$15)</f>
        <v>0.0606618370460027</v>
      </c>
      <c r="T134" s="8" t="n">
        <f aca="false">Assumptions!$B$19*H134+(1-Assumptions!$B$19)*N134</f>
        <v>-0.0188136219854734</v>
      </c>
      <c r="U134" s="8" t="n">
        <f aca="false">Assumptions!$B$20*I134+(1-Assumptions!$B$20)*O134</f>
        <v>0.258426040594275</v>
      </c>
      <c r="V134" s="8" t="n">
        <f aca="false">Assumptions!$B$21*J134+(1-Assumptions!$B$21)*P134</f>
        <v>0.209254003694155</v>
      </c>
      <c r="W134" s="8" t="n">
        <f aca="false">Assumptions!$B$22*K134+(1-Assumptions!$B$22)*Q134</f>
        <v>0.0981334324447539</v>
      </c>
      <c r="X134" s="8" t="n">
        <f aca="false">Assumptions!$B$23*L134+(1-Assumptions!$B$23)*R134</f>
        <v>0.265059744660937</v>
      </c>
      <c r="Y134" s="8" t="n">
        <f aca="false">Assumptions!$B$24*M134+(1-Assumptions!$B$24)*S134</f>
        <v>0.187239652543619</v>
      </c>
      <c r="Z134" s="6" t="n">
        <f aca="false">Assumptions!$B$27*(1+T134)</f>
        <v>294355.913404358</v>
      </c>
      <c r="AA134" s="6" t="n">
        <f aca="false">(Z134+Assumptions!$B$28)*(1+U134)</f>
        <v>559189.052720099</v>
      </c>
      <c r="AB134" s="6" t="n">
        <f aca="false">AA134*(1+V134)</f>
        <v>676201.600823721</v>
      </c>
      <c r="AC134" s="6" t="n">
        <f aca="false">AB134*(1+W134)</f>
        <v>742559.58493719</v>
      </c>
      <c r="AD134" s="6" t="n">
        <f aca="false">AC134*(1+X134)</f>
        <v>939382.238916173</v>
      </c>
      <c r="AE134" s="6" t="n">
        <f aca="false">AD134*(1+Y134)</f>
        <v>1115271.84293648</v>
      </c>
      <c r="AF134" s="6" t="n">
        <f aca="false">Z134</f>
        <v>294355.913404358</v>
      </c>
      <c r="AG134" s="6" t="n">
        <f aca="false">MAX(AF134,AA134)</f>
        <v>559189.052720099</v>
      </c>
      <c r="AH134" s="6" t="n">
        <f aca="false">MAX(AG134,AB134)</f>
        <v>676201.600823721</v>
      </c>
      <c r="AI134" s="6" t="n">
        <f aca="false">MAX(AH134,AC134)</f>
        <v>742559.58493719</v>
      </c>
      <c r="AJ134" s="6" t="n">
        <f aca="false">MAX(AI134,AD134)</f>
        <v>939382.238916173</v>
      </c>
      <c r="AK134" s="6" t="n">
        <f aca="false">MAX(AJ134,AE134)</f>
        <v>1115271.84293648</v>
      </c>
      <c r="AL134" s="8" t="n">
        <f aca="false">MIN(Z134/AF134-1,AA134/AG134-1,AB134/AH134-1,AC134/AI134-1,AD134/AJ134-1,AE134/AK134-1)</f>
        <v>0</v>
      </c>
      <c r="AM134" s="6" t="n">
        <f aca="false">AE134-Assumptions!$B$35</f>
        <v>674007.846273981</v>
      </c>
    </row>
    <row r="135" customFormat="false" ht="15" hidden="false" customHeight="false" outlineLevel="0" collapsed="false">
      <c r="A135" s="0" t="n">
        <f aca="false">ROW()-1</f>
        <v>134</v>
      </c>
      <c r="B135" s="0" t="str">
        <f aca="true">IF(RAND()&lt;Assumptions!$B$11,"Bull","Bear")</f>
        <v>Bull</v>
      </c>
      <c r="C135" s="0" t="str">
        <f aca="true">IF(B135="Bull",IF(RAND()&lt;Assumptions!$B$7,"Bull","Bear"),IF(RAND()&lt;Assumptions!$B$10,"Bear","Bull"))</f>
        <v>Bull</v>
      </c>
      <c r="D135" s="0" t="str">
        <f aca="true">IF(C135="Bull",IF(RAND()&lt;Assumptions!$B$7,"Bull","Bear"),IF(RAND()&lt;Assumptions!$B$10,"Bear","Bull"))</f>
        <v>Bear</v>
      </c>
      <c r="E135" s="0" t="str">
        <f aca="true">IF(D135="Bull",IF(RAND()&lt;Assumptions!$B$7,"Bull","Bear"),IF(RAND()&lt;Assumptions!$B$10,"Bear","Bull"))</f>
        <v>Bull</v>
      </c>
      <c r="F135" s="0" t="str">
        <f aca="true">IF(E135="Bull",IF(RAND()&lt;Assumptions!$B$7,"Bull","Bear"),IF(RAND()&lt;Assumptions!$B$10,"Bear","Bull"))</f>
        <v>Bull</v>
      </c>
      <c r="G135" s="0" t="str">
        <f aca="true">IF(F135="Bull",IF(RAND()&lt;Assumptions!$B$7,"Bull","Bear"),IF(RAND()&lt;Assumptions!$B$10,"Bear","Bull"))</f>
        <v>Bull</v>
      </c>
      <c r="H135" s="8" t="n">
        <f aca="true">IF(B135="Bull",NORMINV(RAND(),Assumptions!$B$5,Assumptions!$B$6),NORMINV(RAND(),Assumptions!$B$8,Assumptions!$B$9))</f>
        <v>0.0822909149938771</v>
      </c>
      <c r="I135" s="8" t="n">
        <f aca="true">IF(C135="Bull",NORMINV(RAND(),Assumptions!$B$5,Assumptions!$B$6),NORMINV(RAND(),Assumptions!$B$8,Assumptions!$B$9))</f>
        <v>0.410769858575979</v>
      </c>
      <c r="J135" s="8" t="n">
        <f aca="true">IF(D135="Bull",NORMINV(RAND(),Assumptions!$B$5,Assumptions!$B$6),NORMINV(RAND(),Assumptions!$B$8,Assumptions!$B$9))</f>
        <v>0.0769298377752057</v>
      </c>
      <c r="K135" s="8" t="n">
        <f aca="true">IF(E135="Bull",NORMINV(RAND(),Assumptions!$B$5,Assumptions!$B$6),NORMINV(RAND(),Assumptions!$B$8,Assumptions!$B$9))</f>
        <v>0.2060188230546</v>
      </c>
      <c r="L135" s="8" t="n">
        <f aca="true">IF(F135="Bull",NORMINV(RAND(),Assumptions!$B$5,Assumptions!$B$6),NORMINV(RAND(),Assumptions!$B$8,Assumptions!$B$9))</f>
        <v>0.195931748825448</v>
      </c>
      <c r="M135" s="8" t="n">
        <f aca="true">IF(G135="Bull",NORMINV(RAND(),Assumptions!$B$5,Assumptions!$B$6),NORMINV(RAND(),Assumptions!$B$8,Assumptions!$B$9))</f>
        <v>-0.0593653687944647</v>
      </c>
      <c r="N135" s="8" t="n">
        <f aca="true">NORMINV(RAND(),Assumptions!$B$14,Assumptions!$B$15)</f>
        <v>0.0577029393773731</v>
      </c>
      <c r="O135" s="8" t="n">
        <f aca="true">NORMINV(RAND(),Assumptions!$B$14,Assumptions!$B$15)</f>
        <v>0.0797267003981652</v>
      </c>
      <c r="P135" s="8" t="n">
        <f aca="true">NORMINV(RAND(),Assumptions!$B$14,Assumptions!$B$15)</f>
        <v>0.0584286201330689</v>
      </c>
      <c r="Q135" s="8" t="n">
        <f aca="true">NORMINV(RAND(),Assumptions!$B$14,Assumptions!$B$15)</f>
        <v>0.0388519180825502</v>
      </c>
      <c r="R135" s="8" t="n">
        <f aca="true">NORMINV(RAND(),Assumptions!$B$14,Assumptions!$B$15)</f>
        <v>0.0633158707292457</v>
      </c>
      <c r="S135" s="8" t="n">
        <f aca="true">NORMINV(RAND(),Assumptions!$B$14,Assumptions!$B$15)</f>
        <v>0.0544526535566135</v>
      </c>
      <c r="T135" s="8" t="n">
        <f aca="false">Assumptions!$B$19*H135+(1-Assumptions!$B$19)*N135</f>
        <v>0.0822909149938771</v>
      </c>
      <c r="U135" s="8" t="n">
        <f aca="false">Assumptions!$B$20*I135+(1-Assumptions!$B$20)*O135</f>
        <v>0.410769858575979</v>
      </c>
      <c r="V135" s="8" t="n">
        <f aca="false">Assumptions!$B$21*J135+(1-Assumptions!$B$21)*P135</f>
        <v>0.0769298377752057</v>
      </c>
      <c r="W135" s="8" t="n">
        <f aca="false">Assumptions!$B$22*K135+(1-Assumptions!$B$22)*Q135</f>
        <v>0.2060188230546</v>
      </c>
      <c r="X135" s="8" t="n">
        <f aca="false">Assumptions!$B$23*L135+(1-Assumptions!$B$23)*R135</f>
        <v>0.169408573206208</v>
      </c>
      <c r="Y135" s="8" t="n">
        <f aca="false">Assumptions!$B$24*M135+(1-Assumptions!$B$24)*S135</f>
        <v>-0.0138381598540334</v>
      </c>
      <c r="Z135" s="6" t="n">
        <f aca="false">Assumptions!$B$27*(1+T135)</f>
        <v>324687.274498163</v>
      </c>
      <c r="AA135" s="6" t="n">
        <f aca="false">(Z135+Assumptions!$B$28)*(1+U135)</f>
        <v>669674.49911159</v>
      </c>
      <c r="AB135" s="6" t="n">
        <f aca="false">AA135*(1+V135)</f>
        <v>721192.449690437</v>
      </c>
      <c r="AC135" s="6" t="n">
        <f aca="false">AB135*(1+W135)</f>
        <v>869771.669371525</v>
      </c>
      <c r="AD135" s="6" t="n">
        <f aca="false">AC135*(1+X135)</f>
        <v>1017118.44689494</v>
      </c>
      <c r="AE135" s="6" t="n">
        <f aca="false">AD135*(1+Y135)</f>
        <v>1003043.39923632</v>
      </c>
      <c r="AF135" s="6" t="n">
        <f aca="false">Z135</f>
        <v>324687.274498163</v>
      </c>
      <c r="AG135" s="6" t="n">
        <f aca="false">MAX(AF135,AA135)</f>
        <v>669674.49911159</v>
      </c>
      <c r="AH135" s="6" t="n">
        <f aca="false">MAX(AG135,AB135)</f>
        <v>721192.449690437</v>
      </c>
      <c r="AI135" s="6" t="n">
        <f aca="false">MAX(AH135,AC135)</f>
        <v>869771.669371525</v>
      </c>
      <c r="AJ135" s="6" t="n">
        <f aca="false">MAX(AI135,AD135)</f>
        <v>1017118.44689494</v>
      </c>
      <c r="AK135" s="6" t="n">
        <f aca="false">MAX(AJ135,AE135)</f>
        <v>1017118.44689494</v>
      </c>
      <c r="AL135" s="8" t="n">
        <f aca="false">MIN(Z135/AF135-1,AA135/AG135-1,AB135/AH135-1,AC135/AI135-1,AD135/AJ135-1,AE135/AK135-1)</f>
        <v>-0.0138381598540335</v>
      </c>
      <c r="AM135" s="6" t="n">
        <f aca="false">AE135-Assumptions!$B$35</f>
        <v>561779.402573815</v>
      </c>
    </row>
    <row r="136" customFormat="false" ht="15" hidden="false" customHeight="false" outlineLevel="0" collapsed="false">
      <c r="A136" s="0" t="n">
        <f aca="false">ROW()-1</f>
        <v>135</v>
      </c>
      <c r="B136" s="0" t="str">
        <f aca="true">IF(RAND()&lt;Assumptions!$B$11,"Bull","Bear")</f>
        <v>Bull</v>
      </c>
      <c r="C136" s="0" t="str">
        <f aca="true">IF(B136="Bull",IF(RAND()&lt;Assumptions!$B$7,"Bull","Bear"),IF(RAND()&lt;Assumptions!$B$10,"Bear","Bull"))</f>
        <v>Bull</v>
      </c>
      <c r="D136" s="0" t="str">
        <f aca="true">IF(C136="Bull",IF(RAND()&lt;Assumptions!$B$7,"Bull","Bear"),IF(RAND()&lt;Assumptions!$B$10,"Bear","Bull"))</f>
        <v>Bear</v>
      </c>
      <c r="E136" s="0" t="str">
        <f aca="true">IF(D136="Bull",IF(RAND()&lt;Assumptions!$B$7,"Bull","Bear"),IF(RAND()&lt;Assumptions!$B$10,"Bear","Bull"))</f>
        <v>Bear</v>
      </c>
      <c r="F136" s="0" t="str">
        <f aca="true">IF(E136="Bull",IF(RAND()&lt;Assumptions!$B$7,"Bull","Bear"),IF(RAND()&lt;Assumptions!$B$10,"Bear","Bull"))</f>
        <v>Bull</v>
      </c>
      <c r="G136" s="0" t="str">
        <f aca="true">IF(F136="Bull",IF(RAND()&lt;Assumptions!$B$7,"Bull","Bear"),IF(RAND()&lt;Assumptions!$B$10,"Bear","Bull"))</f>
        <v>Bull</v>
      </c>
      <c r="H136" s="8" t="n">
        <f aca="true">IF(B136="Bull",NORMINV(RAND(),Assumptions!$B$5,Assumptions!$B$6),NORMINV(RAND(),Assumptions!$B$8,Assumptions!$B$9))</f>
        <v>-0.0368921565252318</v>
      </c>
      <c r="I136" s="8" t="n">
        <f aca="true">IF(C136="Bull",NORMINV(RAND(),Assumptions!$B$5,Assumptions!$B$6),NORMINV(RAND(),Assumptions!$B$8,Assumptions!$B$9))</f>
        <v>0.0115951787558791</v>
      </c>
      <c r="J136" s="8" t="n">
        <f aca="true">IF(D136="Bull",NORMINV(RAND(),Assumptions!$B$5,Assumptions!$B$6),NORMINV(RAND(),Assumptions!$B$8,Assumptions!$B$9))</f>
        <v>-0.192202081309</v>
      </c>
      <c r="K136" s="8" t="n">
        <f aca="true">IF(E136="Bull",NORMINV(RAND(),Assumptions!$B$5,Assumptions!$B$6),NORMINV(RAND(),Assumptions!$B$8,Assumptions!$B$9))</f>
        <v>-0.0718196278540444</v>
      </c>
      <c r="L136" s="8" t="n">
        <f aca="true">IF(F136="Bull",NORMINV(RAND(),Assumptions!$B$5,Assumptions!$B$6),NORMINV(RAND(),Assumptions!$B$8,Assumptions!$B$9))</f>
        <v>0.365013972887503</v>
      </c>
      <c r="M136" s="8" t="n">
        <f aca="true">IF(G136="Bull",NORMINV(RAND(),Assumptions!$B$5,Assumptions!$B$6),NORMINV(RAND(),Assumptions!$B$8,Assumptions!$B$9))</f>
        <v>0.0487564475062644</v>
      </c>
      <c r="N136" s="8" t="n">
        <f aca="true">NORMINV(RAND(),Assumptions!$B$14,Assumptions!$B$15)</f>
        <v>-0.00138829457914958</v>
      </c>
      <c r="O136" s="8" t="n">
        <f aca="true">NORMINV(RAND(),Assumptions!$B$14,Assumptions!$B$15)</f>
        <v>0.0467879226598557</v>
      </c>
      <c r="P136" s="8" t="n">
        <f aca="true">NORMINV(RAND(),Assumptions!$B$14,Assumptions!$B$15)</f>
        <v>0.00201182161054032</v>
      </c>
      <c r="Q136" s="8" t="n">
        <f aca="true">NORMINV(RAND(),Assumptions!$B$14,Assumptions!$B$15)</f>
        <v>0.0535157647333968</v>
      </c>
      <c r="R136" s="8" t="n">
        <f aca="true">NORMINV(RAND(),Assumptions!$B$14,Assumptions!$B$15)</f>
        <v>0.106938518974824</v>
      </c>
      <c r="S136" s="8" t="n">
        <f aca="true">NORMINV(RAND(),Assumptions!$B$14,Assumptions!$B$15)</f>
        <v>0.0456679579712377</v>
      </c>
      <c r="T136" s="8" t="n">
        <f aca="false">Assumptions!$B$19*H136+(1-Assumptions!$B$19)*N136</f>
        <v>-0.0368921565252318</v>
      </c>
      <c r="U136" s="8" t="n">
        <f aca="false">Assumptions!$B$20*I136+(1-Assumptions!$B$20)*O136</f>
        <v>0.0115951787558791</v>
      </c>
      <c r="V136" s="8" t="n">
        <f aca="false">Assumptions!$B$21*J136+(1-Assumptions!$B$21)*P136</f>
        <v>-0.192202081309</v>
      </c>
      <c r="W136" s="8" t="n">
        <f aca="false">Assumptions!$B$22*K136+(1-Assumptions!$B$22)*Q136</f>
        <v>-0.0718196278540444</v>
      </c>
      <c r="X136" s="8" t="n">
        <f aca="false">Assumptions!$B$23*L136+(1-Assumptions!$B$23)*R136</f>
        <v>0.313398882104967</v>
      </c>
      <c r="Y136" s="8" t="n">
        <f aca="false">Assumptions!$B$24*M136+(1-Assumptions!$B$24)*S136</f>
        <v>0.0475210516922537</v>
      </c>
      <c r="Z136" s="6" t="n">
        <f aca="false">Assumptions!$B$27*(1+T136)</f>
        <v>288932.353042431</v>
      </c>
      <c r="AA136" s="6" t="n">
        <f aca="false">(Z136+Assumptions!$B$28)*(1+U136)</f>
        <v>444021.852137696</v>
      </c>
      <c r="AB136" s="6" t="n">
        <f aca="false">AA136*(1+V136)</f>
        <v>358679.928010154</v>
      </c>
      <c r="AC136" s="6" t="n">
        <f aca="false">AB136*(1+W136)</f>
        <v>332919.669061749</v>
      </c>
      <c r="AD136" s="6" t="n">
        <f aca="false">AC136*(1+X136)</f>
        <v>437256.321176457</v>
      </c>
      <c r="AE136" s="6" t="n">
        <f aca="false">AD136*(1+Y136)</f>
        <v>458035.201417848</v>
      </c>
      <c r="AF136" s="6" t="n">
        <f aca="false">Z136</f>
        <v>288932.353042431</v>
      </c>
      <c r="AG136" s="6" t="n">
        <f aca="false">MAX(AF136,AA136)</f>
        <v>444021.852137696</v>
      </c>
      <c r="AH136" s="6" t="n">
        <f aca="false">MAX(AG136,AB136)</f>
        <v>444021.852137696</v>
      </c>
      <c r="AI136" s="6" t="n">
        <f aca="false">MAX(AH136,AC136)</f>
        <v>444021.852137696</v>
      </c>
      <c r="AJ136" s="6" t="n">
        <f aca="false">MAX(AI136,AD136)</f>
        <v>444021.852137696</v>
      </c>
      <c r="AK136" s="6" t="n">
        <f aca="false">MAX(AJ136,AE136)</f>
        <v>458035.201417848</v>
      </c>
      <c r="AL136" s="8" t="n">
        <f aca="false">MIN(Z136/AF136-1,AA136/AG136-1,AB136/AH136-1,AC136/AI136-1,AD136/AJ136-1,AE136/AK136-1)</f>
        <v>-0.250217827210659</v>
      </c>
      <c r="AM136" s="6" t="n">
        <f aca="false">AE136-Assumptions!$B$35</f>
        <v>16771.2047553443</v>
      </c>
    </row>
    <row r="137" customFormat="false" ht="15" hidden="false" customHeight="false" outlineLevel="0" collapsed="false">
      <c r="A137" s="0" t="n">
        <f aca="false">ROW()-1</f>
        <v>136</v>
      </c>
      <c r="B137" s="0" t="str">
        <f aca="true">IF(RAND()&lt;Assumptions!$B$11,"Bull","Bear")</f>
        <v>Bear</v>
      </c>
      <c r="C137" s="0" t="str">
        <f aca="true">IF(B137="Bull",IF(RAND()&lt;Assumptions!$B$7,"Bull","Bear"),IF(RAND()&lt;Assumptions!$B$10,"Bear","Bull"))</f>
        <v>Bull</v>
      </c>
      <c r="D137" s="0" t="str">
        <f aca="true">IF(C137="Bull",IF(RAND()&lt;Assumptions!$B$7,"Bull","Bear"),IF(RAND()&lt;Assumptions!$B$10,"Bear","Bull"))</f>
        <v>Bull</v>
      </c>
      <c r="E137" s="0" t="str">
        <f aca="true">IF(D137="Bull",IF(RAND()&lt;Assumptions!$B$7,"Bull","Bear"),IF(RAND()&lt;Assumptions!$B$10,"Bear","Bull"))</f>
        <v>Bull</v>
      </c>
      <c r="F137" s="0" t="str">
        <f aca="true">IF(E137="Bull",IF(RAND()&lt;Assumptions!$B$7,"Bull","Bear"),IF(RAND()&lt;Assumptions!$B$10,"Bear","Bull"))</f>
        <v>Bull</v>
      </c>
      <c r="G137" s="0" t="str">
        <f aca="true">IF(F137="Bull",IF(RAND()&lt;Assumptions!$B$7,"Bull","Bear"),IF(RAND()&lt;Assumptions!$B$10,"Bear","Bull"))</f>
        <v>Bull</v>
      </c>
      <c r="H137" s="8" t="n">
        <f aca="true">IF(B137="Bull",NORMINV(RAND(),Assumptions!$B$5,Assumptions!$B$6),NORMINV(RAND(),Assumptions!$B$8,Assumptions!$B$9))</f>
        <v>0.019508220715511</v>
      </c>
      <c r="I137" s="8" t="n">
        <f aca="true">IF(C137="Bull",NORMINV(RAND(),Assumptions!$B$5,Assumptions!$B$6),NORMINV(RAND(),Assumptions!$B$8,Assumptions!$B$9))</f>
        <v>0.23689435019395</v>
      </c>
      <c r="J137" s="8" t="n">
        <f aca="true">IF(D137="Bull",NORMINV(RAND(),Assumptions!$B$5,Assumptions!$B$6),NORMINV(RAND(),Assumptions!$B$8,Assumptions!$B$9))</f>
        <v>-0.0394480864885341</v>
      </c>
      <c r="K137" s="8" t="n">
        <f aca="true">IF(E137="Bull",NORMINV(RAND(),Assumptions!$B$5,Assumptions!$B$6),NORMINV(RAND(),Assumptions!$B$8,Assumptions!$B$9))</f>
        <v>0.0310043076756676</v>
      </c>
      <c r="L137" s="8" t="n">
        <f aca="true">IF(F137="Bull",NORMINV(RAND(),Assumptions!$B$5,Assumptions!$B$6),NORMINV(RAND(),Assumptions!$B$8,Assumptions!$B$9))</f>
        <v>0.154332210052397</v>
      </c>
      <c r="M137" s="8" t="n">
        <f aca="true">IF(G137="Bull",NORMINV(RAND(),Assumptions!$B$5,Assumptions!$B$6),NORMINV(RAND(),Assumptions!$B$8,Assumptions!$B$9))</f>
        <v>0.108468567489872</v>
      </c>
      <c r="N137" s="8" t="n">
        <f aca="true">NORMINV(RAND(),Assumptions!$B$14,Assumptions!$B$15)</f>
        <v>0.0395935271635924</v>
      </c>
      <c r="O137" s="8" t="n">
        <f aca="true">NORMINV(RAND(),Assumptions!$B$14,Assumptions!$B$15)</f>
        <v>0.027411537688369</v>
      </c>
      <c r="P137" s="8" t="n">
        <f aca="true">NORMINV(RAND(),Assumptions!$B$14,Assumptions!$B$15)</f>
        <v>0.031841974905383</v>
      </c>
      <c r="Q137" s="8" t="n">
        <f aca="true">NORMINV(RAND(),Assumptions!$B$14,Assumptions!$B$15)</f>
        <v>0.0491736463277456</v>
      </c>
      <c r="R137" s="8" t="n">
        <f aca="true">NORMINV(RAND(),Assumptions!$B$14,Assumptions!$B$15)</f>
        <v>0.0548311603440384</v>
      </c>
      <c r="S137" s="8" t="n">
        <f aca="true">NORMINV(RAND(),Assumptions!$B$14,Assumptions!$B$15)</f>
        <v>0.0752454143167781</v>
      </c>
      <c r="T137" s="8" t="n">
        <f aca="false">Assumptions!$B$19*H137+(1-Assumptions!$B$19)*N137</f>
        <v>0.019508220715511</v>
      </c>
      <c r="U137" s="8" t="n">
        <f aca="false">Assumptions!$B$20*I137+(1-Assumptions!$B$20)*O137</f>
        <v>0.23689435019395</v>
      </c>
      <c r="V137" s="8" t="n">
        <f aca="false">Assumptions!$B$21*J137+(1-Assumptions!$B$21)*P137</f>
        <v>-0.0394480864885341</v>
      </c>
      <c r="W137" s="8" t="n">
        <f aca="false">Assumptions!$B$22*K137+(1-Assumptions!$B$22)*Q137</f>
        <v>0.0310043076756676</v>
      </c>
      <c r="X137" s="8" t="n">
        <f aca="false">Assumptions!$B$23*L137+(1-Assumptions!$B$23)*R137</f>
        <v>0.134432000110725</v>
      </c>
      <c r="Y137" s="8" t="n">
        <f aca="false">Assumptions!$B$24*M137+(1-Assumptions!$B$24)*S137</f>
        <v>0.0951793062206345</v>
      </c>
      <c r="Z137" s="6" t="n">
        <f aca="false">Assumptions!$B$27*(1+T137)</f>
        <v>305852.466214653</v>
      </c>
      <c r="AA137" s="6" t="n">
        <f aca="false">(Z137+Assumptions!$B$28)*(1+U137)</f>
        <v>563841.339982883</v>
      </c>
      <c r="AB137" s="6" t="n">
        <f aca="false">AA137*(1+V137)</f>
        <v>541598.878037428</v>
      </c>
      <c r="AC137" s="6" t="n">
        <f aca="false">AB137*(1+W137)</f>
        <v>558390.776288896</v>
      </c>
      <c r="AD137" s="6" t="n">
        <f aca="false">AC137*(1+X137)</f>
        <v>633456.365188793</v>
      </c>
      <c r="AE137" s="6" t="n">
        <f aca="false">AD137*(1+Y137)</f>
        <v>693748.302548507</v>
      </c>
      <c r="AF137" s="6" t="n">
        <f aca="false">Z137</f>
        <v>305852.466214653</v>
      </c>
      <c r="AG137" s="6" t="n">
        <f aca="false">MAX(AF137,AA137)</f>
        <v>563841.339982883</v>
      </c>
      <c r="AH137" s="6" t="n">
        <f aca="false">MAX(AG137,AB137)</f>
        <v>563841.339982883</v>
      </c>
      <c r="AI137" s="6" t="n">
        <f aca="false">MAX(AH137,AC137)</f>
        <v>563841.339982883</v>
      </c>
      <c r="AJ137" s="6" t="n">
        <f aca="false">MAX(AI137,AD137)</f>
        <v>633456.365188793</v>
      </c>
      <c r="AK137" s="6" t="n">
        <f aca="false">MAX(AJ137,AE137)</f>
        <v>693748.302548507</v>
      </c>
      <c r="AL137" s="8" t="n">
        <f aca="false">MIN(Z137/AF137-1,AA137/AG137-1,AB137/AH137-1,AC137/AI137-1,AD137/AJ137-1,AE137/AK137-1)</f>
        <v>-0.0394480864885342</v>
      </c>
      <c r="AM137" s="6" t="n">
        <f aca="false">AE137-Assumptions!$B$35</f>
        <v>252484.305886004</v>
      </c>
    </row>
    <row r="138" customFormat="false" ht="15" hidden="false" customHeight="false" outlineLevel="0" collapsed="false">
      <c r="A138" s="0" t="n">
        <f aca="false">ROW()-1</f>
        <v>137</v>
      </c>
      <c r="B138" s="0" t="str">
        <f aca="true">IF(RAND()&lt;Assumptions!$B$11,"Bull","Bear")</f>
        <v>Bear</v>
      </c>
      <c r="C138" s="0" t="str">
        <f aca="true">IF(B138="Bull",IF(RAND()&lt;Assumptions!$B$7,"Bull","Bear"),IF(RAND()&lt;Assumptions!$B$10,"Bear","Bull"))</f>
        <v>Bull</v>
      </c>
      <c r="D138" s="0" t="str">
        <f aca="true">IF(C138="Bull",IF(RAND()&lt;Assumptions!$B$7,"Bull","Bear"),IF(RAND()&lt;Assumptions!$B$10,"Bear","Bull"))</f>
        <v>Bear</v>
      </c>
      <c r="E138" s="0" t="str">
        <f aca="true">IF(D138="Bull",IF(RAND()&lt;Assumptions!$B$7,"Bull","Bear"),IF(RAND()&lt;Assumptions!$B$10,"Bear","Bull"))</f>
        <v>Bear</v>
      </c>
      <c r="F138" s="0" t="str">
        <f aca="true">IF(E138="Bull",IF(RAND()&lt;Assumptions!$B$7,"Bull","Bear"),IF(RAND()&lt;Assumptions!$B$10,"Bear","Bull"))</f>
        <v>Bear</v>
      </c>
      <c r="G138" s="0" t="str">
        <f aca="true">IF(F138="Bull",IF(RAND()&lt;Assumptions!$B$7,"Bull","Bear"),IF(RAND()&lt;Assumptions!$B$10,"Bear","Bull"))</f>
        <v>Bull</v>
      </c>
      <c r="H138" s="8" t="n">
        <f aca="true">IF(B138="Bull",NORMINV(RAND(),Assumptions!$B$5,Assumptions!$B$6),NORMINV(RAND(),Assumptions!$B$8,Assumptions!$B$9))</f>
        <v>-0.0763971402026726</v>
      </c>
      <c r="I138" s="8" t="n">
        <f aca="true">IF(C138="Bull",NORMINV(RAND(),Assumptions!$B$5,Assumptions!$B$6),NORMINV(RAND(),Assumptions!$B$8,Assumptions!$B$9))</f>
        <v>0.369368725643822</v>
      </c>
      <c r="J138" s="8" t="n">
        <f aca="true">IF(D138="Bull",NORMINV(RAND(),Assumptions!$B$5,Assumptions!$B$6),NORMINV(RAND(),Assumptions!$B$8,Assumptions!$B$9))</f>
        <v>-0.21697865826979</v>
      </c>
      <c r="K138" s="8" t="n">
        <f aca="true">IF(E138="Bull",NORMINV(RAND(),Assumptions!$B$5,Assumptions!$B$6),NORMINV(RAND(),Assumptions!$B$8,Assumptions!$B$9))</f>
        <v>-0.149865181478218</v>
      </c>
      <c r="L138" s="8" t="n">
        <f aca="true">IF(F138="Bull",NORMINV(RAND(),Assumptions!$B$5,Assumptions!$B$6),NORMINV(RAND(),Assumptions!$B$8,Assumptions!$B$9))</f>
        <v>0.353667583657854</v>
      </c>
      <c r="M138" s="8" t="n">
        <f aca="true">IF(G138="Bull",NORMINV(RAND(),Assumptions!$B$5,Assumptions!$B$6),NORMINV(RAND(),Assumptions!$B$8,Assumptions!$B$9))</f>
        <v>0.0420221746165824</v>
      </c>
      <c r="N138" s="8" t="n">
        <f aca="true">NORMINV(RAND(),Assumptions!$B$14,Assumptions!$B$15)</f>
        <v>0.0771815634070243</v>
      </c>
      <c r="O138" s="8" t="n">
        <f aca="true">NORMINV(RAND(),Assumptions!$B$14,Assumptions!$B$15)</f>
        <v>0.0514257791844845</v>
      </c>
      <c r="P138" s="8" t="n">
        <f aca="true">NORMINV(RAND(),Assumptions!$B$14,Assumptions!$B$15)</f>
        <v>0.0504099443087216</v>
      </c>
      <c r="Q138" s="8" t="n">
        <f aca="true">NORMINV(RAND(),Assumptions!$B$14,Assumptions!$B$15)</f>
        <v>0.0480004167043842</v>
      </c>
      <c r="R138" s="8" t="n">
        <f aca="true">NORMINV(RAND(),Assumptions!$B$14,Assumptions!$B$15)</f>
        <v>0.057935348083264</v>
      </c>
      <c r="S138" s="8" t="n">
        <f aca="true">NORMINV(RAND(),Assumptions!$B$14,Assumptions!$B$15)</f>
        <v>0.0375460475909769</v>
      </c>
      <c r="T138" s="8" t="n">
        <f aca="false">Assumptions!$B$19*H138+(1-Assumptions!$B$19)*N138</f>
        <v>-0.0763971402026726</v>
      </c>
      <c r="U138" s="8" t="n">
        <f aca="false">Assumptions!$B$20*I138+(1-Assumptions!$B$20)*O138</f>
        <v>0.369368725643822</v>
      </c>
      <c r="V138" s="8" t="n">
        <f aca="false">Assumptions!$B$21*J138+(1-Assumptions!$B$21)*P138</f>
        <v>-0.21697865826979</v>
      </c>
      <c r="W138" s="8" t="n">
        <f aca="false">Assumptions!$B$22*K138+(1-Assumptions!$B$22)*Q138</f>
        <v>-0.149865181478218</v>
      </c>
      <c r="X138" s="8" t="n">
        <f aca="false">Assumptions!$B$23*L138+(1-Assumptions!$B$23)*R138</f>
        <v>0.294521136542936</v>
      </c>
      <c r="Y138" s="8" t="n">
        <f aca="false">Assumptions!$B$24*M138+(1-Assumptions!$B$24)*S138</f>
        <v>0.0402317238063402</v>
      </c>
      <c r="Z138" s="6" t="n">
        <f aca="false">Assumptions!$B$27*(1+T138)</f>
        <v>277080.857939198</v>
      </c>
      <c r="AA138" s="6" t="n">
        <f aca="false">(Z138+Assumptions!$B$28)*(1+U138)</f>
        <v>584831.17018307</v>
      </c>
      <c r="AB138" s="6" t="n">
        <f aca="false">AA138*(1+V138)</f>
        <v>457935.287562396</v>
      </c>
      <c r="AC138" s="6" t="n">
        <f aca="false">AB138*(1+W138)</f>
        <v>389306.732586578</v>
      </c>
      <c r="AD138" s="6" t="n">
        <f aca="false">AC138*(1+X138)</f>
        <v>503965.793931794</v>
      </c>
      <c r="AE138" s="6" t="n">
        <f aca="false">AD138*(1+Y138)</f>
        <v>524241.206561101</v>
      </c>
      <c r="AF138" s="6" t="n">
        <f aca="false">Z138</f>
        <v>277080.857939198</v>
      </c>
      <c r="AG138" s="6" t="n">
        <f aca="false">MAX(AF138,AA138)</f>
        <v>584831.17018307</v>
      </c>
      <c r="AH138" s="6" t="n">
        <f aca="false">MAX(AG138,AB138)</f>
        <v>584831.17018307</v>
      </c>
      <c r="AI138" s="6" t="n">
        <f aca="false">MAX(AH138,AC138)</f>
        <v>584831.17018307</v>
      </c>
      <c r="AJ138" s="6" t="n">
        <f aca="false">MAX(AI138,AD138)</f>
        <v>584831.17018307</v>
      </c>
      <c r="AK138" s="6" t="n">
        <f aca="false">MAX(AJ138,AE138)</f>
        <v>584831.17018307</v>
      </c>
      <c r="AL138" s="8" t="n">
        <f aca="false">MIN(Z138/AF138-1,AA138/AG138-1,AB138/AH138-1,AC138/AI138-1,AD138/AJ138-1,AE138/AK138-1)</f>
        <v>-0.334326293749506</v>
      </c>
      <c r="AM138" s="6" t="n">
        <f aca="false">AE138-Assumptions!$B$35</f>
        <v>82977.2098985972</v>
      </c>
    </row>
    <row r="139" customFormat="false" ht="15" hidden="false" customHeight="false" outlineLevel="0" collapsed="false">
      <c r="A139" s="0" t="n">
        <f aca="false">ROW()-1</f>
        <v>138</v>
      </c>
      <c r="B139" s="0" t="str">
        <f aca="true">IF(RAND()&lt;Assumptions!$B$11,"Bull","Bear")</f>
        <v>Bear</v>
      </c>
      <c r="C139" s="0" t="str">
        <f aca="true">IF(B139="Bull",IF(RAND()&lt;Assumptions!$B$7,"Bull","Bear"),IF(RAND()&lt;Assumptions!$B$10,"Bear","Bull"))</f>
        <v>Bear</v>
      </c>
      <c r="D139" s="0" t="str">
        <f aca="true">IF(C139="Bull",IF(RAND()&lt;Assumptions!$B$7,"Bull","Bear"),IF(RAND()&lt;Assumptions!$B$10,"Bear","Bull"))</f>
        <v>Bear</v>
      </c>
      <c r="E139" s="0" t="str">
        <f aca="true">IF(D139="Bull",IF(RAND()&lt;Assumptions!$B$7,"Bull","Bear"),IF(RAND()&lt;Assumptions!$B$10,"Bear","Bull"))</f>
        <v>Bear</v>
      </c>
      <c r="F139" s="0" t="str">
        <f aca="true">IF(E139="Bull",IF(RAND()&lt;Assumptions!$B$7,"Bull","Bear"),IF(RAND()&lt;Assumptions!$B$10,"Bear","Bull"))</f>
        <v>Bear</v>
      </c>
      <c r="G139" s="0" t="str">
        <f aca="true">IF(F139="Bull",IF(RAND()&lt;Assumptions!$B$7,"Bull","Bear"),IF(RAND()&lt;Assumptions!$B$10,"Bear","Bull"))</f>
        <v>Bull</v>
      </c>
      <c r="H139" s="8" t="n">
        <f aca="true">IF(B139="Bull",NORMINV(RAND(),Assumptions!$B$5,Assumptions!$B$6),NORMINV(RAND(),Assumptions!$B$8,Assumptions!$B$9))</f>
        <v>-0.186278990012788</v>
      </c>
      <c r="I139" s="8" t="n">
        <f aca="true">IF(C139="Bull",NORMINV(RAND(),Assumptions!$B$5,Assumptions!$B$6),NORMINV(RAND(),Assumptions!$B$8,Assumptions!$B$9))</f>
        <v>-0.180982497876983</v>
      </c>
      <c r="J139" s="8" t="n">
        <f aca="true">IF(D139="Bull",NORMINV(RAND(),Assumptions!$B$5,Assumptions!$B$6),NORMINV(RAND(),Assumptions!$B$8,Assumptions!$B$9))</f>
        <v>-0.345260504824512</v>
      </c>
      <c r="K139" s="8" t="n">
        <f aca="true">IF(E139="Bull",NORMINV(RAND(),Assumptions!$B$5,Assumptions!$B$6),NORMINV(RAND(),Assumptions!$B$8,Assumptions!$B$9))</f>
        <v>-0.0368059012112056</v>
      </c>
      <c r="L139" s="8" t="n">
        <f aca="true">IF(F139="Bull",NORMINV(RAND(),Assumptions!$B$5,Assumptions!$B$6),NORMINV(RAND(),Assumptions!$B$8,Assumptions!$B$9))</f>
        <v>0.115092937172354</v>
      </c>
      <c r="M139" s="8" t="n">
        <f aca="true">IF(G139="Bull",NORMINV(RAND(),Assumptions!$B$5,Assumptions!$B$6),NORMINV(RAND(),Assumptions!$B$8,Assumptions!$B$9))</f>
        <v>0.13102721829146</v>
      </c>
      <c r="N139" s="8" t="n">
        <f aca="true">NORMINV(RAND(),Assumptions!$B$14,Assumptions!$B$15)</f>
        <v>0.0365827667604163</v>
      </c>
      <c r="O139" s="8" t="n">
        <f aca="true">NORMINV(RAND(),Assumptions!$B$14,Assumptions!$B$15)</f>
        <v>0.0619560459254815</v>
      </c>
      <c r="P139" s="8" t="n">
        <f aca="true">NORMINV(RAND(),Assumptions!$B$14,Assumptions!$B$15)</f>
        <v>0.057882768409884</v>
      </c>
      <c r="Q139" s="8" t="n">
        <f aca="true">NORMINV(RAND(),Assumptions!$B$14,Assumptions!$B$15)</f>
        <v>0.0134326137320586</v>
      </c>
      <c r="R139" s="8" t="n">
        <f aca="true">NORMINV(RAND(),Assumptions!$B$14,Assumptions!$B$15)</f>
        <v>0.0597043284849232</v>
      </c>
      <c r="S139" s="8" t="n">
        <f aca="true">NORMINV(RAND(),Assumptions!$B$14,Assumptions!$B$15)</f>
        <v>0.00384609432541507</v>
      </c>
      <c r="T139" s="8" t="n">
        <f aca="false">Assumptions!$B$19*H139+(1-Assumptions!$B$19)*N139</f>
        <v>-0.186278990012788</v>
      </c>
      <c r="U139" s="8" t="n">
        <f aca="false">Assumptions!$B$20*I139+(1-Assumptions!$B$20)*O139</f>
        <v>-0.180982497876983</v>
      </c>
      <c r="V139" s="8" t="n">
        <f aca="false">Assumptions!$B$21*J139+(1-Assumptions!$B$21)*P139</f>
        <v>-0.345260504824512</v>
      </c>
      <c r="W139" s="8" t="n">
        <f aca="false">Assumptions!$B$22*K139+(1-Assumptions!$B$22)*Q139</f>
        <v>-0.0368059012112056</v>
      </c>
      <c r="X139" s="8" t="n">
        <f aca="false">Assumptions!$B$23*L139+(1-Assumptions!$B$23)*R139</f>
        <v>0.104015215434868</v>
      </c>
      <c r="Y139" s="8" t="n">
        <f aca="false">Assumptions!$B$24*M139+(1-Assumptions!$B$24)*S139</f>
        <v>0.080154768705042</v>
      </c>
      <c r="Z139" s="6" t="n">
        <f aca="false">Assumptions!$B$27*(1+T139)</f>
        <v>244116.302996163</v>
      </c>
      <c r="AA139" s="6" t="n">
        <f aca="false">(Z139+Assumptions!$B$28)*(1+U139)</f>
        <v>322788.150025876</v>
      </c>
      <c r="AB139" s="6" t="n">
        <f aca="false">AA139*(1+V139)</f>
        <v>211342.150396572</v>
      </c>
      <c r="AC139" s="6" t="n">
        <f aca="false">AB139*(1+W139)</f>
        <v>203563.512087312</v>
      </c>
      <c r="AD139" s="6" t="n">
        <f aca="false">AC139*(1+X139)</f>
        <v>224737.214651752</v>
      </c>
      <c r="AE139" s="6" t="n">
        <f aca="false">AD139*(1+Y139)</f>
        <v>242750.974111578</v>
      </c>
      <c r="AF139" s="6" t="n">
        <f aca="false">Z139</f>
        <v>244116.302996163</v>
      </c>
      <c r="AG139" s="6" t="n">
        <f aca="false">MAX(AF139,AA139)</f>
        <v>322788.150025876</v>
      </c>
      <c r="AH139" s="6" t="n">
        <f aca="false">MAX(AG139,AB139)</f>
        <v>322788.150025876</v>
      </c>
      <c r="AI139" s="6" t="n">
        <f aca="false">MAX(AH139,AC139)</f>
        <v>322788.150025876</v>
      </c>
      <c r="AJ139" s="6" t="n">
        <f aca="false">MAX(AI139,AD139)</f>
        <v>322788.150025876</v>
      </c>
      <c r="AK139" s="6" t="n">
        <f aca="false">MAX(AJ139,AE139)</f>
        <v>322788.150025876</v>
      </c>
      <c r="AL139" s="8" t="n">
        <f aca="false">MIN(Z139/AF139-1,AA139/AG139-1,AB139/AH139-1,AC139/AI139-1,AD139/AJ139-1,AE139/AK139-1)</f>
        <v>-0.369358782003016</v>
      </c>
      <c r="AM139" s="6" t="n">
        <f aca="false">AE139-Assumptions!$B$35</f>
        <v>-198513.022550925</v>
      </c>
    </row>
    <row r="140" customFormat="false" ht="15" hidden="false" customHeight="false" outlineLevel="0" collapsed="false">
      <c r="A140" s="0" t="n">
        <f aca="false">ROW()-1</f>
        <v>139</v>
      </c>
      <c r="B140" s="0" t="str">
        <f aca="true">IF(RAND()&lt;Assumptions!$B$11,"Bull","Bear")</f>
        <v>Bull</v>
      </c>
      <c r="C140" s="0" t="str">
        <f aca="true">IF(B140="Bull",IF(RAND()&lt;Assumptions!$B$7,"Bull","Bear"),IF(RAND()&lt;Assumptions!$B$10,"Bear","Bull"))</f>
        <v>Bull</v>
      </c>
      <c r="D140" s="0" t="str">
        <f aca="true">IF(C140="Bull",IF(RAND()&lt;Assumptions!$B$7,"Bull","Bear"),IF(RAND()&lt;Assumptions!$B$10,"Bear","Bull"))</f>
        <v>Bull</v>
      </c>
      <c r="E140" s="0" t="str">
        <f aca="true">IF(D140="Bull",IF(RAND()&lt;Assumptions!$B$7,"Bull","Bear"),IF(RAND()&lt;Assumptions!$B$10,"Bear","Bull"))</f>
        <v>Bull</v>
      </c>
      <c r="F140" s="0" t="str">
        <f aca="true">IF(E140="Bull",IF(RAND()&lt;Assumptions!$B$7,"Bull","Bear"),IF(RAND()&lt;Assumptions!$B$10,"Bear","Bull"))</f>
        <v>Bull</v>
      </c>
      <c r="G140" s="0" t="str">
        <f aca="true">IF(F140="Bull",IF(RAND()&lt;Assumptions!$B$7,"Bull","Bear"),IF(RAND()&lt;Assumptions!$B$10,"Bear","Bull"))</f>
        <v>Bear</v>
      </c>
      <c r="H140" s="8" t="n">
        <f aca="true">IF(B140="Bull",NORMINV(RAND(),Assumptions!$B$5,Assumptions!$B$6),NORMINV(RAND(),Assumptions!$B$8,Assumptions!$B$9))</f>
        <v>0.0963803608429121</v>
      </c>
      <c r="I140" s="8" t="n">
        <f aca="true">IF(C140="Bull",NORMINV(RAND(),Assumptions!$B$5,Assumptions!$B$6),NORMINV(RAND(),Assumptions!$B$8,Assumptions!$B$9))</f>
        <v>0.143795464255319</v>
      </c>
      <c r="J140" s="8" t="n">
        <f aca="true">IF(D140="Bull",NORMINV(RAND(),Assumptions!$B$5,Assumptions!$B$6),NORMINV(RAND(),Assumptions!$B$8,Assumptions!$B$9))</f>
        <v>0.264803632907041</v>
      </c>
      <c r="K140" s="8" t="n">
        <f aca="true">IF(E140="Bull",NORMINV(RAND(),Assumptions!$B$5,Assumptions!$B$6),NORMINV(RAND(),Assumptions!$B$8,Assumptions!$B$9))</f>
        <v>0.109875738178945</v>
      </c>
      <c r="L140" s="8" t="n">
        <f aca="true">IF(F140="Bull",NORMINV(RAND(),Assumptions!$B$5,Assumptions!$B$6),NORMINV(RAND(),Assumptions!$B$8,Assumptions!$B$9))</f>
        <v>0.117428860014941</v>
      </c>
      <c r="M140" s="8" t="n">
        <f aca="true">IF(G140="Bull",NORMINV(RAND(),Assumptions!$B$5,Assumptions!$B$6),NORMINV(RAND(),Assumptions!$B$8,Assumptions!$B$9))</f>
        <v>-0.250124799934063</v>
      </c>
      <c r="N140" s="8" t="n">
        <f aca="true">NORMINV(RAND(),Assumptions!$B$14,Assumptions!$B$15)</f>
        <v>0.0491675950112428</v>
      </c>
      <c r="O140" s="8" t="n">
        <f aca="true">NORMINV(RAND(),Assumptions!$B$14,Assumptions!$B$15)</f>
        <v>-0.0147323080828149</v>
      </c>
      <c r="P140" s="8" t="n">
        <f aca="true">NORMINV(RAND(),Assumptions!$B$14,Assumptions!$B$15)</f>
        <v>0.0889227803353369</v>
      </c>
      <c r="Q140" s="8" t="n">
        <f aca="true">NORMINV(RAND(),Assumptions!$B$14,Assumptions!$B$15)</f>
        <v>0.0495121159811625</v>
      </c>
      <c r="R140" s="8" t="n">
        <f aca="true">NORMINV(RAND(),Assumptions!$B$14,Assumptions!$B$15)</f>
        <v>0.0459980422988276</v>
      </c>
      <c r="S140" s="8" t="n">
        <f aca="true">NORMINV(RAND(),Assumptions!$B$14,Assumptions!$B$15)</f>
        <v>0.0685131419819445</v>
      </c>
      <c r="T140" s="8" t="n">
        <f aca="false">Assumptions!$B$19*H140+(1-Assumptions!$B$19)*N140</f>
        <v>0.0963803608429121</v>
      </c>
      <c r="U140" s="8" t="n">
        <f aca="false">Assumptions!$B$20*I140+(1-Assumptions!$B$20)*O140</f>
        <v>0.143795464255319</v>
      </c>
      <c r="V140" s="8" t="n">
        <f aca="false">Assumptions!$B$21*J140+(1-Assumptions!$B$21)*P140</f>
        <v>0.264803632907041</v>
      </c>
      <c r="W140" s="8" t="n">
        <f aca="false">Assumptions!$B$22*K140+(1-Assumptions!$B$22)*Q140</f>
        <v>0.109875738178945</v>
      </c>
      <c r="X140" s="8" t="n">
        <f aca="false">Assumptions!$B$23*L140+(1-Assumptions!$B$23)*R140</f>
        <v>0.103142696471718</v>
      </c>
      <c r="Y140" s="8" t="n">
        <f aca="false">Assumptions!$B$24*M140+(1-Assumptions!$B$24)*S140</f>
        <v>-0.12266962316766</v>
      </c>
      <c r="Z140" s="6" t="n">
        <f aca="false">Assumptions!$B$27*(1+T140)</f>
        <v>328914.108252874</v>
      </c>
      <c r="AA140" s="6" t="n">
        <f aca="false">(Z140+Assumptions!$B$28)*(1+U140)</f>
        <v>547779.784787518</v>
      </c>
      <c r="AB140" s="6" t="n">
        <f aca="false">AA140*(1+V140)</f>
        <v>692833.861832289</v>
      </c>
      <c r="AC140" s="6" t="n">
        <f aca="false">AB140*(1+W140)</f>
        <v>768959.493836481</v>
      </c>
      <c r="AD140" s="6" t="n">
        <f aca="false">AC140*(1+X140)</f>
        <v>848272.049508304</v>
      </c>
      <c r="AE140" s="6" t="n">
        <f aca="false">AD140*(1+Y140)</f>
        <v>744214.836851461</v>
      </c>
      <c r="AF140" s="6" t="n">
        <f aca="false">Z140</f>
        <v>328914.108252874</v>
      </c>
      <c r="AG140" s="6" t="n">
        <f aca="false">MAX(AF140,AA140)</f>
        <v>547779.784787518</v>
      </c>
      <c r="AH140" s="6" t="n">
        <f aca="false">MAX(AG140,AB140)</f>
        <v>692833.861832289</v>
      </c>
      <c r="AI140" s="6" t="n">
        <f aca="false">MAX(AH140,AC140)</f>
        <v>768959.493836481</v>
      </c>
      <c r="AJ140" s="6" t="n">
        <f aca="false">MAX(AI140,AD140)</f>
        <v>848272.049508304</v>
      </c>
      <c r="AK140" s="6" t="n">
        <f aca="false">MAX(AJ140,AE140)</f>
        <v>848272.049508304</v>
      </c>
      <c r="AL140" s="8" t="n">
        <f aca="false">MIN(Z140/AF140-1,AA140/AG140-1,AB140/AH140-1,AC140/AI140-1,AD140/AJ140-1,AE140/AK140-1)</f>
        <v>-0.12266962316766</v>
      </c>
      <c r="AM140" s="6" t="n">
        <f aca="false">AE140-Assumptions!$B$35</f>
        <v>302950.840188958</v>
      </c>
    </row>
    <row r="141" customFormat="false" ht="15" hidden="false" customHeight="false" outlineLevel="0" collapsed="false">
      <c r="A141" s="0" t="n">
        <f aca="false">ROW()-1</f>
        <v>140</v>
      </c>
      <c r="B141" s="0" t="str">
        <f aca="true">IF(RAND()&lt;Assumptions!$B$11,"Bull","Bear")</f>
        <v>Bear</v>
      </c>
      <c r="C141" s="0" t="str">
        <f aca="true">IF(B141="Bull",IF(RAND()&lt;Assumptions!$B$7,"Bull","Bear"),IF(RAND()&lt;Assumptions!$B$10,"Bear","Bull"))</f>
        <v>Bull</v>
      </c>
      <c r="D141" s="0" t="str">
        <f aca="true">IF(C141="Bull",IF(RAND()&lt;Assumptions!$B$7,"Bull","Bear"),IF(RAND()&lt;Assumptions!$B$10,"Bear","Bull"))</f>
        <v>Bull</v>
      </c>
      <c r="E141" s="0" t="str">
        <f aca="true">IF(D141="Bull",IF(RAND()&lt;Assumptions!$B$7,"Bull","Bear"),IF(RAND()&lt;Assumptions!$B$10,"Bear","Bull"))</f>
        <v>Bull</v>
      </c>
      <c r="F141" s="0" t="str">
        <f aca="true">IF(E141="Bull",IF(RAND()&lt;Assumptions!$B$7,"Bull","Bear"),IF(RAND()&lt;Assumptions!$B$10,"Bear","Bull"))</f>
        <v>Bear</v>
      </c>
      <c r="G141" s="0" t="str">
        <f aca="true">IF(F141="Bull",IF(RAND()&lt;Assumptions!$B$7,"Bull","Bear"),IF(RAND()&lt;Assumptions!$B$10,"Bear","Bull"))</f>
        <v>Bear</v>
      </c>
      <c r="H141" s="8" t="n">
        <f aca="true">IF(B141="Bull",NORMINV(RAND(),Assumptions!$B$5,Assumptions!$B$6),NORMINV(RAND(),Assumptions!$B$8,Assumptions!$B$9))</f>
        <v>0.140957162016723</v>
      </c>
      <c r="I141" s="8" t="n">
        <f aca="true">IF(C141="Bull",NORMINV(RAND(),Assumptions!$B$5,Assumptions!$B$6),NORMINV(RAND(),Assumptions!$B$8,Assumptions!$B$9))</f>
        <v>0.0963046944620296</v>
      </c>
      <c r="J141" s="8" t="n">
        <f aca="true">IF(D141="Bull",NORMINV(RAND(),Assumptions!$B$5,Assumptions!$B$6),NORMINV(RAND(),Assumptions!$B$8,Assumptions!$B$9))</f>
        <v>0.150572046114247</v>
      </c>
      <c r="K141" s="8" t="n">
        <f aca="true">IF(E141="Bull",NORMINV(RAND(),Assumptions!$B$5,Assumptions!$B$6),NORMINV(RAND(),Assumptions!$B$8,Assumptions!$B$9))</f>
        <v>0.0608145940259893</v>
      </c>
      <c r="L141" s="8" t="n">
        <f aca="true">IF(F141="Bull",NORMINV(RAND(),Assumptions!$B$5,Assumptions!$B$6),NORMINV(RAND(),Assumptions!$B$8,Assumptions!$B$9))</f>
        <v>-0.0725779387504001</v>
      </c>
      <c r="M141" s="8" t="n">
        <f aca="true">IF(G141="Bull",NORMINV(RAND(),Assumptions!$B$5,Assumptions!$B$6),NORMINV(RAND(),Assumptions!$B$8,Assumptions!$B$9))</f>
        <v>0.0194720771628005</v>
      </c>
      <c r="N141" s="8" t="n">
        <f aca="true">NORMINV(RAND(),Assumptions!$B$14,Assumptions!$B$15)</f>
        <v>0.00395611787675985</v>
      </c>
      <c r="O141" s="8" t="n">
        <f aca="true">NORMINV(RAND(),Assumptions!$B$14,Assumptions!$B$15)</f>
        <v>0.0817479827202723</v>
      </c>
      <c r="P141" s="8" t="n">
        <f aca="true">NORMINV(RAND(),Assumptions!$B$14,Assumptions!$B$15)</f>
        <v>0.0735110926681467</v>
      </c>
      <c r="Q141" s="8" t="n">
        <f aca="true">NORMINV(RAND(),Assumptions!$B$14,Assumptions!$B$15)</f>
        <v>0.0977520849494409</v>
      </c>
      <c r="R141" s="8" t="n">
        <f aca="true">NORMINV(RAND(),Assumptions!$B$14,Assumptions!$B$15)</f>
        <v>0.0332367249342945</v>
      </c>
      <c r="S141" s="8" t="n">
        <f aca="true">NORMINV(RAND(),Assumptions!$B$14,Assumptions!$B$15)</f>
        <v>0.0417433488471876</v>
      </c>
      <c r="T141" s="8" t="n">
        <f aca="false">Assumptions!$B$19*H141+(1-Assumptions!$B$19)*N141</f>
        <v>0.140957162016723</v>
      </c>
      <c r="U141" s="8" t="n">
        <f aca="false">Assumptions!$B$20*I141+(1-Assumptions!$B$20)*O141</f>
        <v>0.0963046944620296</v>
      </c>
      <c r="V141" s="8" t="n">
        <f aca="false">Assumptions!$B$21*J141+(1-Assumptions!$B$21)*P141</f>
        <v>0.150572046114247</v>
      </c>
      <c r="W141" s="8" t="n">
        <f aca="false">Assumptions!$B$22*K141+(1-Assumptions!$B$22)*Q141</f>
        <v>0.0608145940259893</v>
      </c>
      <c r="X141" s="8" t="n">
        <f aca="false">Assumptions!$B$23*L141+(1-Assumptions!$B$23)*R141</f>
        <v>-0.0514150060134612</v>
      </c>
      <c r="Y141" s="8" t="n">
        <f aca="false">Assumptions!$B$24*M141+(1-Assumptions!$B$24)*S141</f>
        <v>0.0283805858365553</v>
      </c>
      <c r="Z141" s="6" t="n">
        <f aca="false">Assumptions!$B$27*(1+T141)</f>
        <v>342287.148605017</v>
      </c>
      <c r="AA141" s="6" t="n">
        <f aca="false">(Z141+Assumptions!$B$28)*(1+U141)</f>
        <v>539696.712039007</v>
      </c>
      <c r="AB141" s="6" t="n">
        <f aca="false">AA141*(1+V141)</f>
        <v>620959.950251851</v>
      </c>
      <c r="AC141" s="6" t="n">
        <f aca="false">AB141*(1+W141)</f>
        <v>658723.377532816</v>
      </c>
      <c r="AD141" s="6" t="n">
        <f aca="false">AC141*(1+X141)</f>
        <v>624855.111115759</v>
      </c>
      <c r="AE141" s="6" t="n">
        <f aca="false">AD141*(1+Y141)</f>
        <v>642588.86523219</v>
      </c>
      <c r="AF141" s="6" t="n">
        <f aca="false">Z141</f>
        <v>342287.148605017</v>
      </c>
      <c r="AG141" s="6" t="n">
        <f aca="false">MAX(AF141,AA141)</f>
        <v>539696.712039007</v>
      </c>
      <c r="AH141" s="6" t="n">
        <f aca="false">MAX(AG141,AB141)</f>
        <v>620959.950251851</v>
      </c>
      <c r="AI141" s="6" t="n">
        <f aca="false">MAX(AH141,AC141)</f>
        <v>658723.377532816</v>
      </c>
      <c r="AJ141" s="6" t="n">
        <f aca="false">MAX(AI141,AD141)</f>
        <v>658723.377532816</v>
      </c>
      <c r="AK141" s="6" t="n">
        <f aca="false">MAX(AJ141,AE141)</f>
        <v>658723.377532816</v>
      </c>
      <c r="AL141" s="8" t="n">
        <f aca="false">MIN(Z141/AF141-1,AA141/AG141-1,AB141/AH141-1,AC141/AI141-1,AD141/AJ141-1,AE141/AK141-1)</f>
        <v>-0.0514150060134611</v>
      </c>
      <c r="AM141" s="6" t="n">
        <f aca="false">AE141-Assumptions!$B$35</f>
        <v>201324.868569687</v>
      </c>
    </row>
    <row r="142" customFormat="false" ht="15" hidden="false" customHeight="false" outlineLevel="0" collapsed="false">
      <c r="A142" s="0" t="n">
        <f aca="false">ROW()-1</f>
        <v>141</v>
      </c>
      <c r="B142" s="0" t="str">
        <f aca="true">IF(RAND()&lt;Assumptions!$B$11,"Bull","Bear")</f>
        <v>Bull</v>
      </c>
      <c r="C142" s="0" t="str">
        <f aca="true">IF(B142="Bull",IF(RAND()&lt;Assumptions!$B$7,"Bull","Bear"),IF(RAND()&lt;Assumptions!$B$10,"Bear","Bull"))</f>
        <v>Bull</v>
      </c>
      <c r="D142" s="0" t="str">
        <f aca="true">IF(C142="Bull",IF(RAND()&lt;Assumptions!$B$7,"Bull","Bear"),IF(RAND()&lt;Assumptions!$B$10,"Bear","Bull"))</f>
        <v>Bull</v>
      </c>
      <c r="E142" s="0" t="str">
        <f aca="true">IF(D142="Bull",IF(RAND()&lt;Assumptions!$B$7,"Bull","Bear"),IF(RAND()&lt;Assumptions!$B$10,"Bear","Bull"))</f>
        <v>Bull</v>
      </c>
      <c r="F142" s="0" t="str">
        <f aca="true">IF(E142="Bull",IF(RAND()&lt;Assumptions!$B$7,"Bull","Bear"),IF(RAND()&lt;Assumptions!$B$10,"Bear","Bull"))</f>
        <v>Bull</v>
      </c>
      <c r="G142" s="0" t="str">
        <f aca="true">IF(F142="Bull",IF(RAND()&lt;Assumptions!$B$7,"Bull","Bear"),IF(RAND()&lt;Assumptions!$B$10,"Bear","Bull"))</f>
        <v>Bull</v>
      </c>
      <c r="H142" s="8" t="n">
        <f aca="true">IF(B142="Bull",NORMINV(RAND(),Assumptions!$B$5,Assumptions!$B$6),NORMINV(RAND(),Assumptions!$B$8,Assumptions!$B$9))</f>
        <v>0.150799874908999</v>
      </c>
      <c r="I142" s="8" t="n">
        <f aca="true">IF(C142="Bull",NORMINV(RAND(),Assumptions!$B$5,Assumptions!$B$6),NORMINV(RAND(),Assumptions!$B$8,Assumptions!$B$9))</f>
        <v>-0.0322573348607504</v>
      </c>
      <c r="J142" s="8" t="n">
        <f aca="true">IF(D142="Bull",NORMINV(RAND(),Assumptions!$B$5,Assumptions!$B$6),NORMINV(RAND(),Assumptions!$B$8,Assumptions!$B$9))</f>
        <v>0.343450647458803</v>
      </c>
      <c r="K142" s="8" t="n">
        <f aca="true">IF(E142="Bull",NORMINV(RAND(),Assumptions!$B$5,Assumptions!$B$6),NORMINV(RAND(),Assumptions!$B$8,Assumptions!$B$9))</f>
        <v>0.107095004369623</v>
      </c>
      <c r="L142" s="8" t="n">
        <f aca="true">IF(F142="Bull",NORMINV(RAND(),Assumptions!$B$5,Assumptions!$B$6),NORMINV(RAND(),Assumptions!$B$8,Assumptions!$B$9))</f>
        <v>0.167607497135872</v>
      </c>
      <c r="M142" s="8" t="n">
        <f aca="true">IF(G142="Bull",NORMINV(RAND(),Assumptions!$B$5,Assumptions!$B$6),NORMINV(RAND(),Assumptions!$B$8,Assumptions!$B$9))</f>
        <v>0.133536417313123</v>
      </c>
      <c r="N142" s="8" t="n">
        <f aca="true">NORMINV(RAND(),Assumptions!$B$14,Assumptions!$B$15)</f>
        <v>0.0478824872882205</v>
      </c>
      <c r="O142" s="8" t="n">
        <f aca="true">NORMINV(RAND(),Assumptions!$B$14,Assumptions!$B$15)</f>
        <v>0.0668512982876787</v>
      </c>
      <c r="P142" s="8" t="n">
        <f aca="true">NORMINV(RAND(),Assumptions!$B$14,Assumptions!$B$15)</f>
        <v>0.0418926648645815</v>
      </c>
      <c r="Q142" s="8" t="n">
        <f aca="true">NORMINV(RAND(),Assumptions!$B$14,Assumptions!$B$15)</f>
        <v>0.0393794472765026</v>
      </c>
      <c r="R142" s="8" t="n">
        <f aca="true">NORMINV(RAND(),Assumptions!$B$14,Assumptions!$B$15)</f>
        <v>-0.00968028335424386</v>
      </c>
      <c r="S142" s="8" t="n">
        <f aca="true">NORMINV(RAND(),Assumptions!$B$14,Assumptions!$B$15)</f>
        <v>0.0242125414794189</v>
      </c>
      <c r="T142" s="8" t="n">
        <f aca="false">Assumptions!$B$19*H142+(1-Assumptions!$B$19)*N142</f>
        <v>0.150799874908999</v>
      </c>
      <c r="U142" s="8" t="n">
        <f aca="false">Assumptions!$B$20*I142+(1-Assumptions!$B$20)*O142</f>
        <v>-0.0322573348607504</v>
      </c>
      <c r="V142" s="8" t="n">
        <f aca="false">Assumptions!$B$21*J142+(1-Assumptions!$B$21)*P142</f>
        <v>0.343450647458803</v>
      </c>
      <c r="W142" s="8" t="n">
        <f aca="false">Assumptions!$B$22*K142+(1-Assumptions!$B$22)*Q142</f>
        <v>0.107095004369623</v>
      </c>
      <c r="X142" s="8" t="n">
        <f aca="false">Assumptions!$B$23*L142+(1-Assumptions!$B$23)*R142</f>
        <v>0.132149941037849</v>
      </c>
      <c r="Y142" s="8" t="n">
        <f aca="false">Assumptions!$B$24*M142+(1-Assumptions!$B$24)*S142</f>
        <v>0.0898068669796416</v>
      </c>
      <c r="Z142" s="6" t="n">
        <f aca="false">Assumptions!$B$27*(1+T142)</f>
        <v>345239.9624727</v>
      </c>
      <c r="AA142" s="6" t="n">
        <f aca="false">(Z142+Assumptions!$B$28)*(1+U142)</f>
        <v>479264.841166792</v>
      </c>
      <c r="AB142" s="6" t="n">
        <f aca="false">AA142*(1+V142)</f>
        <v>643868.661169768</v>
      </c>
      <c r="AC142" s="6" t="n">
        <f aca="false">AB142*(1+W142)</f>
        <v>712823.778251207</v>
      </c>
      <c r="AD142" s="6" t="n">
        <f aca="false">AC142*(1+X142)</f>
        <v>807023.398517481</v>
      </c>
      <c r="AE142" s="6" t="n">
        <f aca="false">AD142*(1+Y142)</f>
        <v>879499.641517599</v>
      </c>
      <c r="AF142" s="6" t="n">
        <f aca="false">Z142</f>
        <v>345239.9624727</v>
      </c>
      <c r="AG142" s="6" t="n">
        <f aca="false">MAX(AF142,AA142)</f>
        <v>479264.841166792</v>
      </c>
      <c r="AH142" s="6" t="n">
        <f aca="false">MAX(AG142,AB142)</f>
        <v>643868.661169768</v>
      </c>
      <c r="AI142" s="6" t="n">
        <f aca="false">MAX(AH142,AC142)</f>
        <v>712823.778251207</v>
      </c>
      <c r="AJ142" s="6" t="n">
        <f aca="false">MAX(AI142,AD142)</f>
        <v>807023.398517481</v>
      </c>
      <c r="AK142" s="6" t="n">
        <f aca="false">MAX(AJ142,AE142)</f>
        <v>879499.641517599</v>
      </c>
      <c r="AL142" s="8" t="n">
        <f aca="false">MIN(Z142/AF142-1,AA142/AG142-1,AB142/AH142-1,AC142/AI142-1,AD142/AJ142-1,AE142/AK142-1)</f>
        <v>0</v>
      </c>
      <c r="AM142" s="6" t="n">
        <f aca="false">AE142-Assumptions!$B$35</f>
        <v>438235.644855096</v>
      </c>
    </row>
    <row r="143" customFormat="false" ht="15" hidden="false" customHeight="false" outlineLevel="0" collapsed="false">
      <c r="A143" s="0" t="n">
        <f aca="false">ROW()-1</f>
        <v>142</v>
      </c>
      <c r="B143" s="0" t="str">
        <f aca="true">IF(RAND()&lt;Assumptions!$B$11,"Bull","Bear")</f>
        <v>Bull</v>
      </c>
      <c r="C143" s="0" t="str">
        <f aca="true">IF(B143="Bull",IF(RAND()&lt;Assumptions!$B$7,"Bull","Bear"),IF(RAND()&lt;Assumptions!$B$10,"Bear","Bull"))</f>
        <v>Bull</v>
      </c>
      <c r="D143" s="0" t="str">
        <f aca="true">IF(C143="Bull",IF(RAND()&lt;Assumptions!$B$7,"Bull","Bear"),IF(RAND()&lt;Assumptions!$B$10,"Bear","Bull"))</f>
        <v>Bull</v>
      </c>
      <c r="E143" s="0" t="str">
        <f aca="true">IF(D143="Bull",IF(RAND()&lt;Assumptions!$B$7,"Bull","Bear"),IF(RAND()&lt;Assumptions!$B$10,"Bear","Bull"))</f>
        <v>Bear</v>
      </c>
      <c r="F143" s="0" t="str">
        <f aca="true">IF(E143="Bull",IF(RAND()&lt;Assumptions!$B$7,"Bull","Bear"),IF(RAND()&lt;Assumptions!$B$10,"Bear","Bull"))</f>
        <v>Bull</v>
      </c>
      <c r="G143" s="0" t="str">
        <f aca="true">IF(F143="Bull",IF(RAND()&lt;Assumptions!$B$7,"Bull","Bear"),IF(RAND()&lt;Assumptions!$B$10,"Bear","Bull"))</f>
        <v>Bull</v>
      </c>
      <c r="H143" s="8" t="n">
        <f aca="true">IF(B143="Bull",NORMINV(RAND(),Assumptions!$B$5,Assumptions!$B$6),NORMINV(RAND(),Assumptions!$B$8,Assumptions!$B$9))</f>
        <v>0.147455015326732</v>
      </c>
      <c r="I143" s="8" t="n">
        <f aca="true">IF(C143="Bull",NORMINV(RAND(),Assumptions!$B$5,Assumptions!$B$6),NORMINV(RAND(),Assumptions!$B$8,Assumptions!$B$9))</f>
        <v>0.0634920415724984</v>
      </c>
      <c r="J143" s="8" t="n">
        <f aca="true">IF(D143="Bull",NORMINV(RAND(),Assumptions!$B$5,Assumptions!$B$6),NORMINV(RAND(),Assumptions!$B$8,Assumptions!$B$9))</f>
        <v>0.219307741548124</v>
      </c>
      <c r="K143" s="8" t="n">
        <f aca="true">IF(E143="Bull",NORMINV(RAND(),Assumptions!$B$5,Assumptions!$B$6),NORMINV(RAND(),Assumptions!$B$8,Assumptions!$B$9))</f>
        <v>-0.184329835214391</v>
      </c>
      <c r="L143" s="8" t="n">
        <f aca="true">IF(F143="Bull",NORMINV(RAND(),Assumptions!$B$5,Assumptions!$B$6),NORMINV(RAND(),Assumptions!$B$8,Assumptions!$B$9))</f>
        <v>-0.00144369279406026</v>
      </c>
      <c r="M143" s="8" t="n">
        <f aca="true">IF(G143="Bull",NORMINV(RAND(),Assumptions!$B$5,Assumptions!$B$6),NORMINV(RAND(),Assumptions!$B$8,Assumptions!$B$9))</f>
        <v>0.181939675202252</v>
      </c>
      <c r="N143" s="8" t="n">
        <f aca="true">NORMINV(RAND(),Assumptions!$B$14,Assumptions!$B$15)</f>
        <v>0.00429278391597489</v>
      </c>
      <c r="O143" s="8" t="n">
        <f aca="true">NORMINV(RAND(),Assumptions!$B$14,Assumptions!$B$15)</f>
        <v>0.0139955245282479</v>
      </c>
      <c r="P143" s="8" t="n">
        <f aca="true">NORMINV(RAND(),Assumptions!$B$14,Assumptions!$B$15)</f>
        <v>0.0624620116264874</v>
      </c>
      <c r="Q143" s="8" t="n">
        <f aca="true">NORMINV(RAND(),Assumptions!$B$14,Assumptions!$B$15)</f>
        <v>0.0265017784995275</v>
      </c>
      <c r="R143" s="8" t="n">
        <f aca="true">NORMINV(RAND(),Assumptions!$B$14,Assumptions!$B$15)</f>
        <v>0.0565741649929677</v>
      </c>
      <c r="S143" s="8" t="n">
        <f aca="true">NORMINV(RAND(),Assumptions!$B$14,Assumptions!$B$15)</f>
        <v>0.0484662100179369</v>
      </c>
      <c r="T143" s="8" t="n">
        <f aca="false">Assumptions!$B$19*H143+(1-Assumptions!$B$19)*N143</f>
        <v>0.147455015326732</v>
      </c>
      <c r="U143" s="8" t="n">
        <f aca="false">Assumptions!$B$20*I143+(1-Assumptions!$B$20)*O143</f>
        <v>0.0634920415724984</v>
      </c>
      <c r="V143" s="8" t="n">
        <f aca="false">Assumptions!$B$21*J143+(1-Assumptions!$B$21)*P143</f>
        <v>0.219307741548124</v>
      </c>
      <c r="W143" s="8" t="n">
        <f aca="false">Assumptions!$B$22*K143+(1-Assumptions!$B$22)*Q143</f>
        <v>-0.184329835214391</v>
      </c>
      <c r="X143" s="8" t="n">
        <f aca="false">Assumptions!$B$23*L143+(1-Assumptions!$B$23)*R143</f>
        <v>0.0101598787633453</v>
      </c>
      <c r="Y143" s="8" t="n">
        <f aca="false">Assumptions!$B$24*M143+(1-Assumptions!$B$24)*S143</f>
        <v>0.128550289128526</v>
      </c>
      <c r="Z143" s="6" t="n">
        <f aca="false">Assumptions!$B$27*(1+T143)</f>
        <v>344236.504598019</v>
      </c>
      <c r="AA143" s="6" t="n">
        <f aca="false">(Z143+Assumptions!$B$28)*(1+U143)</f>
        <v>525616.589294603</v>
      </c>
      <c r="AB143" s="6" t="n">
        <f aca="false">AA143*(1+V143)</f>
        <v>640888.376413031</v>
      </c>
      <c r="AC143" s="6" t="n">
        <f aca="false">AB143*(1+W143)</f>
        <v>522753.527597998</v>
      </c>
      <c r="AD143" s="6" t="n">
        <f aca="false">AC143*(1+X143)</f>
        <v>528064.640061505</v>
      </c>
      <c r="AE143" s="6" t="n">
        <f aca="false">AD143*(1+Y143)</f>
        <v>595947.502219963</v>
      </c>
      <c r="AF143" s="6" t="n">
        <f aca="false">Z143</f>
        <v>344236.504598019</v>
      </c>
      <c r="AG143" s="6" t="n">
        <f aca="false">MAX(AF143,AA143)</f>
        <v>525616.589294603</v>
      </c>
      <c r="AH143" s="6" t="n">
        <f aca="false">MAX(AG143,AB143)</f>
        <v>640888.376413031</v>
      </c>
      <c r="AI143" s="6" t="n">
        <f aca="false">MAX(AH143,AC143)</f>
        <v>640888.376413031</v>
      </c>
      <c r="AJ143" s="6" t="n">
        <f aca="false">MAX(AI143,AD143)</f>
        <v>640888.376413031</v>
      </c>
      <c r="AK143" s="6" t="n">
        <f aca="false">MAX(AJ143,AE143)</f>
        <v>640888.376413031</v>
      </c>
      <c r="AL143" s="8" t="n">
        <f aca="false">MIN(Z143/AF143-1,AA143/AG143-1,AB143/AH143-1,AC143/AI143-1,AD143/AJ143-1,AE143/AK143-1)</f>
        <v>-0.184329835214391</v>
      </c>
      <c r="AM143" s="6" t="n">
        <f aca="false">AE143-Assumptions!$B$35</f>
        <v>154683.505557459</v>
      </c>
    </row>
    <row r="144" customFormat="false" ht="15" hidden="false" customHeight="false" outlineLevel="0" collapsed="false">
      <c r="A144" s="0" t="n">
        <f aca="false">ROW()-1</f>
        <v>143</v>
      </c>
      <c r="B144" s="0" t="str">
        <f aca="true">IF(RAND()&lt;Assumptions!$B$11,"Bull","Bear")</f>
        <v>Bear</v>
      </c>
      <c r="C144" s="0" t="str">
        <f aca="true">IF(B144="Bull",IF(RAND()&lt;Assumptions!$B$7,"Bull","Bear"),IF(RAND()&lt;Assumptions!$B$10,"Bear","Bull"))</f>
        <v>Bear</v>
      </c>
      <c r="D144" s="0" t="str">
        <f aca="true">IF(C144="Bull",IF(RAND()&lt;Assumptions!$B$7,"Bull","Bear"),IF(RAND()&lt;Assumptions!$B$10,"Bear","Bull"))</f>
        <v>Bear</v>
      </c>
      <c r="E144" s="0" t="str">
        <f aca="true">IF(D144="Bull",IF(RAND()&lt;Assumptions!$B$7,"Bull","Bear"),IF(RAND()&lt;Assumptions!$B$10,"Bear","Bull"))</f>
        <v>Bear</v>
      </c>
      <c r="F144" s="0" t="str">
        <f aca="true">IF(E144="Bull",IF(RAND()&lt;Assumptions!$B$7,"Bull","Bear"),IF(RAND()&lt;Assumptions!$B$10,"Bear","Bull"))</f>
        <v>Bear</v>
      </c>
      <c r="G144" s="0" t="str">
        <f aca="true">IF(F144="Bull",IF(RAND()&lt;Assumptions!$B$7,"Bull","Bear"),IF(RAND()&lt;Assumptions!$B$10,"Bear","Bull"))</f>
        <v>Bull</v>
      </c>
      <c r="H144" s="8" t="n">
        <f aca="true">IF(B144="Bull",NORMINV(RAND(),Assumptions!$B$5,Assumptions!$B$6),NORMINV(RAND(),Assumptions!$B$8,Assumptions!$B$9))</f>
        <v>-0.0776854153956615</v>
      </c>
      <c r="I144" s="8" t="n">
        <f aca="true">IF(C144="Bull",NORMINV(RAND(),Assumptions!$B$5,Assumptions!$B$6),NORMINV(RAND(),Assumptions!$B$8,Assumptions!$B$9))</f>
        <v>-0.0720445075613983</v>
      </c>
      <c r="J144" s="8" t="n">
        <f aca="true">IF(D144="Bull",NORMINV(RAND(),Assumptions!$B$5,Assumptions!$B$6),NORMINV(RAND(),Assumptions!$B$8,Assumptions!$B$9))</f>
        <v>0.057916838751251</v>
      </c>
      <c r="K144" s="8" t="n">
        <f aca="true">IF(E144="Bull",NORMINV(RAND(),Assumptions!$B$5,Assumptions!$B$6),NORMINV(RAND(),Assumptions!$B$8,Assumptions!$B$9))</f>
        <v>-0.319214692766034</v>
      </c>
      <c r="L144" s="8" t="n">
        <f aca="true">IF(F144="Bull",NORMINV(RAND(),Assumptions!$B$5,Assumptions!$B$6),NORMINV(RAND(),Assumptions!$B$8,Assumptions!$B$9))</f>
        <v>-0.178862449010284</v>
      </c>
      <c r="M144" s="8" t="n">
        <f aca="true">IF(G144="Bull",NORMINV(RAND(),Assumptions!$B$5,Assumptions!$B$6),NORMINV(RAND(),Assumptions!$B$8,Assumptions!$B$9))</f>
        <v>0.0889302707657348</v>
      </c>
      <c r="N144" s="8" t="n">
        <f aca="true">NORMINV(RAND(),Assumptions!$B$14,Assumptions!$B$15)</f>
        <v>0.0643837651487</v>
      </c>
      <c r="O144" s="8" t="n">
        <f aca="true">NORMINV(RAND(),Assumptions!$B$14,Assumptions!$B$15)</f>
        <v>0.0511441224096888</v>
      </c>
      <c r="P144" s="8" t="n">
        <f aca="true">NORMINV(RAND(),Assumptions!$B$14,Assumptions!$B$15)</f>
        <v>0.0227612148322935</v>
      </c>
      <c r="Q144" s="8" t="n">
        <f aca="true">NORMINV(RAND(),Assumptions!$B$14,Assumptions!$B$15)</f>
        <v>0.0419377780052094</v>
      </c>
      <c r="R144" s="8" t="n">
        <f aca="true">NORMINV(RAND(),Assumptions!$B$14,Assumptions!$B$15)</f>
        <v>0.0024473158807817</v>
      </c>
      <c r="S144" s="8" t="n">
        <f aca="true">NORMINV(RAND(),Assumptions!$B$14,Assumptions!$B$15)</f>
        <v>-0.00274618062408991</v>
      </c>
      <c r="T144" s="8" t="n">
        <f aca="false">Assumptions!$B$19*H144+(1-Assumptions!$B$19)*N144</f>
        <v>-0.0776854153956615</v>
      </c>
      <c r="U144" s="8" t="n">
        <f aca="false">Assumptions!$B$20*I144+(1-Assumptions!$B$20)*O144</f>
        <v>-0.0720445075613983</v>
      </c>
      <c r="V144" s="8" t="n">
        <f aca="false">Assumptions!$B$21*J144+(1-Assumptions!$B$21)*P144</f>
        <v>0.057916838751251</v>
      </c>
      <c r="W144" s="8" t="n">
        <f aca="false">Assumptions!$B$22*K144+(1-Assumptions!$B$22)*Q144</f>
        <v>-0.319214692766034</v>
      </c>
      <c r="X144" s="8" t="n">
        <f aca="false">Assumptions!$B$23*L144+(1-Assumptions!$B$23)*R144</f>
        <v>-0.142600496032071</v>
      </c>
      <c r="Y144" s="8" t="n">
        <f aca="false">Assumptions!$B$24*M144+(1-Assumptions!$B$24)*S144</f>
        <v>0.0522596902098049</v>
      </c>
      <c r="Z144" s="6" t="n">
        <f aca="false">Assumptions!$B$27*(1+T144)</f>
        <v>276694.375381302</v>
      </c>
      <c r="AA144" s="6" t="n">
        <f aca="false">(Z144+Assumptions!$B$28)*(1+U144)</f>
        <v>395953.389227737</v>
      </c>
      <c r="AB144" s="6" t="n">
        <f aca="false">AA144*(1+V144)</f>
        <v>418885.757824651</v>
      </c>
      <c r="AC144" s="6" t="n">
        <f aca="false">AB144*(1+W144)</f>
        <v>285171.269336588</v>
      </c>
      <c r="AD144" s="6" t="n">
        <f aca="false">AC144*(1+X144)</f>
        <v>244505.704875095</v>
      </c>
      <c r="AE144" s="6" t="n">
        <f aca="false">AD144*(1+Y144)</f>
        <v>257283.497266398</v>
      </c>
      <c r="AF144" s="6" t="n">
        <f aca="false">Z144</f>
        <v>276694.375381302</v>
      </c>
      <c r="AG144" s="6" t="n">
        <f aca="false">MAX(AF144,AA144)</f>
        <v>395953.389227737</v>
      </c>
      <c r="AH144" s="6" t="n">
        <f aca="false">MAX(AG144,AB144)</f>
        <v>418885.757824651</v>
      </c>
      <c r="AI144" s="6" t="n">
        <f aca="false">MAX(AH144,AC144)</f>
        <v>418885.757824651</v>
      </c>
      <c r="AJ144" s="6" t="n">
        <f aca="false">MAX(AI144,AD144)</f>
        <v>418885.757824651</v>
      </c>
      <c r="AK144" s="6" t="n">
        <f aca="false">MAX(AJ144,AE144)</f>
        <v>418885.757824651</v>
      </c>
      <c r="AL144" s="8" t="n">
        <f aca="false">MIN(Z144/AF144-1,AA144/AG144-1,AB144/AH144-1,AC144/AI144-1,AD144/AJ144-1,AE144/AK144-1)</f>
        <v>-0.416295015268943</v>
      </c>
      <c r="AM144" s="6" t="n">
        <f aca="false">AE144-Assumptions!$B$35</f>
        <v>-183980.499396106</v>
      </c>
    </row>
    <row r="145" customFormat="false" ht="15" hidden="false" customHeight="false" outlineLevel="0" collapsed="false">
      <c r="A145" s="0" t="n">
        <f aca="false">ROW()-1</f>
        <v>144</v>
      </c>
      <c r="B145" s="0" t="str">
        <f aca="true">IF(RAND()&lt;Assumptions!$B$11,"Bull","Bear")</f>
        <v>Bull</v>
      </c>
      <c r="C145" s="0" t="str">
        <f aca="true">IF(B145="Bull",IF(RAND()&lt;Assumptions!$B$7,"Bull","Bear"),IF(RAND()&lt;Assumptions!$B$10,"Bear","Bull"))</f>
        <v>Bull</v>
      </c>
      <c r="D145" s="0" t="str">
        <f aca="true">IF(C145="Bull",IF(RAND()&lt;Assumptions!$B$7,"Bull","Bear"),IF(RAND()&lt;Assumptions!$B$10,"Bear","Bull"))</f>
        <v>Bull</v>
      </c>
      <c r="E145" s="0" t="str">
        <f aca="true">IF(D145="Bull",IF(RAND()&lt;Assumptions!$B$7,"Bull","Bear"),IF(RAND()&lt;Assumptions!$B$10,"Bear","Bull"))</f>
        <v>Bull</v>
      </c>
      <c r="F145" s="0" t="str">
        <f aca="true">IF(E145="Bull",IF(RAND()&lt;Assumptions!$B$7,"Bull","Bear"),IF(RAND()&lt;Assumptions!$B$10,"Bear","Bull"))</f>
        <v>Bull</v>
      </c>
      <c r="G145" s="0" t="str">
        <f aca="true">IF(F145="Bull",IF(RAND()&lt;Assumptions!$B$7,"Bull","Bear"),IF(RAND()&lt;Assumptions!$B$10,"Bear","Bull"))</f>
        <v>Bear</v>
      </c>
      <c r="H145" s="8" t="n">
        <f aca="true">IF(B145="Bull",NORMINV(RAND(),Assumptions!$B$5,Assumptions!$B$6),NORMINV(RAND(),Assumptions!$B$8,Assumptions!$B$9))</f>
        <v>0.174439247163999</v>
      </c>
      <c r="I145" s="8" t="n">
        <f aca="true">IF(C145="Bull",NORMINV(RAND(),Assumptions!$B$5,Assumptions!$B$6),NORMINV(RAND(),Assumptions!$B$8,Assumptions!$B$9))</f>
        <v>0.276089408678166</v>
      </c>
      <c r="J145" s="8" t="n">
        <f aca="true">IF(D145="Bull",NORMINV(RAND(),Assumptions!$B$5,Assumptions!$B$6),NORMINV(RAND(),Assumptions!$B$8,Assumptions!$B$9))</f>
        <v>0.158497138255236</v>
      </c>
      <c r="K145" s="8" t="n">
        <f aca="true">IF(E145="Bull",NORMINV(RAND(),Assumptions!$B$5,Assumptions!$B$6),NORMINV(RAND(),Assumptions!$B$8,Assumptions!$B$9))</f>
        <v>0.0163293966471543</v>
      </c>
      <c r="L145" s="8" t="n">
        <f aca="true">IF(F145="Bull",NORMINV(RAND(),Assumptions!$B$5,Assumptions!$B$6),NORMINV(RAND(),Assumptions!$B$8,Assumptions!$B$9))</f>
        <v>0.157924245136573</v>
      </c>
      <c r="M145" s="8" t="n">
        <f aca="true">IF(G145="Bull",NORMINV(RAND(),Assumptions!$B$5,Assumptions!$B$6),NORMINV(RAND(),Assumptions!$B$8,Assumptions!$B$9))</f>
        <v>0.0850157750705395</v>
      </c>
      <c r="N145" s="8" t="n">
        <f aca="true">NORMINV(RAND(),Assumptions!$B$14,Assumptions!$B$15)</f>
        <v>0.0228542386485043</v>
      </c>
      <c r="O145" s="8" t="n">
        <f aca="true">NORMINV(RAND(),Assumptions!$B$14,Assumptions!$B$15)</f>
        <v>0.0290058801069989</v>
      </c>
      <c r="P145" s="8" t="n">
        <f aca="true">NORMINV(RAND(),Assumptions!$B$14,Assumptions!$B$15)</f>
        <v>0.047304211207316</v>
      </c>
      <c r="Q145" s="8" t="n">
        <f aca="true">NORMINV(RAND(),Assumptions!$B$14,Assumptions!$B$15)</f>
        <v>0.0609399561290675</v>
      </c>
      <c r="R145" s="8" t="n">
        <f aca="true">NORMINV(RAND(),Assumptions!$B$14,Assumptions!$B$15)</f>
        <v>0.0642910784918034</v>
      </c>
      <c r="S145" s="8" t="n">
        <f aca="true">NORMINV(RAND(),Assumptions!$B$14,Assumptions!$B$15)</f>
        <v>0.0170567419479213</v>
      </c>
      <c r="T145" s="8" t="n">
        <f aca="false">Assumptions!$B$19*H145+(1-Assumptions!$B$19)*N145</f>
        <v>0.174439247163999</v>
      </c>
      <c r="U145" s="8" t="n">
        <f aca="false">Assumptions!$B$20*I145+(1-Assumptions!$B$20)*O145</f>
        <v>0.276089408678166</v>
      </c>
      <c r="V145" s="8" t="n">
        <f aca="false">Assumptions!$B$21*J145+(1-Assumptions!$B$21)*P145</f>
        <v>0.158497138255236</v>
      </c>
      <c r="W145" s="8" t="n">
        <f aca="false">Assumptions!$B$22*K145+(1-Assumptions!$B$22)*Q145</f>
        <v>0.0163293966471543</v>
      </c>
      <c r="X145" s="8" t="n">
        <f aca="false">Assumptions!$B$23*L145+(1-Assumptions!$B$23)*R145</f>
        <v>0.139197611807619</v>
      </c>
      <c r="Y145" s="8" t="n">
        <f aca="false">Assumptions!$B$24*M145+(1-Assumptions!$B$24)*S145</f>
        <v>0.0578321618214922</v>
      </c>
      <c r="Z145" s="6" t="n">
        <f aca="false">Assumptions!$B$27*(1+T145)</f>
        <v>352331.7741492</v>
      </c>
      <c r="AA145" s="6" t="n">
        <f aca="false">(Z145+Assumptions!$B$28)*(1+U145)</f>
        <v>641020.256634306</v>
      </c>
      <c r="AB145" s="6" t="n">
        <f aca="false">AA145*(1+V145)</f>
        <v>742620.13287448</v>
      </c>
      <c r="AC145" s="6" t="n">
        <f aca="false">AB145*(1+W145)</f>
        <v>754746.67158235</v>
      </c>
      <c r="AD145" s="6" t="n">
        <f aca="false">AC145*(1+X145)</f>
        <v>859805.605786363</v>
      </c>
      <c r="AE145" s="6" t="n">
        <f aca="false">AD145*(1+Y145)</f>
        <v>909530.022715226</v>
      </c>
      <c r="AF145" s="6" t="n">
        <f aca="false">Z145</f>
        <v>352331.7741492</v>
      </c>
      <c r="AG145" s="6" t="n">
        <f aca="false">MAX(AF145,AA145)</f>
        <v>641020.256634306</v>
      </c>
      <c r="AH145" s="6" t="n">
        <f aca="false">MAX(AG145,AB145)</f>
        <v>742620.13287448</v>
      </c>
      <c r="AI145" s="6" t="n">
        <f aca="false">MAX(AH145,AC145)</f>
        <v>754746.67158235</v>
      </c>
      <c r="AJ145" s="6" t="n">
        <f aca="false">MAX(AI145,AD145)</f>
        <v>859805.605786363</v>
      </c>
      <c r="AK145" s="6" t="n">
        <f aca="false">MAX(AJ145,AE145)</f>
        <v>909530.022715226</v>
      </c>
      <c r="AL145" s="8" t="n">
        <f aca="false">MIN(Z145/AF145-1,AA145/AG145-1,AB145/AH145-1,AC145/AI145-1,AD145/AJ145-1,AE145/AK145-1)</f>
        <v>0</v>
      </c>
      <c r="AM145" s="6" t="n">
        <f aca="false">AE145-Assumptions!$B$35</f>
        <v>468266.026052723</v>
      </c>
    </row>
    <row r="146" customFormat="false" ht="15" hidden="false" customHeight="false" outlineLevel="0" collapsed="false">
      <c r="A146" s="0" t="n">
        <f aca="false">ROW()-1</f>
        <v>145</v>
      </c>
      <c r="B146" s="0" t="str">
        <f aca="true">IF(RAND()&lt;Assumptions!$B$11,"Bull","Bear")</f>
        <v>Bull</v>
      </c>
      <c r="C146" s="0" t="str">
        <f aca="true">IF(B146="Bull",IF(RAND()&lt;Assumptions!$B$7,"Bull","Bear"),IF(RAND()&lt;Assumptions!$B$10,"Bear","Bull"))</f>
        <v>Bull</v>
      </c>
      <c r="D146" s="0" t="str">
        <f aca="true">IF(C146="Bull",IF(RAND()&lt;Assumptions!$B$7,"Bull","Bear"),IF(RAND()&lt;Assumptions!$B$10,"Bear","Bull"))</f>
        <v>Bear</v>
      </c>
      <c r="E146" s="0" t="str">
        <f aca="true">IF(D146="Bull",IF(RAND()&lt;Assumptions!$B$7,"Bull","Bear"),IF(RAND()&lt;Assumptions!$B$10,"Bear","Bull"))</f>
        <v>Bull</v>
      </c>
      <c r="F146" s="0" t="str">
        <f aca="true">IF(E146="Bull",IF(RAND()&lt;Assumptions!$B$7,"Bull","Bear"),IF(RAND()&lt;Assumptions!$B$10,"Bear","Bull"))</f>
        <v>Bull</v>
      </c>
      <c r="G146" s="0" t="str">
        <f aca="true">IF(F146="Bull",IF(RAND()&lt;Assumptions!$B$7,"Bull","Bear"),IF(RAND()&lt;Assumptions!$B$10,"Bear","Bull"))</f>
        <v>Bear</v>
      </c>
      <c r="H146" s="8" t="n">
        <f aca="true">IF(B146="Bull",NORMINV(RAND(),Assumptions!$B$5,Assumptions!$B$6),NORMINV(RAND(),Assumptions!$B$8,Assumptions!$B$9))</f>
        <v>0.21258367035354</v>
      </c>
      <c r="I146" s="8" t="n">
        <f aca="true">IF(C146="Bull",NORMINV(RAND(),Assumptions!$B$5,Assumptions!$B$6),NORMINV(RAND(),Assumptions!$B$8,Assumptions!$B$9))</f>
        <v>0.0544197448144616</v>
      </c>
      <c r="J146" s="8" t="n">
        <f aca="true">IF(D146="Bull",NORMINV(RAND(),Assumptions!$B$5,Assumptions!$B$6),NORMINV(RAND(),Assumptions!$B$8,Assumptions!$B$9))</f>
        <v>0.0501160381995394</v>
      </c>
      <c r="K146" s="8" t="n">
        <f aca="true">IF(E146="Bull",NORMINV(RAND(),Assumptions!$B$5,Assumptions!$B$6),NORMINV(RAND(),Assumptions!$B$8,Assumptions!$B$9))</f>
        <v>0.00833725511460834</v>
      </c>
      <c r="L146" s="8" t="n">
        <f aca="true">IF(F146="Bull",NORMINV(RAND(),Assumptions!$B$5,Assumptions!$B$6),NORMINV(RAND(),Assumptions!$B$8,Assumptions!$B$9))</f>
        <v>0.153703131622985</v>
      </c>
      <c r="M146" s="8" t="n">
        <f aca="true">IF(G146="Bull",NORMINV(RAND(),Assumptions!$B$5,Assumptions!$B$6),NORMINV(RAND(),Assumptions!$B$8,Assumptions!$B$9))</f>
        <v>0.20370283889942</v>
      </c>
      <c r="N146" s="8" t="n">
        <f aca="true">NORMINV(RAND(),Assumptions!$B$14,Assumptions!$B$15)</f>
        <v>0.0977715145850238</v>
      </c>
      <c r="O146" s="8" t="n">
        <f aca="true">NORMINV(RAND(),Assumptions!$B$14,Assumptions!$B$15)</f>
        <v>0.103923998801121</v>
      </c>
      <c r="P146" s="8" t="n">
        <f aca="true">NORMINV(RAND(),Assumptions!$B$14,Assumptions!$B$15)</f>
        <v>0.0518658040870649</v>
      </c>
      <c r="Q146" s="8" t="n">
        <f aca="true">NORMINV(RAND(),Assumptions!$B$14,Assumptions!$B$15)</f>
        <v>0.0652767361085621</v>
      </c>
      <c r="R146" s="8" t="n">
        <f aca="true">NORMINV(RAND(),Assumptions!$B$14,Assumptions!$B$15)</f>
        <v>0.0307418867239908</v>
      </c>
      <c r="S146" s="8" t="n">
        <f aca="true">NORMINV(RAND(),Assumptions!$B$14,Assumptions!$B$15)</f>
        <v>0.0249757223619351</v>
      </c>
      <c r="T146" s="8" t="n">
        <f aca="false">Assumptions!$B$19*H146+(1-Assumptions!$B$19)*N146</f>
        <v>0.21258367035354</v>
      </c>
      <c r="U146" s="8" t="n">
        <f aca="false">Assumptions!$B$20*I146+(1-Assumptions!$B$20)*O146</f>
        <v>0.0544197448144616</v>
      </c>
      <c r="V146" s="8" t="n">
        <f aca="false">Assumptions!$B$21*J146+(1-Assumptions!$B$21)*P146</f>
        <v>0.0501160381995394</v>
      </c>
      <c r="W146" s="8" t="n">
        <f aca="false">Assumptions!$B$22*K146+(1-Assumptions!$B$22)*Q146</f>
        <v>0.00833725511460834</v>
      </c>
      <c r="X146" s="8" t="n">
        <f aca="false">Assumptions!$B$23*L146+(1-Assumptions!$B$23)*R146</f>
        <v>0.129110882643186</v>
      </c>
      <c r="Y146" s="8" t="n">
        <f aca="false">Assumptions!$B$24*M146+(1-Assumptions!$B$24)*S146</f>
        <v>0.132211992284426</v>
      </c>
      <c r="Z146" s="6" t="n">
        <f aca="false">Assumptions!$B$27*(1+T146)</f>
        <v>363775.101106062</v>
      </c>
      <c r="AA146" s="6" t="n">
        <f aca="false">(Z146+Assumptions!$B$28)*(1+U146)</f>
        <v>541734.611000278</v>
      </c>
      <c r="AB146" s="6" t="n">
        <f aca="false">AA146*(1+V146)</f>
        <v>568884.203459181</v>
      </c>
      <c r="AC146" s="6" t="n">
        <f aca="false">AB146*(1+W146)</f>
        <v>573627.136194091</v>
      </c>
      <c r="AD146" s="6" t="n">
        <f aca="false">AC146*(1+X146)</f>
        <v>647688.642056193</v>
      </c>
      <c r="AE146" s="6" t="n">
        <f aca="false">AD146*(1+Y146)</f>
        <v>733320.847802436</v>
      </c>
      <c r="AF146" s="6" t="n">
        <f aca="false">Z146</f>
        <v>363775.101106062</v>
      </c>
      <c r="AG146" s="6" t="n">
        <f aca="false">MAX(AF146,AA146)</f>
        <v>541734.611000278</v>
      </c>
      <c r="AH146" s="6" t="n">
        <f aca="false">MAX(AG146,AB146)</f>
        <v>568884.203459181</v>
      </c>
      <c r="AI146" s="6" t="n">
        <f aca="false">MAX(AH146,AC146)</f>
        <v>573627.136194091</v>
      </c>
      <c r="AJ146" s="6" t="n">
        <f aca="false">MAX(AI146,AD146)</f>
        <v>647688.642056193</v>
      </c>
      <c r="AK146" s="6" t="n">
        <f aca="false">MAX(AJ146,AE146)</f>
        <v>733320.847802436</v>
      </c>
      <c r="AL146" s="8" t="n">
        <f aca="false">MIN(Z146/AF146-1,AA146/AG146-1,AB146/AH146-1,AC146/AI146-1,AD146/AJ146-1,AE146/AK146-1)</f>
        <v>0</v>
      </c>
      <c r="AM146" s="6" t="n">
        <f aca="false">AE146-Assumptions!$B$35</f>
        <v>292056.851139933</v>
      </c>
    </row>
    <row r="147" customFormat="false" ht="15" hidden="false" customHeight="false" outlineLevel="0" collapsed="false">
      <c r="A147" s="0" t="n">
        <f aca="false">ROW()-1</f>
        <v>146</v>
      </c>
      <c r="B147" s="0" t="str">
        <f aca="true">IF(RAND()&lt;Assumptions!$B$11,"Bull","Bear")</f>
        <v>Bull</v>
      </c>
      <c r="C147" s="0" t="str">
        <f aca="true">IF(B147="Bull",IF(RAND()&lt;Assumptions!$B$7,"Bull","Bear"),IF(RAND()&lt;Assumptions!$B$10,"Bear","Bull"))</f>
        <v>Bull</v>
      </c>
      <c r="D147" s="0" t="str">
        <f aca="true">IF(C147="Bull",IF(RAND()&lt;Assumptions!$B$7,"Bull","Bear"),IF(RAND()&lt;Assumptions!$B$10,"Bear","Bull"))</f>
        <v>Bull</v>
      </c>
      <c r="E147" s="0" t="str">
        <f aca="true">IF(D147="Bull",IF(RAND()&lt;Assumptions!$B$7,"Bull","Bear"),IF(RAND()&lt;Assumptions!$B$10,"Bear","Bull"))</f>
        <v>Bear</v>
      </c>
      <c r="F147" s="0" t="str">
        <f aca="true">IF(E147="Bull",IF(RAND()&lt;Assumptions!$B$7,"Bull","Bear"),IF(RAND()&lt;Assumptions!$B$10,"Bear","Bull"))</f>
        <v>Bull</v>
      </c>
      <c r="G147" s="0" t="str">
        <f aca="true">IF(F147="Bull",IF(RAND()&lt;Assumptions!$B$7,"Bull","Bear"),IF(RAND()&lt;Assumptions!$B$10,"Bear","Bull"))</f>
        <v>Bull</v>
      </c>
      <c r="H147" s="8" t="n">
        <f aca="true">IF(B147="Bull",NORMINV(RAND(),Assumptions!$B$5,Assumptions!$B$6),NORMINV(RAND(),Assumptions!$B$8,Assumptions!$B$9))</f>
        <v>0.0361502790687298</v>
      </c>
      <c r="I147" s="8" t="n">
        <f aca="true">IF(C147="Bull",NORMINV(RAND(),Assumptions!$B$5,Assumptions!$B$6),NORMINV(RAND(),Assumptions!$B$8,Assumptions!$B$9))</f>
        <v>0.312832925936887</v>
      </c>
      <c r="J147" s="8" t="n">
        <f aca="true">IF(D147="Bull",NORMINV(RAND(),Assumptions!$B$5,Assumptions!$B$6),NORMINV(RAND(),Assumptions!$B$8,Assumptions!$B$9))</f>
        <v>0.0397616850740244</v>
      </c>
      <c r="K147" s="8" t="n">
        <f aca="true">IF(E147="Bull",NORMINV(RAND(),Assumptions!$B$5,Assumptions!$B$6),NORMINV(RAND(),Assumptions!$B$8,Assumptions!$B$9))</f>
        <v>-0.0171836932785537</v>
      </c>
      <c r="L147" s="8" t="n">
        <f aca="true">IF(F147="Bull",NORMINV(RAND(),Assumptions!$B$5,Assumptions!$B$6),NORMINV(RAND(),Assumptions!$B$8,Assumptions!$B$9))</f>
        <v>0.186260982391884</v>
      </c>
      <c r="M147" s="8" t="n">
        <f aca="true">IF(G147="Bull",NORMINV(RAND(),Assumptions!$B$5,Assumptions!$B$6),NORMINV(RAND(),Assumptions!$B$8,Assumptions!$B$9))</f>
        <v>0.0792376678056513</v>
      </c>
      <c r="N147" s="8" t="n">
        <f aca="true">NORMINV(RAND(),Assumptions!$B$14,Assumptions!$B$15)</f>
        <v>0.0426263856034237</v>
      </c>
      <c r="O147" s="8" t="n">
        <f aca="true">NORMINV(RAND(),Assumptions!$B$14,Assumptions!$B$15)</f>
        <v>0.0636075367083754</v>
      </c>
      <c r="P147" s="8" t="n">
        <f aca="true">NORMINV(RAND(),Assumptions!$B$14,Assumptions!$B$15)</f>
        <v>0.0664515416645458</v>
      </c>
      <c r="Q147" s="8" t="n">
        <f aca="true">NORMINV(RAND(),Assumptions!$B$14,Assumptions!$B$15)</f>
        <v>0.00887831322617326</v>
      </c>
      <c r="R147" s="8" t="n">
        <f aca="true">NORMINV(RAND(),Assumptions!$B$14,Assumptions!$B$15)</f>
        <v>0.0642424782620147</v>
      </c>
      <c r="S147" s="8" t="n">
        <f aca="true">NORMINV(RAND(),Assumptions!$B$14,Assumptions!$B$15)</f>
        <v>0.0324767803828603</v>
      </c>
      <c r="T147" s="8" t="n">
        <f aca="false">Assumptions!$B$19*H147+(1-Assumptions!$B$19)*N147</f>
        <v>0.0361502790687298</v>
      </c>
      <c r="U147" s="8" t="n">
        <f aca="false">Assumptions!$B$20*I147+(1-Assumptions!$B$20)*O147</f>
        <v>0.312832925936887</v>
      </c>
      <c r="V147" s="8" t="n">
        <f aca="false">Assumptions!$B$21*J147+(1-Assumptions!$B$21)*P147</f>
        <v>0.0397616850740244</v>
      </c>
      <c r="W147" s="8" t="n">
        <f aca="false">Assumptions!$B$22*K147+(1-Assumptions!$B$22)*Q147</f>
        <v>-0.0171836932785537</v>
      </c>
      <c r="X147" s="8" t="n">
        <f aca="false">Assumptions!$B$23*L147+(1-Assumptions!$B$23)*R147</f>
        <v>0.16185728156591</v>
      </c>
      <c r="Y147" s="8" t="n">
        <f aca="false">Assumptions!$B$24*M147+(1-Assumptions!$B$24)*S147</f>
        <v>0.0605333128365349</v>
      </c>
      <c r="Z147" s="6" t="n">
        <f aca="false">Assumptions!$B$27*(1+T147)</f>
        <v>310845.083720619</v>
      </c>
      <c r="AA147" s="6" t="n">
        <f aca="false">(Z147+Assumptions!$B$28)*(1+U147)</f>
        <v>605012.59966457</v>
      </c>
      <c r="AB147" s="6" t="n">
        <f aca="false">AA147*(1+V147)</f>
        <v>629068.920118249</v>
      </c>
      <c r="AC147" s="6" t="n">
        <f aca="false">AB147*(1+W147)</f>
        <v>618259.192743866</v>
      </c>
      <c r="AD147" s="6" t="n">
        <f aca="false">AC147*(1+X147)</f>
        <v>718328.944984522</v>
      </c>
      <c r="AE147" s="6" t="n">
        <f aca="false">AD147*(1+Y147)</f>
        <v>761811.775730808</v>
      </c>
      <c r="AF147" s="6" t="n">
        <f aca="false">Z147</f>
        <v>310845.083720619</v>
      </c>
      <c r="AG147" s="6" t="n">
        <f aca="false">MAX(AF147,AA147)</f>
        <v>605012.59966457</v>
      </c>
      <c r="AH147" s="6" t="n">
        <f aca="false">MAX(AG147,AB147)</f>
        <v>629068.920118249</v>
      </c>
      <c r="AI147" s="6" t="n">
        <f aca="false">MAX(AH147,AC147)</f>
        <v>629068.920118249</v>
      </c>
      <c r="AJ147" s="6" t="n">
        <f aca="false">MAX(AI147,AD147)</f>
        <v>718328.944984522</v>
      </c>
      <c r="AK147" s="6" t="n">
        <f aca="false">MAX(AJ147,AE147)</f>
        <v>761811.775730808</v>
      </c>
      <c r="AL147" s="8" t="n">
        <f aca="false">MIN(Z147/AF147-1,AA147/AG147-1,AB147/AH147-1,AC147/AI147-1,AD147/AJ147-1,AE147/AK147-1)</f>
        <v>-0.0171836932785535</v>
      </c>
      <c r="AM147" s="6" t="n">
        <f aca="false">AE147-Assumptions!$B$35</f>
        <v>320547.779068305</v>
      </c>
    </row>
    <row r="148" customFormat="false" ht="15" hidden="false" customHeight="false" outlineLevel="0" collapsed="false">
      <c r="A148" s="0" t="n">
        <f aca="false">ROW()-1</f>
        <v>147</v>
      </c>
      <c r="B148" s="0" t="str">
        <f aca="true">IF(RAND()&lt;Assumptions!$B$11,"Bull","Bear")</f>
        <v>Bull</v>
      </c>
      <c r="C148" s="0" t="str">
        <f aca="true">IF(B148="Bull",IF(RAND()&lt;Assumptions!$B$7,"Bull","Bear"),IF(RAND()&lt;Assumptions!$B$10,"Bear","Bull"))</f>
        <v>Bull</v>
      </c>
      <c r="D148" s="0" t="str">
        <f aca="true">IF(C148="Bull",IF(RAND()&lt;Assumptions!$B$7,"Bull","Bear"),IF(RAND()&lt;Assumptions!$B$10,"Bear","Bull"))</f>
        <v>Bull</v>
      </c>
      <c r="E148" s="0" t="str">
        <f aca="true">IF(D148="Bull",IF(RAND()&lt;Assumptions!$B$7,"Bull","Bear"),IF(RAND()&lt;Assumptions!$B$10,"Bear","Bull"))</f>
        <v>Bull</v>
      </c>
      <c r="F148" s="0" t="str">
        <f aca="true">IF(E148="Bull",IF(RAND()&lt;Assumptions!$B$7,"Bull","Bear"),IF(RAND()&lt;Assumptions!$B$10,"Bear","Bull"))</f>
        <v>Bull</v>
      </c>
      <c r="G148" s="0" t="str">
        <f aca="true">IF(F148="Bull",IF(RAND()&lt;Assumptions!$B$7,"Bull","Bear"),IF(RAND()&lt;Assumptions!$B$10,"Bear","Bull"))</f>
        <v>Bull</v>
      </c>
      <c r="H148" s="8" t="n">
        <f aca="true">IF(B148="Bull",NORMINV(RAND(),Assumptions!$B$5,Assumptions!$B$6),NORMINV(RAND(),Assumptions!$B$8,Assumptions!$B$9))</f>
        <v>0.128930476698673</v>
      </c>
      <c r="I148" s="8" t="n">
        <f aca="true">IF(C148="Bull",NORMINV(RAND(),Assumptions!$B$5,Assumptions!$B$6),NORMINV(RAND(),Assumptions!$B$8,Assumptions!$B$9))</f>
        <v>0.34636937569456</v>
      </c>
      <c r="J148" s="8" t="n">
        <f aca="true">IF(D148="Bull",NORMINV(RAND(),Assumptions!$B$5,Assumptions!$B$6),NORMINV(RAND(),Assumptions!$B$8,Assumptions!$B$9))</f>
        <v>-0.0215151995590834</v>
      </c>
      <c r="K148" s="8" t="n">
        <f aca="true">IF(E148="Bull",NORMINV(RAND(),Assumptions!$B$5,Assumptions!$B$6),NORMINV(RAND(),Assumptions!$B$8,Assumptions!$B$9))</f>
        <v>0.158659099189622</v>
      </c>
      <c r="L148" s="8" t="n">
        <f aca="true">IF(F148="Bull",NORMINV(RAND(),Assumptions!$B$5,Assumptions!$B$6),NORMINV(RAND(),Assumptions!$B$8,Assumptions!$B$9))</f>
        <v>0.160123204116323</v>
      </c>
      <c r="M148" s="8" t="n">
        <f aca="true">IF(G148="Bull",NORMINV(RAND(),Assumptions!$B$5,Assumptions!$B$6),NORMINV(RAND(),Assumptions!$B$8,Assumptions!$B$9))</f>
        <v>0.364551595205308</v>
      </c>
      <c r="N148" s="8" t="n">
        <f aca="true">NORMINV(RAND(),Assumptions!$B$14,Assumptions!$B$15)</f>
        <v>0.0553836632273201</v>
      </c>
      <c r="O148" s="8" t="n">
        <f aca="true">NORMINV(RAND(),Assumptions!$B$14,Assumptions!$B$15)</f>
        <v>0.0642483105536132</v>
      </c>
      <c r="P148" s="8" t="n">
        <f aca="true">NORMINV(RAND(),Assumptions!$B$14,Assumptions!$B$15)</f>
        <v>0.0347119915686247</v>
      </c>
      <c r="Q148" s="8" t="n">
        <f aca="true">NORMINV(RAND(),Assumptions!$B$14,Assumptions!$B$15)</f>
        <v>0.00234235888147265</v>
      </c>
      <c r="R148" s="8" t="n">
        <f aca="true">NORMINV(RAND(),Assumptions!$B$14,Assumptions!$B$15)</f>
        <v>0.038992417075027</v>
      </c>
      <c r="S148" s="8" t="n">
        <f aca="true">NORMINV(RAND(),Assumptions!$B$14,Assumptions!$B$15)</f>
        <v>0.0205009570742118</v>
      </c>
      <c r="T148" s="8" t="n">
        <f aca="false">Assumptions!$B$19*H148+(1-Assumptions!$B$19)*N148</f>
        <v>0.128930476698673</v>
      </c>
      <c r="U148" s="8" t="n">
        <f aca="false">Assumptions!$B$20*I148+(1-Assumptions!$B$20)*O148</f>
        <v>0.34636937569456</v>
      </c>
      <c r="V148" s="8" t="n">
        <f aca="false">Assumptions!$B$21*J148+(1-Assumptions!$B$21)*P148</f>
        <v>-0.0215151995590834</v>
      </c>
      <c r="W148" s="8" t="n">
        <f aca="false">Assumptions!$B$22*K148+(1-Assumptions!$B$22)*Q148</f>
        <v>0.158659099189622</v>
      </c>
      <c r="X148" s="8" t="n">
        <f aca="false">Assumptions!$B$23*L148+(1-Assumptions!$B$23)*R148</f>
        <v>0.135897046708064</v>
      </c>
      <c r="Y148" s="8" t="n">
        <f aca="false">Assumptions!$B$24*M148+(1-Assumptions!$B$24)*S148</f>
        <v>0.22693133995287</v>
      </c>
      <c r="Z148" s="6" t="n">
        <f aca="false">Assumptions!$B$27*(1+T148)</f>
        <v>338679.143009602</v>
      </c>
      <c r="AA148" s="6" t="n">
        <f aca="false">(Z148+Assumptions!$B$28)*(1+U148)</f>
        <v>657942.63268879</v>
      </c>
      <c r="AB148" s="6" t="n">
        <f aca="false">AA148*(1+V148)</f>
        <v>643786.865648062</v>
      </c>
      <c r="AC148" s="6" t="n">
        <f aca="false">AB148*(1+W148)</f>
        <v>745929.509821894</v>
      </c>
      <c r="AD148" s="6" t="n">
        <f aca="false">AC148*(1+X148)</f>
        <v>847299.127259083</v>
      </c>
      <c r="AE148" s="6" t="n">
        <f aca="false">AD148*(1+Y148)</f>
        <v>1039577.85354888</v>
      </c>
      <c r="AF148" s="6" t="n">
        <f aca="false">Z148</f>
        <v>338679.143009602</v>
      </c>
      <c r="AG148" s="6" t="n">
        <f aca="false">MAX(AF148,AA148)</f>
        <v>657942.63268879</v>
      </c>
      <c r="AH148" s="6" t="n">
        <f aca="false">MAX(AG148,AB148)</f>
        <v>657942.63268879</v>
      </c>
      <c r="AI148" s="6" t="n">
        <f aca="false">MAX(AH148,AC148)</f>
        <v>745929.509821894</v>
      </c>
      <c r="AJ148" s="6" t="n">
        <f aca="false">MAX(AI148,AD148)</f>
        <v>847299.127259083</v>
      </c>
      <c r="AK148" s="6" t="n">
        <f aca="false">MAX(AJ148,AE148)</f>
        <v>1039577.85354888</v>
      </c>
      <c r="AL148" s="8" t="n">
        <f aca="false">MIN(Z148/AF148-1,AA148/AG148-1,AB148/AH148-1,AC148/AI148-1,AD148/AJ148-1,AE148/AK148-1)</f>
        <v>-0.0215151995590833</v>
      </c>
      <c r="AM148" s="6" t="n">
        <f aca="false">AE148-Assumptions!$B$35</f>
        <v>598313.85688638</v>
      </c>
    </row>
    <row r="149" customFormat="false" ht="15" hidden="false" customHeight="false" outlineLevel="0" collapsed="false">
      <c r="A149" s="0" t="n">
        <f aca="false">ROW()-1</f>
        <v>148</v>
      </c>
      <c r="B149" s="0" t="str">
        <f aca="true">IF(RAND()&lt;Assumptions!$B$11,"Bull","Bear")</f>
        <v>Bear</v>
      </c>
      <c r="C149" s="0" t="str">
        <f aca="true">IF(B149="Bull",IF(RAND()&lt;Assumptions!$B$7,"Bull","Bear"),IF(RAND()&lt;Assumptions!$B$10,"Bear","Bull"))</f>
        <v>Bull</v>
      </c>
      <c r="D149" s="0" t="str">
        <f aca="true">IF(C149="Bull",IF(RAND()&lt;Assumptions!$B$7,"Bull","Bear"),IF(RAND()&lt;Assumptions!$B$10,"Bear","Bull"))</f>
        <v>Bull</v>
      </c>
      <c r="E149" s="0" t="str">
        <f aca="true">IF(D149="Bull",IF(RAND()&lt;Assumptions!$B$7,"Bull","Bear"),IF(RAND()&lt;Assumptions!$B$10,"Bear","Bull"))</f>
        <v>Bear</v>
      </c>
      <c r="F149" s="0" t="str">
        <f aca="true">IF(E149="Bull",IF(RAND()&lt;Assumptions!$B$7,"Bull","Bear"),IF(RAND()&lt;Assumptions!$B$10,"Bear","Bull"))</f>
        <v>Bear</v>
      </c>
      <c r="G149" s="0" t="str">
        <f aca="true">IF(F149="Bull",IF(RAND()&lt;Assumptions!$B$7,"Bull","Bear"),IF(RAND()&lt;Assumptions!$B$10,"Bear","Bull"))</f>
        <v>Bear</v>
      </c>
      <c r="H149" s="8" t="n">
        <f aca="true">IF(B149="Bull",NORMINV(RAND(),Assumptions!$B$5,Assumptions!$B$6),NORMINV(RAND(),Assumptions!$B$8,Assumptions!$B$9))</f>
        <v>-0.344159747397847</v>
      </c>
      <c r="I149" s="8" t="n">
        <f aca="true">IF(C149="Bull",NORMINV(RAND(),Assumptions!$B$5,Assumptions!$B$6),NORMINV(RAND(),Assumptions!$B$8,Assumptions!$B$9))</f>
        <v>0.371181927772121</v>
      </c>
      <c r="J149" s="8" t="n">
        <f aca="true">IF(D149="Bull",NORMINV(RAND(),Assumptions!$B$5,Assumptions!$B$6),NORMINV(RAND(),Assumptions!$B$8,Assumptions!$B$9))</f>
        <v>0.210206292958867</v>
      </c>
      <c r="K149" s="8" t="n">
        <f aca="true">IF(E149="Bull",NORMINV(RAND(),Assumptions!$B$5,Assumptions!$B$6),NORMINV(RAND(),Assumptions!$B$8,Assumptions!$B$9))</f>
        <v>0.322526686642904</v>
      </c>
      <c r="L149" s="8" t="n">
        <f aca="true">IF(F149="Bull",NORMINV(RAND(),Assumptions!$B$5,Assumptions!$B$6),NORMINV(RAND(),Assumptions!$B$8,Assumptions!$B$9))</f>
        <v>0.251297917662635</v>
      </c>
      <c r="M149" s="8" t="n">
        <f aca="true">IF(G149="Bull",NORMINV(RAND(),Assumptions!$B$5,Assumptions!$B$6),NORMINV(RAND(),Assumptions!$B$8,Assumptions!$B$9))</f>
        <v>-0.0615065876153292</v>
      </c>
      <c r="N149" s="8" t="n">
        <f aca="true">NORMINV(RAND(),Assumptions!$B$14,Assumptions!$B$15)</f>
        <v>0.0723393249375646</v>
      </c>
      <c r="O149" s="8" t="n">
        <f aca="true">NORMINV(RAND(),Assumptions!$B$14,Assumptions!$B$15)</f>
        <v>0.0972709144862198</v>
      </c>
      <c r="P149" s="8" t="n">
        <f aca="true">NORMINV(RAND(),Assumptions!$B$14,Assumptions!$B$15)</f>
        <v>-0.0256620836264101</v>
      </c>
      <c r="Q149" s="8" t="n">
        <f aca="true">NORMINV(RAND(),Assumptions!$B$14,Assumptions!$B$15)</f>
        <v>0.05671041003814</v>
      </c>
      <c r="R149" s="8" t="n">
        <f aca="true">NORMINV(RAND(),Assumptions!$B$14,Assumptions!$B$15)</f>
        <v>0.0221522165653161</v>
      </c>
      <c r="S149" s="8" t="n">
        <f aca="true">NORMINV(RAND(),Assumptions!$B$14,Assumptions!$B$15)</f>
        <v>0.046095558893371</v>
      </c>
      <c r="T149" s="8" t="n">
        <f aca="false">Assumptions!$B$19*H149+(1-Assumptions!$B$19)*N149</f>
        <v>-0.344159747397847</v>
      </c>
      <c r="U149" s="8" t="n">
        <f aca="false">Assumptions!$B$20*I149+(1-Assumptions!$B$20)*O149</f>
        <v>0.371181927772121</v>
      </c>
      <c r="V149" s="8" t="n">
        <f aca="false">Assumptions!$B$21*J149+(1-Assumptions!$B$21)*P149</f>
        <v>0.210206292958867</v>
      </c>
      <c r="W149" s="8" t="n">
        <f aca="false">Assumptions!$B$22*K149+(1-Assumptions!$B$22)*Q149</f>
        <v>0.322526686642904</v>
      </c>
      <c r="X149" s="8" t="n">
        <f aca="false">Assumptions!$B$23*L149+(1-Assumptions!$B$23)*R149</f>
        <v>0.205468777443171</v>
      </c>
      <c r="Y149" s="8" t="n">
        <f aca="false">Assumptions!$B$24*M149+(1-Assumptions!$B$24)*S149</f>
        <v>-0.0184657290118491</v>
      </c>
      <c r="Z149" s="6" t="n">
        <f aca="false">Assumptions!$B$27*(1+T149)</f>
        <v>196752.075780646</v>
      </c>
      <c r="AA149" s="6" t="n">
        <f aca="false">(Z149+Assumptions!$B$28)*(1+U149)</f>
        <v>475460.179727891</v>
      </c>
      <c r="AB149" s="6" t="n">
        <f aca="false">AA149*(1+V149)</f>
        <v>575404.901558047</v>
      </c>
      <c r="AC149" s="6" t="n">
        <f aca="false">AB149*(1+W149)</f>
        <v>760988.337935651</v>
      </c>
      <c r="AD149" s="6" t="n">
        <f aca="false">AC149*(1+X149)</f>
        <v>917347.681379799</v>
      </c>
      <c r="AE149" s="6" t="n">
        <f aca="false">AD149*(1+Y149)</f>
        <v>900408.187685792</v>
      </c>
      <c r="AF149" s="6" t="n">
        <f aca="false">Z149</f>
        <v>196752.075780646</v>
      </c>
      <c r="AG149" s="6" t="n">
        <f aca="false">MAX(AF149,AA149)</f>
        <v>475460.179727891</v>
      </c>
      <c r="AH149" s="6" t="n">
        <f aca="false">MAX(AG149,AB149)</f>
        <v>575404.901558047</v>
      </c>
      <c r="AI149" s="6" t="n">
        <f aca="false">MAX(AH149,AC149)</f>
        <v>760988.337935651</v>
      </c>
      <c r="AJ149" s="6" t="n">
        <f aca="false">MAX(AI149,AD149)</f>
        <v>917347.681379799</v>
      </c>
      <c r="AK149" s="6" t="n">
        <f aca="false">MAX(AJ149,AE149)</f>
        <v>917347.681379799</v>
      </c>
      <c r="AL149" s="8" t="n">
        <f aca="false">MIN(Z149/AF149-1,AA149/AG149-1,AB149/AH149-1,AC149/AI149-1,AD149/AJ149-1,AE149/AK149-1)</f>
        <v>-0.0184657290118492</v>
      </c>
      <c r="AM149" s="6" t="n">
        <f aca="false">AE149-Assumptions!$B$35</f>
        <v>459144.191023288</v>
      </c>
    </row>
    <row r="150" customFormat="false" ht="15" hidden="false" customHeight="false" outlineLevel="0" collapsed="false">
      <c r="A150" s="0" t="n">
        <f aca="false">ROW()-1</f>
        <v>149</v>
      </c>
      <c r="B150" s="0" t="str">
        <f aca="true">IF(RAND()&lt;Assumptions!$B$11,"Bull","Bear")</f>
        <v>Bull</v>
      </c>
      <c r="C150" s="0" t="str">
        <f aca="true">IF(B150="Bull",IF(RAND()&lt;Assumptions!$B$7,"Bull","Bear"),IF(RAND()&lt;Assumptions!$B$10,"Bear","Bull"))</f>
        <v>Bull</v>
      </c>
      <c r="D150" s="0" t="str">
        <f aca="true">IF(C150="Bull",IF(RAND()&lt;Assumptions!$B$7,"Bull","Bear"),IF(RAND()&lt;Assumptions!$B$10,"Bear","Bull"))</f>
        <v>Bull</v>
      </c>
      <c r="E150" s="0" t="str">
        <f aca="true">IF(D150="Bull",IF(RAND()&lt;Assumptions!$B$7,"Bull","Bear"),IF(RAND()&lt;Assumptions!$B$10,"Bear","Bull"))</f>
        <v>Bull</v>
      </c>
      <c r="F150" s="0" t="str">
        <f aca="true">IF(E150="Bull",IF(RAND()&lt;Assumptions!$B$7,"Bull","Bear"),IF(RAND()&lt;Assumptions!$B$10,"Bear","Bull"))</f>
        <v>Bull</v>
      </c>
      <c r="G150" s="0" t="str">
        <f aca="true">IF(F150="Bull",IF(RAND()&lt;Assumptions!$B$7,"Bull","Bear"),IF(RAND()&lt;Assumptions!$B$10,"Bear","Bull"))</f>
        <v>Bear</v>
      </c>
      <c r="H150" s="8" t="n">
        <f aca="true">IF(B150="Bull",NORMINV(RAND(),Assumptions!$B$5,Assumptions!$B$6),NORMINV(RAND(),Assumptions!$B$8,Assumptions!$B$9))</f>
        <v>0.0665300048490363</v>
      </c>
      <c r="I150" s="8" t="n">
        <f aca="true">IF(C150="Bull",NORMINV(RAND(),Assumptions!$B$5,Assumptions!$B$6),NORMINV(RAND(),Assumptions!$B$8,Assumptions!$B$9))</f>
        <v>0.259898892523264</v>
      </c>
      <c r="J150" s="8" t="n">
        <f aca="true">IF(D150="Bull",NORMINV(RAND(),Assumptions!$B$5,Assumptions!$B$6),NORMINV(RAND(),Assumptions!$B$8,Assumptions!$B$9))</f>
        <v>0.222047813732623</v>
      </c>
      <c r="K150" s="8" t="n">
        <f aca="true">IF(E150="Bull",NORMINV(RAND(),Assumptions!$B$5,Assumptions!$B$6),NORMINV(RAND(),Assumptions!$B$8,Assumptions!$B$9))</f>
        <v>0.193123956252761</v>
      </c>
      <c r="L150" s="8" t="n">
        <f aca="true">IF(F150="Bull",NORMINV(RAND(),Assumptions!$B$5,Assumptions!$B$6),NORMINV(RAND(),Assumptions!$B$8,Assumptions!$B$9))</f>
        <v>0.356510959729245</v>
      </c>
      <c r="M150" s="8" t="n">
        <f aca="true">IF(G150="Bull",NORMINV(RAND(),Assumptions!$B$5,Assumptions!$B$6),NORMINV(RAND(),Assumptions!$B$8,Assumptions!$B$9))</f>
        <v>-0.164035636421438</v>
      </c>
      <c r="N150" s="8" t="n">
        <f aca="true">NORMINV(RAND(),Assumptions!$B$14,Assumptions!$B$15)</f>
        <v>0.0977895179096902</v>
      </c>
      <c r="O150" s="8" t="n">
        <f aca="true">NORMINV(RAND(),Assumptions!$B$14,Assumptions!$B$15)</f>
        <v>0.0786642907315227</v>
      </c>
      <c r="P150" s="8" t="n">
        <f aca="true">NORMINV(RAND(),Assumptions!$B$14,Assumptions!$B$15)</f>
        <v>0.052934153962188</v>
      </c>
      <c r="Q150" s="8" t="n">
        <f aca="true">NORMINV(RAND(),Assumptions!$B$14,Assumptions!$B$15)</f>
        <v>0.0570295886245195</v>
      </c>
      <c r="R150" s="8" t="n">
        <f aca="true">NORMINV(RAND(),Assumptions!$B$14,Assumptions!$B$15)</f>
        <v>0.0640047210079796</v>
      </c>
      <c r="S150" s="8" t="n">
        <f aca="true">NORMINV(RAND(),Assumptions!$B$14,Assumptions!$B$15)</f>
        <v>0.0389017427594652</v>
      </c>
      <c r="T150" s="8" t="n">
        <f aca="false">Assumptions!$B$19*H150+(1-Assumptions!$B$19)*N150</f>
        <v>0.0665300048490363</v>
      </c>
      <c r="U150" s="8" t="n">
        <f aca="false">Assumptions!$B$20*I150+(1-Assumptions!$B$20)*O150</f>
        <v>0.259898892523264</v>
      </c>
      <c r="V150" s="8" t="n">
        <f aca="false">Assumptions!$B$21*J150+(1-Assumptions!$B$21)*P150</f>
        <v>0.222047813732623</v>
      </c>
      <c r="W150" s="8" t="n">
        <f aca="false">Assumptions!$B$22*K150+(1-Assumptions!$B$22)*Q150</f>
        <v>0.193123956252761</v>
      </c>
      <c r="X150" s="8" t="n">
        <f aca="false">Assumptions!$B$23*L150+(1-Assumptions!$B$23)*R150</f>
        <v>0.298009711984992</v>
      </c>
      <c r="Y150" s="8" t="n">
        <f aca="false">Assumptions!$B$24*M150+(1-Assumptions!$B$24)*S150</f>
        <v>-0.0828606847490765</v>
      </c>
      <c r="Z150" s="6" t="n">
        <f aca="false">Assumptions!$B$27*(1+T150)</f>
        <v>319959.001454711</v>
      </c>
      <c r="AA150" s="6" t="n">
        <f aca="false">(Z150+Assumptions!$B$28)*(1+U150)</f>
        <v>592100.825464129</v>
      </c>
      <c r="AB150" s="6" t="n">
        <f aca="false">AA150*(1+V150)</f>
        <v>723575.519267721</v>
      </c>
      <c r="AC150" s="6" t="n">
        <f aca="false">AB150*(1+W150)</f>
        <v>863315.286196349</v>
      </c>
      <c r="AD150" s="6" t="n">
        <f aca="false">AC150*(1+X150)</f>
        <v>1120591.62598796</v>
      </c>
      <c r="AE150" s="6" t="n">
        <f aca="false">AD150*(1+Y150)</f>
        <v>1027738.63653452</v>
      </c>
      <c r="AF150" s="6" t="n">
        <f aca="false">Z150</f>
        <v>319959.001454711</v>
      </c>
      <c r="AG150" s="6" t="n">
        <f aca="false">MAX(AF150,AA150)</f>
        <v>592100.825464129</v>
      </c>
      <c r="AH150" s="6" t="n">
        <f aca="false">MAX(AG150,AB150)</f>
        <v>723575.519267721</v>
      </c>
      <c r="AI150" s="6" t="n">
        <f aca="false">MAX(AH150,AC150)</f>
        <v>863315.286196349</v>
      </c>
      <c r="AJ150" s="6" t="n">
        <f aca="false">MAX(AI150,AD150)</f>
        <v>1120591.62598796</v>
      </c>
      <c r="AK150" s="6" t="n">
        <f aca="false">MAX(AJ150,AE150)</f>
        <v>1120591.62598796</v>
      </c>
      <c r="AL150" s="8" t="n">
        <f aca="false">MIN(Z150/AF150-1,AA150/AG150-1,AB150/AH150-1,AC150/AI150-1,AD150/AJ150-1,AE150/AK150-1)</f>
        <v>-0.0828606847490765</v>
      </c>
      <c r="AM150" s="6" t="n">
        <f aca="false">AE150-Assumptions!$B$35</f>
        <v>586474.639872016</v>
      </c>
    </row>
    <row r="151" customFormat="false" ht="15" hidden="false" customHeight="false" outlineLevel="0" collapsed="false">
      <c r="A151" s="0" t="n">
        <f aca="false">ROW()-1</f>
        <v>150</v>
      </c>
      <c r="B151" s="0" t="str">
        <f aca="true">IF(RAND()&lt;Assumptions!$B$11,"Bull","Bear")</f>
        <v>Bull</v>
      </c>
      <c r="C151" s="0" t="str">
        <f aca="true">IF(B151="Bull",IF(RAND()&lt;Assumptions!$B$7,"Bull","Bear"),IF(RAND()&lt;Assumptions!$B$10,"Bear","Bull"))</f>
        <v>Bear</v>
      </c>
      <c r="D151" s="0" t="str">
        <f aca="true">IF(C151="Bull",IF(RAND()&lt;Assumptions!$B$7,"Bull","Bear"),IF(RAND()&lt;Assumptions!$B$10,"Bear","Bull"))</f>
        <v>Bear</v>
      </c>
      <c r="E151" s="0" t="str">
        <f aca="true">IF(D151="Bull",IF(RAND()&lt;Assumptions!$B$7,"Bull","Bear"),IF(RAND()&lt;Assumptions!$B$10,"Bear","Bull"))</f>
        <v>Bull</v>
      </c>
      <c r="F151" s="0" t="str">
        <f aca="true">IF(E151="Bull",IF(RAND()&lt;Assumptions!$B$7,"Bull","Bear"),IF(RAND()&lt;Assumptions!$B$10,"Bear","Bull"))</f>
        <v>Bull</v>
      </c>
      <c r="G151" s="0" t="str">
        <f aca="true">IF(F151="Bull",IF(RAND()&lt;Assumptions!$B$7,"Bull","Bear"),IF(RAND()&lt;Assumptions!$B$10,"Bear","Bull"))</f>
        <v>Bull</v>
      </c>
      <c r="H151" s="8" t="n">
        <f aca="true">IF(B151="Bull",NORMINV(RAND(),Assumptions!$B$5,Assumptions!$B$6),NORMINV(RAND(),Assumptions!$B$8,Assumptions!$B$9))</f>
        <v>0.180322549032943</v>
      </c>
      <c r="I151" s="8" t="n">
        <f aca="true">IF(C151="Bull",NORMINV(RAND(),Assumptions!$B$5,Assumptions!$B$6),NORMINV(RAND(),Assumptions!$B$8,Assumptions!$B$9))</f>
        <v>-0.249667683543735</v>
      </c>
      <c r="J151" s="8" t="n">
        <f aca="true">IF(D151="Bull",NORMINV(RAND(),Assumptions!$B$5,Assumptions!$B$6),NORMINV(RAND(),Assumptions!$B$8,Assumptions!$B$9))</f>
        <v>-0.117996299409027</v>
      </c>
      <c r="K151" s="8" t="n">
        <f aca="true">IF(E151="Bull",NORMINV(RAND(),Assumptions!$B$5,Assumptions!$B$6),NORMINV(RAND(),Assumptions!$B$8,Assumptions!$B$9))</f>
        <v>-0.0322090734825289</v>
      </c>
      <c r="L151" s="8" t="n">
        <f aca="true">IF(F151="Bull",NORMINV(RAND(),Assumptions!$B$5,Assumptions!$B$6),NORMINV(RAND(),Assumptions!$B$8,Assumptions!$B$9))</f>
        <v>0.241403218549837</v>
      </c>
      <c r="M151" s="8" t="n">
        <f aca="true">IF(G151="Bull",NORMINV(RAND(),Assumptions!$B$5,Assumptions!$B$6),NORMINV(RAND(),Assumptions!$B$8,Assumptions!$B$9))</f>
        <v>0.167513194846176</v>
      </c>
      <c r="N151" s="8" t="n">
        <f aca="true">NORMINV(RAND(),Assumptions!$B$14,Assumptions!$B$15)</f>
        <v>0.00936693230849105</v>
      </c>
      <c r="O151" s="8" t="n">
        <f aca="true">NORMINV(RAND(),Assumptions!$B$14,Assumptions!$B$15)</f>
        <v>-0.00887215472024054</v>
      </c>
      <c r="P151" s="8" t="n">
        <f aca="true">NORMINV(RAND(),Assumptions!$B$14,Assumptions!$B$15)</f>
        <v>0.0459319925767554</v>
      </c>
      <c r="Q151" s="8" t="n">
        <f aca="true">NORMINV(RAND(),Assumptions!$B$14,Assumptions!$B$15)</f>
        <v>0.0319262988662957</v>
      </c>
      <c r="R151" s="8" t="n">
        <f aca="true">NORMINV(RAND(),Assumptions!$B$14,Assumptions!$B$15)</f>
        <v>0.0644031402862094</v>
      </c>
      <c r="S151" s="8" t="n">
        <f aca="true">NORMINV(RAND(),Assumptions!$B$14,Assumptions!$B$15)</f>
        <v>0.0481877547473232</v>
      </c>
      <c r="T151" s="8" t="n">
        <f aca="false">Assumptions!$B$19*H151+(1-Assumptions!$B$19)*N151</f>
        <v>0.180322549032943</v>
      </c>
      <c r="U151" s="8" t="n">
        <f aca="false">Assumptions!$B$20*I151+(1-Assumptions!$B$20)*O151</f>
        <v>-0.249667683543735</v>
      </c>
      <c r="V151" s="8" t="n">
        <f aca="false">Assumptions!$B$21*J151+(1-Assumptions!$B$21)*P151</f>
        <v>-0.117996299409027</v>
      </c>
      <c r="W151" s="8" t="n">
        <f aca="false">Assumptions!$B$22*K151+(1-Assumptions!$B$22)*Q151</f>
        <v>-0.0322090734825289</v>
      </c>
      <c r="X151" s="8" t="n">
        <f aca="false">Assumptions!$B$23*L151+(1-Assumptions!$B$23)*R151</f>
        <v>0.206003202897111</v>
      </c>
      <c r="Y151" s="8" t="n">
        <f aca="false">Assumptions!$B$24*M151+(1-Assumptions!$B$24)*S151</f>
        <v>0.119783018806635</v>
      </c>
      <c r="Z151" s="6" t="n">
        <f aca="false">Assumptions!$B$27*(1+T151)</f>
        <v>354096.764709883</v>
      </c>
      <c r="AA151" s="6" t="n">
        <f aca="false">(Z151+Assumptions!$B$28)*(1+U151)</f>
        <v>378240.093182875</v>
      </c>
      <c r="AB151" s="6" t="n">
        <f aca="false">AA151*(1+V151)</f>
        <v>333609.16189917</v>
      </c>
      <c r="AC151" s="6" t="n">
        <f aca="false">AB151*(1+W151)</f>
        <v>322863.919889115</v>
      </c>
      <c r="AD151" s="6" t="n">
        <f aca="false">AC151*(1+X151)</f>
        <v>389374.921486189</v>
      </c>
      <c r="AE151" s="6" t="n">
        <f aca="false">AD151*(1+Y151)</f>
        <v>436015.425029402</v>
      </c>
      <c r="AF151" s="6" t="n">
        <f aca="false">Z151</f>
        <v>354096.764709883</v>
      </c>
      <c r="AG151" s="6" t="n">
        <f aca="false">MAX(AF151,AA151)</f>
        <v>378240.093182875</v>
      </c>
      <c r="AH151" s="6" t="n">
        <f aca="false">MAX(AG151,AB151)</f>
        <v>378240.093182875</v>
      </c>
      <c r="AI151" s="6" t="n">
        <f aca="false">MAX(AH151,AC151)</f>
        <v>378240.093182875</v>
      </c>
      <c r="AJ151" s="6" t="n">
        <f aca="false">MAX(AI151,AD151)</f>
        <v>389374.921486189</v>
      </c>
      <c r="AK151" s="6" t="n">
        <f aca="false">MAX(AJ151,AE151)</f>
        <v>436015.425029402</v>
      </c>
      <c r="AL151" s="8" t="n">
        <f aca="false">MIN(Z151/AF151-1,AA151/AG151-1,AB151/AH151-1,AC151/AI151-1,AD151/AJ151-1,AE151/AK151-1)</f>
        <v>-0.146404821413224</v>
      </c>
      <c r="AM151" s="6" t="n">
        <f aca="false">AE151-Assumptions!$B$35</f>
        <v>-5248.57163310202</v>
      </c>
    </row>
    <row r="152" customFormat="false" ht="15" hidden="false" customHeight="false" outlineLevel="0" collapsed="false">
      <c r="A152" s="0" t="n">
        <f aca="false">ROW()-1</f>
        <v>151</v>
      </c>
      <c r="B152" s="0" t="str">
        <f aca="true">IF(RAND()&lt;Assumptions!$B$11,"Bull","Bear")</f>
        <v>Bull</v>
      </c>
      <c r="C152" s="0" t="str">
        <f aca="true">IF(B152="Bull",IF(RAND()&lt;Assumptions!$B$7,"Bull","Bear"),IF(RAND()&lt;Assumptions!$B$10,"Bear","Bull"))</f>
        <v>Bull</v>
      </c>
      <c r="D152" s="0" t="str">
        <f aca="true">IF(C152="Bull",IF(RAND()&lt;Assumptions!$B$7,"Bull","Bear"),IF(RAND()&lt;Assumptions!$B$10,"Bear","Bull"))</f>
        <v>Bull</v>
      </c>
      <c r="E152" s="0" t="str">
        <f aca="true">IF(D152="Bull",IF(RAND()&lt;Assumptions!$B$7,"Bull","Bear"),IF(RAND()&lt;Assumptions!$B$10,"Bear","Bull"))</f>
        <v>Bull</v>
      </c>
      <c r="F152" s="0" t="str">
        <f aca="true">IF(E152="Bull",IF(RAND()&lt;Assumptions!$B$7,"Bull","Bear"),IF(RAND()&lt;Assumptions!$B$10,"Bear","Bull"))</f>
        <v>Bull</v>
      </c>
      <c r="G152" s="0" t="str">
        <f aca="true">IF(F152="Bull",IF(RAND()&lt;Assumptions!$B$7,"Bull","Bear"),IF(RAND()&lt;Assumptions!$B$10,"Bear","Bull"))</f>
        <v>Bull</v>
      </c>
      <c r="H152" s="8" t="n">
        <f aca="true">IF(B152="Bull",NORMINV(RAND(),Assumptions!$B$5,Assumptions!$B$6),NORMINV(RAND(),Assumptions!$B$8,Assumptions!$B$9))</f>
        <v>0.227604111992232</v>
      </c>
      <c r="I152" s="8" t="n">
        <f aca="true">IF(C152="Bull",NORMINV(RAND(),Assumptions!$B$5,Assumptions!$B$6),NORMINV(RAND(),Assumptions!$B$8,Assumptions!$B$9))</f>
        <v>0.162829948574662</v>
      </c>
      <c r="J152" s="8" t="n">
        <f aca="true">IF(D152="Bull",NORMINV(RAND(),Assumptions!$B$5,Assumptions!$B$6),NORMINV(RAND(),Assumptions!$B$8,Assumptions!$B$9))</f>
        <v>0.318627765982864</v>
      </c>
      <c r="K152" s="8" t="n">
        <f aca="true">IF(E152="Bull",NORMINV(RAND(),Assumptions!$B$5,Assumptions!$B$6),NORMINV(RAND(),Assumptions!$B$8,Assumptions!$B$9))</f>
        <v>0.307468663797014</v>
      </c>
      <c r="L152" s="8" t="n">
        <f aca="true">IF(F152="Bull",NORMINV(RAND(),Assumptions!$B$5,Assumptions!$B$6),NORMINV(RAND(),Assumptions!$B$8,Assumptions!$B$9))</f>
        <v>0.0730853466205104</v>
      </c>
      <c r="M152" s="8" t="n">
        <f aca="true">IF(G152="Bull",NORMINV(RAND(),Assumptions!$B$5,Assumptions!$B$6),NORMINV(RAND(),Assumptions!$B$8,Assumptions!$B$9))</f>
        <v>0.0725379848020391</v>
      </c>
      <c r="N152" s="8" t="n">
        <f aca="true">NORMINV(RAND(),Assumptions!$B$14,Assumptions!$B$15)</f>
        <v>0.0543792743366446</v>
      </c>
      <c r="O152" s="8" t="n">
        <f aca="true">NORMINV(RAND(),Assumptions!$B$14,Assumptions!$B$15)</f>
        <v>0.0568767875740373</v>
      </c>
      <c r="P152" s="8" t="n">
        <f aca="true">NORMINV(RAND(),Assumptions!$B$14,Assumptions!$B$15)</f>
        <v>0.0813151087358352</v>
      </c>
      <c r="Q152" s="8" t="n">
        <f aca="true">NORMINV(RAND(),Assumptions!$B$14,Assumptions!$B$15)</f>
        <v>0.023584973324848</v>
      </c>
      <c r="R152" s="8" t="n">
        <f aca="true">NORMINV(RAND(),Assumptions!$B$14,Assumptions!$B$15)</f>
        <v>0.0756040019719044</v>
      </c>
      <c r="S152" s="8" t="n">
        <f aca="true">NORMINV(RAND(),Assumptions!$B$14,Assumptions!$B$15)</f>
        <v>0.0775251727962121</v>
      </c>
      <c r="T152" s="8" t="n">
        <f aca="false">Assumptions!$B$19*H152+(1-Assumptions!$B$19)*N152</f>
        <v>0.227604111992232</v>
      </c>
      <c r="U152" s="8" t="n">
        <f aca="false">Assumptions!$B$20*I152+(1-Assumptions!$B$20)*O152</f>
        <v>0.162829948574662</v>
      </c>
      <c r="V152" s="8" t="n">
        <f aca="false">Assumptions!$B$21*J152+(1-Assumptions!$B$21)*P152</f>
        <v>0.318627765982864</v>
      </c>
      <c r="W152" s="8" t="n">
        <f aca="false">Assumptions!$B$22*K152+(1-Assumptions!$B$22)*Q152</f>
        <v>0.307468663797014</v>
      </c>
      <c r="X152" s="8" t="n">
        <f aca="false">Assumptions!$B$23*L152+(1-Assumptions!$B$23)*R152</f>
        <v>0.0735890776907892</v>
      </c>
      <c r="Y152" s="8" t="n">
        <f aca="false">Assumptions!$B$24*M152+(1-Assumptions!$B$24)*S152</f>
        <v>0.0745328599997083</v>
      </c>
      <c r="Z152" s="6" t="n">
        <f aca="false">Assumptions!$B$27*(1+T152)</f>
        <v>368281.23359767</v>
      </c>
      <c r="AA152" s="6" t="n">
        <f aca="false">(Z152+Assumptions!$B$28)*(1+U152)</f>
        <v>602672.940211591</v>
      </c>
      <c r="AB152" s="6" t="n">
        <f aca="false">AA152*(1+V152)</f>
        <v>794701.272769534</v>
      </c>
      <c r="AC152" s="6" t="n">
        <f aca="false">AB152*(1+W152)</f>
        <v>1039047.01122577</v>
      </c>
      <c r="AD152" s="6" t="n">
        <f aca="false">AC152*(1+X152)</f>
        <v>1115509.52245924</v>
      </c>
      <c r="AE152" s="6" t="n">
        <f aca="false">AD152*(1+Y152)</f>
        <v>1198651.63752504</v>
      </c>
      <c r="AF152" s="6" t="n">
        <f aca="false">Z152</f>
        <v>368281.23359767</v>
      </c>
      <c r="AG152" s="6" t="n">
        <f aca="false">MAX(AF152,AA152)</f>
        <v>602672.940211591</v>
      </c>
      <c r="AH152" s="6" t="n">
        <f aca="false">MAX(AG152,AB152)</f>
        <v>794701.272769534</v>
      </c>
      <c r="AI152" s="6" t="n">
        <f aca="false">MAX(AH152,AC152)</f>
        <v>1039047.01122577</v>
      </c>
      <c r="AJ152" s="6" t="n">
        <f aca="false">MAX(AI152,AD152)</f>
        <v>1115509.52245924</v>
      </c>
      <c r="AK152" s="6" t="n">
        <f aca="false">MAX(AJ152,AE152)</f>
        <v>1198651.63752504</v>
      </c>
      <c r="AL152" s="8" t="n">
        <f aca="false">MIN(Z152/AF152-1,AA152/AG152-1,AB152/AH152-1,AC152/AI152-1,AD152/AJ152-1,AE152/AK152-1)</f>
        <v>0</v>
      </c>
      <c r="AM152" s="6" t="n">
        <f aca="false">AE152-Assumptions!$B$35</f>
        <v>757387.640862537</v>
      </c>
    </row>
    <row r="153" customFormat="false" ht="15" hidden="false" customHeight="false" outlineLevel="0" collapsed="false">
      <c r="A153" s="0" t="n">
        <f aca="false">ROW()-1</f>
        <v>152</v>
      </c>
      <c r="B153" s="0" t="str">
        <f aca="true">IF(RAND()&lt;Assumptions!$B$11,"Bull","Bear")</f>
        <v>Bear</v>
      </c>
      <c r="C153" s="0" t="str">
        <f aca="true">IF(B153="Bull",IF(RAND()&lt;Assumptions!$B$7,"Bull","Bear"),IF(RAND()&lt;Assumptions!$B$10,"Bear","Bull"))</f>
        <v>Bull</v>
      </c>
      <c r="D153" s="0" t="str">
        <f aca="true">IF(C153="Bull",IF(RAND()&lt;Assumptions!$B$7,"Bull","Bear"),IF(RAND()&lt;Assumptions!$B$10,"Bear","Bull"))</f>
        <v>Bull</v>
      </c>
      <c r="E153" s="0" t="str">
        <f aca="true">IF(D153="Bull",IF(RAND()&lt;Assumptions!$B$7,"Bull","Bear"),IF(RAND()&lt;Assumptions!$B$10,"Bear","Bull"))</f>
        <v>Bear</v>
      </c>
      <c r="F153" s="0" t="str">
        <f aca="true">IF(E153="Bull",IF(RAND()&lt;Assumptions!$B$7,"Bull","Bear"),IF(RAND()&lt;Assumptions!$B$10,"Bear","Bull"))</f>
        <v>Bull</v>
      </c>
      <c r="G153" s="0" t="str">
        <f aca="true">IF(F153="Bull",IF(RAND()&lt;Assumptions!$B$7,"Bull","Bear"),IF(RAND()&lt;Assumptions!$B$10,"Bear","Bull"))</f>
        <v>Bull</v>
      </c>
      <c r="H153" s="8" t="n">
        <f aca="true">IF(B153="Bull",NORMINV(RAND(),Assumptions!$B$5,Assumptions!$B$6),NORMINV(RAND(),Assumptions!$B$8,Assumptions!$B$9))</f>
        <v>-0.459048213252433</v>
      </c>
      <c r="I153" s="8" t="n">
        <f aca="true">IF(C153="Bull",NORMINV(RAND(),Assumptions!$B$5,Assumptions!$B$6),NORMINV(RAND(),Assumptions!$B$8,Assumptions!$B$9))</f>
        <v>0.248715784271828</v>
      </c>
      <c r="J153" s="8" t="n">
        <f aca="true">IF(D153="Bull",NORMINV(RAND(),Assumptions!$B$5,Assumptions!$B$6),NORMINV(RAND(),Assumptions!$B$8,Assumptions!$B$9))</f>
        <v>0.197120362596195</v>
      </c>
      <c r="K153" s="8" t="n">
        <f aca="true">IF(E153="Bull",NORMINV(RAND(),Assumptions!$B$5,Assumptions!$B$6),NORMINV(RAND(),Assumptions!$B$8,Assumptions!$B$9))</f>
        <v>-0.347536839358055</v>
      </c>
      <c r="L153" s="8" t="n">
        <f aca="true">IF(F153="Bull",NORMINV(RAND(),Assumptions!$B$5,Assumptions!$B$6),NORMINV(RAND(),Assumptions!$B$8,Assumptions!$B$9))</f>
        <v>0.322384664387226</v>
      </c>
      <c r="M153" s="8" t="n">
        <f aca="true">IF(G153="Bull",NORMINV(RAND(),Assumptions!$B$5,Assumptions!$B$6),NORMINV(RAND(),Assumptions!$B$8,Assumptions!$B$9))</f>
        <v>0.103980157949254</v>
      </c>
      <c r="N153" s="8" t="n">
        <f aca="true">NORMINV(RAND(),Assumptions!$B$14,Assumptions!$B$15)</f>
        <v>0.0997044572951929</v>
      </c>
      <c r="O153" s="8" t="n">
        <f aca="true">NORMINV(RAND(),Assumptions!$B$14,Assumptions!$B$15)</f>
        <v>0.039222195279642</v>
      </c>
      <c r="P153" s="8" t="n">
        <f aca="true">NORMINV(RAND(),Assumptions!$B$14,Assumptions!$B$15)</f>
        <v>0.0684993000371155</v>
      </c>
      <c r="Q153" s="8" t="n">
        <f aca="true">NORMINV(RAND(),Assumptions!$B$14,Assumptions!$B$15)</f>
        <v>0.0113120130251034</v>
      </c>
      <c r="R153" s="8" t="n">
        <f aca="true">NORMINV(RAND(),Assumptions!$B$14,Assumptions!$B$15)</f>
        <v>0.11822244682936</v>
      </c>
      <c r="S153" s="8" t="n">
        <f aca="true">NORMINV(RAND(),Assumptions!$B$14,Assumptions!$B$15)</f>
        <v>0.0692978544308191</v>
      </c>
      <c r="T153" s="8" t="n">
        <f aca="false">Assumptions!$B$19*H153+(1-Assumptions!$B$19)*N153</f>
        <v>-0.459048213252433</v>
      </c>
      <c r="U153" s="8" t="n">
        <f aca="false">Assumptions!$B$20*I153+(1-Assumptions!$B$20)*O153</f>
        <v>0.248715784271828</v>
      </c>
      <c r="V153" s="8" t="n">
        <f aca="false">Assumptions!$B$21*J153+(1-Assumptions!$B$21)*P153</f>
        <v>0.197120362596195</v>
      </c>
      <c r="W153" s="8" t="n">
        <f aca="false">Assumptions!$B$22*K153+(1-Assumptions!$B$22)*Q153</f>
        <v>-0.347536839358055</v>
      </c>
      <c r="X153" s="8" t="n">
        <f aca="false">Assumptions!$B$23*L153+(1-Assumptions!$B$23)*R153</f>
        <v>0.281552220875653</v>
      </c>
      <c r="Y153" s="8" t="n">
        <f aca="false">Assumptions!$B$24*M153+(1-Assumptions!$B$24)*S153</f>
        <v>0.0901072365418801</v>
      </c>
      <c r="Z153" s="6" t="n">
        <f aca="false">Assumptions!$B$27*(1+T153)</f>
        <v>162285.53602427</v>
      </c>
      <c r="AA153" s="6" t="n">
        <f aca="false">(Z153+Assumptions!$B$28)*(1+U153)</f>
        <v>389955.878033295</v>
      </c>
      <c r="AB153" s="6" t="n">
        <f aca="false">AA153*(1+V153)</f>
        <v>466824.122107735</v>
      </c>
      <c r="AC153" s="6" t="n">
        <f aca="false">AB153*(1+W153)</f>
        <v>304585.542174314</v>
      </c>
      <c r="AD153" s="6" t="n">
        <f aca="false">AC153*(1+X153)</f>
        <v>390342.278020107</v>
      </c>
      <c r="AE153" s="6" t="n">
        <f aca="false">AD153*(1+Y153)</f>
        <v>425514.941997961</v>
      </c>
      <c r="AF153" s="6" t="n">
        <f aca="false">Z153</f>
        <v>162285.53602427</v>
      </c>
      <c r="AG153" s="6" t="n">
        <f aca="false">MAX(AF153,AA153)</f>
        <v>389955.878033295</v>
      </c>
      <c r="AH153" s="6" t="n">
        <f aca="false">MAX(AG153,AB153)</f>
        <v>466824.122107735</v>
      </c>
      <c r="AI153" s="6" t="n">
        <f aca="false">MAX(AH153,AC153)</f>
        <v>466824.122107735</v>
      </c>
      <c r="AJ153" s="6" t="n">
        <f aca="false">MAX(AI153,AD153)</f>
        <v>466824.122107735</v>
      </c>
      <c r="AK153" s="6" t="n">
        <f aca="false">MAX(AJ153,AE153)</f>
        <v>466824.122107735</v>
      </c>
      <c r="AL153" s="8" t="n">
        <f aca="false">MIN(Z153/AF153-1,AA153/AG153-1,AB153/AH153-1,AC153/AI153-1,AD153/AJ153-1,AE153/AK153-1)</f>
        <v>-0.347536839358055</v>
      </c>
      <c r="AM153" s="6" t="n">
        <f aca="false">AE153-Assumptions!$B$35</f>
        <v>-15749.0546645423</v>
      </c>
    </row>
    <row r="154" customFormat="false" ht="15" hidden="false" customHeight="false" outlineLevel="0" collapsed="false">
      <c r="A154" s="0" t="n">
        <f aca="false">ROW()-1</f>
        <v>153</v>
      </c>
      <c r="B154" s="0" t="str">
        <f aca="true">IF(RAND()&lt;Assumptions!$B$11,"Bull","Bear")</f>
        <v>Bull</v>
      </c>
      <c r="C154" s="0" t="str">
        <f aca="true">IF(B154="Bull",IF(RAND()&lt;Assumptions!$B$7,"Bull","Bear"),IF(RAND()&lt;Assumptions!$B$10,"Bear","Bull"))</f>
        <v>Bear</v>
      </c>
      <c r="D154" s="0" t="str">
        <f aca="true">IF(C154="Bull",IF(RAND()&lt;Assumptions!$B$7,"Bull","Bear"),IF(RAND()&lt;Assumptions!$B$10,"Bear","Bull"))</f>
        <v>Bull</v>
      </c>
      <c r="E154" s="0" t="str">
        <f aca="true">IF(D154="Bull",IF(RAND()&lt;Assumptions!$B$7,"Bull","Bear"),IF(RAND()&lt;Assumptions!$B$10,"Bear","Bull"))</f>
        <v>Bull</v>
      </c>
      <c r="F154" s="0" t="str">
        <f aca="true">IF(E154="Bull",IF(RAND()&lt;Assumptions!$B$7,"Bull","Bear"),IF(RAND()&lt;Assumptions!$B$10,"Bear","Bull"))</f>
        <v>Bull</v>
      </c>
      <c r="G154" s="0" t="str">
        <f aca="true">IF(F154="Bull",IF(RAND()&lt;Assumptions!$B$7,"Bull","Bear"),IF(RAND()&lt;Assumptions!$B$10,"Bear","Bull"))</f>
        <v>Bull</v>
      </c>
      <c r="H154" s="8" t="n">
        <f aca="true">IF(B154="Bull",NORMINV(RAND(),Assumptions!$B$5,Assumptions!$B$6),NORMINV(RAND(),Assumptions!$B$8,Assumptions!$B$9))</f>
        <v>0.0971900210006531</v>
      </c>
      <c r="I154" s="8" t="n">
        <f aca="true">IF(C154="Bull",NORMINV(RAND(),Assumptions!$B$5,Assumptions!$B$6),NORMINV(RAND(),Assumptions!$B$8,Assumptions!$B$9))</f>
        <v>-0.038443492153709</v>
      </c>
      <c r="J154" s="8" t="n">
        <f aca="true">IF(D154="Bull",NORMINV(RAND(),Assumptions!$B$5,Assumptions!$B$6),NORMINV(RAND(),Assumptions!$B$8,Assumptions!$B$9))</f>
        <v>0.0282875583029558</v>
      </c>
      <c r="K154" s="8" t="n">
        <f aca="true">IF(E154="Bull",NORMINV(RAND(),Assumptions!$B$5,Assumptions!$B$6),NORMINV(RAND(),Assumptions!$B$8,Assumptions!$B$9))</f>
        <v>0.263198656018535</v>
      </c>
      <c r="L154" s="8" t="n">
        <f aca="true">IF(F154="Bull",NORMINV(RAND(),Assumptions!$B$5,Assumptions!$B$6),NORMINV(RAND(),Assumptions!$B$8,Assumptions!$B$9))</f>
        <v>0.232511982030904</v>
      </c>
      <c r="M154" s="8" t="n">
        <f aca="true">IF(G154="Bull",NORMINV(RAND(),Assumptions!$B$5,Assumptions!$B$6),NORMINV(RAND(),Assumptions!$B$8,Assumptions!$B$9))</f>
        <v>0.073627689054774</v>
      </c>
      <c r="N154" s="8" t="n">
        <f aca="true">NORMINV(RAND(),Assumptions!$B$14,Assumptions!$B$15)</f>
        <v>0.0128661869258416</v>
      </c>
      <c r="O154" s="8" t="n">
        <f aca="true">NORMINV(RAND(),Assumptions!$B$14,Assumptions!$B$15)</f>
        <v>0.014037034451059</v>
      </c>
      <c r="P154" s="8" t="n">
        <f aca="true">NORMINV(RAND(),Assumptions!$B$14,Assumptions!$B$15)</f>
        <v>0.0855278094355135</v>
      </c>
      <c r="Q154" s="8" t="n">
        <f aca="true">NORMINV(RAND(),Assumptions!$B$14,Assumptions!$B$15)</f>
        <v>0.0666527562425858</v>
      </c>
      <c r="R154" s="8" t="n">
        <f aca="true">NORMINV(RAND(),Assumptions!$B$14,Assumptions!$B$15)</f>
        <v>0.0442434464130288</v>
      </c>
      <c r="S154" s="8" t="n">
        <f aca="true">NORMINV(RAND(),Assumptions!$B$14,Assumptions!$B$15)</f>
        <v>0.0266136235880076</v>
      </c>
      <c r="T154" s="8" t="n">
        <f aca="false">Assumptions!$B$19*H154+(1-Assumptions!$B$19)*N154</f>
        <v>0.0971900210006531</v>
      </c>
      <c r="U154" s="8" t="n">
        <f aca="false">Assumptions!$B$20*I154+(1-Assumptions!$B$20)*O154</f>
        <v>-0.038443492153709</v>
      </c>
      <c r="V154" s="8" t="n">
        <f aca="false">Assumptions!$B$21*J154+(1-Assumptions!$B$21)*P154</f>
        <v>0.0282875583029558</v>
      </c>
      <c r="W154" s="8" t="n">
        <f aca="false">Assumptions!$B$22*K154+(1-Assumptions!$B$22)*Q154</f>
        <v>0.263198656018535</v>
      </c>
      <c r="X154" s="8" t="n">
        <f aca="false">Assumptions!$B$23*L154+(1-Assumptions!$B$23)*R154</f>
        <v>0.194858274907329</v>
      </c>
      <c r="Y154" s="8" t="n">
        <f aca="false">Assumptions!$B$24*M154+(1-Assumptions!$B$24)*S154</f>
        <v>0.0548220628680674</v>
      </c>
      <c r="Z154" s="6" t="n">
        <f aca="false">Assumptions!$B$27*(1+T154)</f>
        <v>329157.006300196</v>
      </c>
      <c r="AA154" s="6" t="n">
        <f aca="false">(Z154+Assumptions!$B$28)*(1+U154)</f>
        <v>460736.5376881</v>
      </c>
      <c r="AB154" s="6" t="n">
        <f aca="false">AA154*(1+V154)</f>
        <v>473769.649360254</v>
      </c>
      <c r="AC154" s="6" t="n">
        <f aca="false">AB154*(1+W154)</f>
        <v>598465.184334245</v>
      </c>
      <c r="AD154" s="6" t="n">
        <f aca="false">AC154*(1+X154)</f>
        <v>715081.077745713</v>
      </c>
      <c r="AE154" s="6" t="n">
        <f aca="false">AD154*(1+Y154)</f>
        <v>754283.297545653</v>
      </c>
      <c r="AF154" s="6" t="n">
        <f aca="false">Z154</f>
        <v>329157.006300196</v>
      </c>
      <c r="AG154" s="6" t="n">
        <f aca="false">MAX(AF154,AA154)</f>
        <v>460736.5376881</v>
      </c>
      <c r="AH154" s="6" t="n">
        <f aca="false">MAX(AG154,AB154)</f>
        <v>473769.649360254</v>
      </c>
      <c r="AI154" s="6" t="n">
        <f aca="false">MAX(AH154,AC154)</f>
        <v>598465.184334245</v>
      </c>
      <c r="AJ154" s="6" t="n">
        <f aca="false">MAX(AI154,AD154)</f>
        <v>715081.077745713</v>
      </c>
      <c r="AK154" s="6" t="n">
        <f aca="false">MAX(AJ154,AE154)</f>
        <v>754283.297545653</v>
      </c>
      <c r="AL154" s="8" t="n">
        <f aca="false">MIN(Z154/AF154-1,AA154/AG154-1,AB154/AH154-1,AC154/AI154-1,AD154/AJ154-1,AE154/AK154-1)</f>
        <v>0</v>
      </c>
      <c r="AM154" s="6" t="n">
        <f aca="false">AE154-Assumptions!$B$35</f>
        <v>313019.30088315</v>
      </c>
    </row>
    <row r="155" customFormat="false" ht="15" hidden="false" customHeight="false" outlineLevel="0" collapsed="false">
      <c r="A155" s="0" t="n">
        <f aca="false">ROW()-1</f>
        <v>154</v>
      </c>
      <c r="B155" s="0" t="str">
        <f aca="true">IF(RAND()&lt;Assumptions!$B$11,"Bull","Bear")</f>
        <v>Bull</v>
      </c>
      <c r="C155" s="0" t="str">
        <f aca="true">IF(B155="Bull",IF(RAND()&lt;Assumptions!$B$7,"Bull","Bear"),IF(RAND()&lt;Assumptions!$B$10,"Bear","Bull"))</f>
        <v>Bull</v>
      </c>
      <c r="D155" s="0" t="str">
        <f aca="true">IF(C155="Bull",IF(RAND()&lt;Assumptions!$B$7,"Bull","Bear"),IF(RAND()&lt;Assumptions!$B$10,"Bear","Bull"))</f>
        <v>Bull</v>
      </c>
      <c r="E155" s="0" t="str">
        <f aca="true">IF(D155="Bull",IF(RAND()&lt;Assumptions!$B$7,"Bull","Bear"),IF(RAND()&lt;Assumptions!$B$10,"Bear","Bull"))</f>
        <v>Bull</v>
      </c>
      <c r="F155" s="0" t="str">
        <f aca="true">IF(E155="Bull",IF(RAND()&lt;Assumptions!$B$7,"Bull","Bear"),IF(RAND()&lt;Assumptions!$B$10,"Bear","Bull"))</f>
        <v>Bull</v>
      </c>
      <c r="G155" s="0" t="str">
        <f aca="true">IF(F155="Bull",IF(RAND()&lt;Assumptions!$B$7,"Bull","Bear"),IF(RAND()&lt;Assumptions!$B$10,"Bear","Bull"))</f>
        <v>Bear</v>
      </c>
      <c r="H155" s="8" t="n">
        <f aca="true">IF(B155="Bull",NORMINV(RAND(),Assumptions!$B$5,Assumptions!$B$6),NORMINV(RAND(),Assumptions!$B$8,Assumptions!$B$9))</f>
        <v>0.105703469459755</v>
      </c>
      <c r="I155" s="8" t="n">
        <f aca="true">IF(C155="Bull",NORMINV(RAND(),Assumptions!$B$5,Assumptions!$B$6),NORMINV(RAND(),Assumptions!$B$8,Assumptions!$B$9))</f>
        <v>0.16611058602298</v>
      </c>
      <c r="J155" s="8" t="n">
        <f aca="true">IF(D155="Bull",NORMINV(RAND(),Assumptions!$B$5,Assumptions!$B$6),NORMINV(RAND(),Assumptions!$B$8,Assumptions!$B$9))</f>
        <v>0.10421114462575</v>
      </c>
      <c r="K155" s="8" t="n">
        <f aca="true">IF(E155="Bull",NORMINV(RAND(),Assumptions!$B$5,Assumptions!$B$6),NORMINV(RAND(),Assumptions!$B$8,Assumptions!$B$9))</f>
        <v>0.240676934429003</v>
      </c>
      <c r="L155" s="8" t="n">
        <f aca="true">IF(F155="Bull",NORMINV(RAND(),Assumptions!$B$5,Assumptions!$B$6),NORMINV(RAND(),Assumptions!$B$8,Assumptions!$B$9))</f>
        <v>0.0495508546062578</v>
      </c>
      <c r="M155" s="8" t="n">
        <f aca="true">IF(G155="Bull",NORMINV(RAND(),Assumptions!$B$5,Assumptions!$B$6),NORMINV(RAND(),Assumptions!$B$8,Assumptions!$B$9))</f>
        <v>-0.311305982316097</v>
      </c>
      <c r="N155" s="8" t="n">
        <f aca="true">NORMINV(RAND(),Assumptions!$B$14,Assumptions!$B$15)</f>
        <v>-0.0085149012249585</v>
      </c>
      <c r="O155" s="8" t="n">
        <f aca="true">NORMINV(RAND(),Assumptions!$B$14,Assumptions!$B$15)</f>
        <v>0.0582389479000724</v>
      </c>
      <c r="P155" s="8" t="n">
        <f aca="true">NORMINV(RAND(),Assumptions!$B$14,Assumptions!$B$15)</f>
        <v>0.0675807538008842</v>
      </c>
      <c r="Q155" s="8" t="n">
        <f aca="true">NORMINV(RAND(),Assumptions!$B$14,Assumptions!$B$15)</f>
        <v>0.0144867526832774</v>
      </c>
      <c r="R155" s="8" t="n">
        <f aca="true">NORMINV(RAND(),Assumptions!$B$14,Assumptions!$B$15)</f>
        <v>0.0999386160269982</v>
      </c>
      <c r="S155" s="8" t="n">
        <f aca="true">NORMINV(RAND(),Assumptions!$B$14,Assumptions!$B$15)</f>
        <v>-0.0105522103329398</v>
      </c>
      <c r="T155" s="8" t="n">
        <f aca="false">Assumptions!$B$19*H155+(1-Assumptions!$B$19)*N155</f>
        <v>0.105703469459755</v>
      </c>
      <c r="U155" s="8" t="n">
        <f aca="false">Assumptions!$B$20*I155+(1-Assumptions!$B$20)*O155</f>
        <v>0.16611058602298</v>
      </c>
      <c r="V155" s="8" t="n">
        <f aca="false">Assumptions!$B$21*J155+(1-Assumptions!$B$21)*P155</f>
        <v>0.10421114462575</v>
      </c>
      <c r="W155" s="8" t="n">
        <f aca="false">Assumptions!$B$22*K155+(1-Assumptions!$B$22)*Q155</f>
        <v>0.240676934429003</v>
      </c>
      <c r="X155" s="8" t="n">
        <f aca="false">Assumptions!$B$23*L155+(1-Assumptions!$B$23)*R155</f>
        <v>0.0596284068904059</v>
      </c>
      <c r="Y155" s="8" t="n">
        <f aca="false">Assumptions!$B$24*M155+(1-Assumptions!$B$24)*S155</f>
        <v>-0.191004473522834</v>
      </c>
      <c r="Z155" s="6" t="n">
        <f aca="false">Assumptions!$B$27*(1+T155)</f>
        <v>331711.040837927</v>
      </c>
      <c r="AA155" s="6" t="n">
        <f aca="false">(Z155+Assumptions!$B$28)*(1+U155)</f>
        <v>561728.344125254</v>
      </c>
      <c r="AB155" s="6" t="n">
        <f aca="false">AA155*(1+V155)</f>
        <v>620266.697835274</v>
      </c>
      <c r="AC155" s="6" t="n">
        <f aca="false">AB155*(1+W155)</f>
        <v>769550.585198669</v>
      </c>
      <c r="AD155" s="6" t="n">
        <f aca="false">AC155*(1+X155)</f>
        <v>815437.660615645</v>
      </c>
      <c r="AE155" s="6" t="n">
        <f aca="false">AD155*(1+Y155)</f>
        <v>659685.419559062</v>
      </c>
      <c r="AF155" s="6" t="n">
        <f aca="false">Z155</f>
        <v>331711.040837927</v>
      </c>
      <c r="AG155" s="6" t="n">
        <f aca="false">MAX(AF155,AA155)</f>
        <v>561728.344125254</v>
      </c>
      <c r="AH155" s="6" t="n">
        <f aca="false">MAX(AG155,AB155)</f>
        <v>620266.697835274</v>
      </c>
      <c r="AI155" s="6" t="n">
        <f aca="false">MAX(AH155,AC155)</f>
        <v>769550.585198669</v>
      </c>
      <c r="AJ155" s="6" t="n">
        <f aca="false">MAX(AI155,AD155)</f>
        <v>815437.660615645</v>
      </c>
      <c r="AK155" s="6" t="n">
        <f aca="false">MAX(AJ155,AE155)</f>
        <v>815437.660615645</v>
      </c>
      <c r="AL155" s="8" t="n">
        <f aca="false">MIN(Z155/AF155-1,AA155/AG155-1,AB155/AH155-1,AC155/AI155-1,AD155/AJ155-1,AE155/AK155-1)</f>
        <v>-0.191004473522834</v>
      </c>
      <c r="AM155" s="6" t="n">
        <f aca="false">AE155-Assumptions!$B$35</f>
        <v>218421.422896559</v>
      </c>
    </row>
    <row r="156" customFormat="false" ht="15" hidden="false" customHeight="false" outlineLevel="0" collapsed="false">
      <c r="A156" s="0" t="n">
        <f aca="false">ROW()-1</f>
        <v>155</v>
      </c>
      <c r="B156" s="0" t="str">
        <f aca="true">IF(RAND()&lt;Assumptions!$B$11,"Bull","Bear")</f>
        <v>Bear</v>
      </c>
      <c r="C156" s="0" t="str">
        <f aca="true">IF(B156="Bull",IF(RAND()&lt;Assumptions!$B$7,"Bull","Bear"),IF(RAND()&lt;Assumptions!$B$10,"Bear","Bull"))</f>
        <v>Bull</v>
      </c>
      <c r="D156" s="0" t="str">
        <f aca="true">IF(C156="Bull",IF(RAND()&lt;Assumptions!$B$7,"Bull","Bear"),IF(RAND()&lt;Assumptions!$B$10,"Bear","Bull"))</f>
        <v>Bull</v>
      </c>
      <c r="E156" s="0" t="str">
        <f aca="true">IF(D156="Bull",IF(RAND()&lt;Assumptions!$B$7,"Bull","Bear"),IF(RAND()&lt;Assumptions!$B$10,"Bear","Bull"))</f>
        <v>Bull</v>
      </c>
      <c r="F156" s="0" t="str">
        <f aca="true">IF(E156="Bull",IF(RAND()&lt;Assumptions!$B$7,"Bull","Bear"),IF(RAND()&lt;Assumptions!$B$10,"Bear","Bull"))</f>
        <v>Bear</v>
      </c>
      <c r="G156" s="0" t="str">
        <f aca="true">IF(F156="Bull",IF(RAND()&lt;Assumptions!$B$7,"Bull","Bear"),IF(RAND()&lt;Assumptions!$B$10,"Bear","Bull"))</f>
        <v>Bull</v>
      </c>
      <c r="H156" s="8" t="n">
        <f aca="true">IF(B156="Bull",NORMINV(RAND(),Assumptions!$B$5,Assumptions!$B$6),NORMINV(RAND(),Assumptions!$B$8,Assumptions!$B$9))</f>
        <v>-0.34137187888464</v>
      </c>
      <c r="I156" s="8" t="n">
        <f aca="true">IF(C156="Bull",NORMINV(RAND(),Assumptions!$B$5,Assumptions!$B$6),NORMINV(RAND(),Assumptions!$B$8,Assumptions!$B$9))</f>
        <v>0.337405798945929</v>
      </c>
      <c r="J156" s="8" t="n">
        <f aca="true">IF(D156="Bull",NORMINV(RAND(),Assumptions!$B$5,Assumptions!$B$6),NORMINV(RAND(),Assumptions!$B$8,Assumptions!$B$9))</f>
        <v>0.0695279576601785</v>
      </c>
      <c r="K156" s="8" t="n">
        <f aca="true">IF(E156="Bull",NORMINV(RAND(),Assumptions!$B$5,Assumptions!$B$6),NORMINV(RAND(),Assumptions!$B$8,Assumptions!$B$9))</f>
        <v>0.290166160753764</v>
      </c>
      <c r="L156" s="8" t="n">
        <f aca="true">IF(F156="Bull",NORMINV(RAND(),Assumptions!$B$5,Assumptions!$B$6),NORMINV(RAND(),Assumptions!$B$8,Assumptions!$B$9))</f>
        <v>-0.179019009431766</v>
      </c>
      <c r="M156" s="8" t="n">
        <f aca="true">IF(G156="Bull",NORMINV(RAND(),Assumptions!$B$5,Assumptions!$B$6),NORMINV(RAND(),Assumptions!$B$8,Assumptions!$B$9))</f>
        <v>0.0968760591163771</v>
      </c>
      <c r="N156" s="8" t="n">
        <f aca="true">NORMINV(RAND(),Assumptions!$B$14,Assumptions!$B$15)</f>
        <v>0.0257573310058847</v>
      </c>
      <c r="O156" s="8" t="n">
        <f aca="true">NORMINV(RAND(),Assumptions!$B$14,Assumptions!$B$15)</f>
        <v>0.0877496400394874</v>
      </c>
      <c r="P156" s="8" t="n">
        <f aca="true">NORMINV(RAND(),Assumptions!$B$14,Assumptions!$B$15)</f>
        <v>0.0240775768275436</v>
      </c>
      <c r="Q156" s="8" t="n">
        <f aca="true">NORMINV(RAND(),Assumptions!$B$14,Assumptions!$B$15)</f>
        <v>0.0314812455334999</v>
      </c>
      <c r="R156" s="8" t="n">
        <f aca="true">NORMINV(RAND(),Assumptions!$B$14,Assumptions!$B$15)</f>
        <v>0.0317817812659535</v>
      </c>
      <c r="S156" s="8" t="n">
        <f aca="true">NORMINV(RAND(),Assumptions!$B$14,Assumptions!$B$15)</f>
        <v>0.0449697745733313</v>
      </c>
      <c r="T156" s="8" t="n">
        <f aca="false">Assumptions!$B$19*H156+(1-Assumptions!$B$19)*N156</f>
        <v>-0.34137187888464</v>
      </c>
      <c r="U156" s="8" t="n">
        <f aca="false">Assumptions!$B$20*I156+(1-Assumptions!$B$20)*O156</f>
        <v>0.337405798945929</v>
      </c>
      <c r="V156" s="8" t="n">
        <f aca="false">Assumptions!$B$21*J156+(1-Assumptions!$B$21)*P156</f>
        <v>0.0695279576601785</v>
      </c>
      <c r="W156" s="8" t="n">
        <f aca="false">Assumptions!$B$22*K156+(1-Assumptions!$B$22)*Q156</f>
        <v>0.290166160753764</v>
      </c>
      <c r="X156" s="8" t="n">
        <f aca="false">Assumptions!$B$23*L156+(1-Assumptions!$B$23)*R156</f>
        <v>-0.136858851292222</v>
      </c>
      <c r="Y156" s="8" t="n">
        <f aca="false">Assumptions!$B$24*M156+(1-Assumptions!$B$24)*S156</f>
        <v>0.0761135452991588</v>
      </c>
      <c r="Z156" s="6" t="n">
        <f aca="false">Assumptions!$B$27*(1+T156)</f>
        <v>197588.436334608</v>
      </c>
      <c r="AA156" s="6" t="n">
        <f aca="false">(Z156+Assumptions!$B$28)*(1+U156)</f>
        <v>464866.790400453</v>
      </c>
      <c r="AB156" s="6" t="n">
        <f aca="false">AA156*(1+V156)</f>
        <v>497188.028921038</v>
      </c>
      <c r="AC156" s="6" t="n">
        <f aca="false">AB156*(1+W156)</f>
        <v>641455.170445787</v>
      </c>
      <c r="AD156" s="6" t="n">
        <f aca="false">AC156*(1+X156)</f>
        <v>553666.35266312</v>
      </c>
      <c r="AE156" s="6" t="n">
        <f aca="false">AD156*(1+Y156)</f>
        <v>595807.861677165</v>
      </c>
      <c r="AF156" s="6" t="n">
        <f aca="false">Z156</f>
        <v>197588.436334608</v>
      </c>
      <c r="AG156" s="6" t="n">
        <f aca="false">MAX(AF156,AA156)</f>
        <v>464866.790400453</v>
      </c>
      <c r="AH156" s="6" t="n">
        <f aca="false">MAX(AG156,AB156)</f>
        <v>497188.028921038</v>
      </c>
      <c r="AI156" s="6" t="n">
        <f aca="false">MAX(AH156,AC156)</f>
        <v>641455.170445787</v>
      </c>
      <c r="AJ156" s="6" t="n">
        <f aca="false">MAX(AI156,AD156)</f>
        <v>641455.170445787</v>
      </c>
      <c r="AK156" s="6" t="n">
        <f aca="false">MAX(AJ156,AE156)</f>
        <v>641455.170445787</v>
      </c>
      <c r="AL156" s="8" t="n">
        <f aca="false">MIN(Z156/AF156-1,AA156/AG156-1,AB156/AH156-1,AC156/AI156-1,AD156/AJ156-1,AE156/AK156-1)</f>
        <v>-0.136858851292222</v>
      </c>
      <c r="AM156" s="6" t="n">
        <f aca="false">AE156-Assumptions!$B$35</f>
        <v>154543.865014661</v>
      </c>
    </row>
    <row r="157" customFormat="false" ht="15" hidden="false" customHeight="false" outlineLevel="0" collapsed="false">
      <c r="A157" s="0" t="n">
        <f aca="false">ROW()-1</f>
        <v>156</v>
      </c>
      <c r="B157" s="0" t="str">
        <f aca="true">IF(RAND()&lt;Assumptions!$B$11,"Bull","Bear")</f>
        <v>Bear</v>
      </c>
      <c r="C157" s="0" t="str">
        <f aca="true">IF(B157="Bull",IF(RAND()&lt;Assumptions!$B$7,"Bull","Bear"),IF(RAND()&lt;Assumptions!$B$10,"Bear","Bull"))</f>
        <v>Bull</v>
      </c>
      <c r="D157" s="0" t="str">
        <f aca="true">IF(C157="Bull",IF(RAND()&lt;Assumptions!$B$7,"Bull","Bear"),IF(RAND()&lt;Assumptions!$B$10,"Bear","Bull"))</f>
        <v>Bear</v>
      </c>
      <c r="E157" s="0" t="str">
        <f aca="true">IF(D157="Bull",IF(RAND()&lt;Assumptions!$B$7,"Bull","Bear"),IF(RAND()&lt;Assumptions!$B$10,"Bear","Bull"))</f>
        <v>Bull</v>
      </c>
      <c r="F157" s="0" t="str">
        <f aca="true">IF(E157="Bull",IF(RAND()&lt;Assumptions!$B$7,"Bull","Bear"),IF(RAND()&lt;Assumptions!$B$10,"Bear","Bull"))</f>
        <v>Bear</v>
      </c>
      <c r="G157" s="0" t="str">
        <f aca="true">IF(F157="Bull",IF(RAND()&lt;Assumptions!$B$7,"Bull","Bear"),IF(RAND()&lt;Assumptions!$B$10,"Bear","Bull"))</f>
        <v>Bear</v>
      </c>
      <c r="H157" s="8" t="n">
        <f aca="true">IF(B157="Bull",NORMINV(RAND(),Assumptions!$B$5,Assumptions!$B$6),NORMINV(RAND(),Assumptions!$B$8,Assumptions!$B$9))</f>
        <v>0.014686917139593</v>
      </c>
      <c r="I157" s="8" t="n">
        <f aca="true">IF(C157="Bull",NORMINV(RAND(),Assumptions!$B$5,Assumptions!$B$6),NORMINV(RAND(),Assumptions!$B$8,Assumptions!$B$9))</f>
        <v>0.0611817905331075</v>
      </c>
      <c r="J157" s="8" t="n">
        <f aca="true">IF(D157="Bull",NORMINV(RAND(),Assumptions!$B$5,Assumptions!$B$6),NORMINV(RAND(),Assumptions!$B$8,Assumptions!$B$9))</f>
        <v>0.226149312924836</v>
      </c>
      <c r="K157" s="8" t="n">
        <f aca="true">IF(E157="Bull",NORMINV(RAND(),Assumptions!$B$5,Assumptions!$B$6),NORMINV(RAND(),Assumptions!$B$8,Assumptions!$B$9))</f>
        <v>0.126744040439679</v>
      </c>
      <c r="L157" s="8" t="n">
        <f aca="true">IF(F157="Bull",NORMINV(RAND(),Assumptions!$B$5,Assumptions!$B$6),NORMINV(RAND(),Assumptions!$B$8,Assumptions!$B$9))</f>
        <v>0.0223420042674364</v>
      </c>
      <c r="M157" s="8" t="n">
        <f aca="true">IF(G157="Bull",NORMINV(RAND(),Assumptions!$B$5,Assumptions!$B$6),NORMINV(RAND(),Assumptions!$B$8,Assumptions!$B$9))</f>
        <v>-0.282167021780165</v>
      </c>
      <c r="N157" s="8" t="n">
        <f aca="true">NORMINV(RAND(),Assumptions!$B$14,Assumptions!$B$15)</f>
        <v>0.0887232545028251</v>
      </c>
      <c r="O157" s="8" t="n">
        <f aca="true">NORMINV(RAND(),Assumptions!$B$14,Assumptions!$B$15)</f>
        <v>0.102934146465176</v>
      </c>
      <c r="P157" s="8" t="n">
        <f aca="true">NORMINV(RAND(),Assumptions!$B$14,Assumptions!$B$15)</f>
        <v>0.0247916638050029</v>
      </c>
      <c r="Q157" s="8" t="n">
        <f aca="true">NORMINV(RAND(),Assumptions!$B$14,Assumptions!$B$15)</f>
        <v>0.0317920068984541</v>
      </c>
      <c r="R157" s="8" t="n">
        <f aca="true">NORMINV(RAND(),Assumptions!$B$14,Assumptions!$B$15)</f>
        <v>0.00990999652457104</v>
      </c>
      <c r="S157" s="8" t="n">
        <f aca="true">NORMINV(RAND(),Assumptions!$B$14,Assumptions!$B$15)</f>
        <v>0.0672957807349132</v>
      </c>
      <c r="T157" s="8" t="n">
        <f aca="false">Assumptions!$B$19*H157+(1-Assumptions!$B$19)*N157</f>
        <v>0.014686917139593</v>
      </c>
      <c r="U157" s="8" t="n">
        <f aca="false">Assumptions!$B$20*I157+(1-Assumptions!$B$20)*O157</f>
        <v>0.0611817905331075</v>
      </c>
      <c r="V157" s="8" t="n">
        <f aca="false">Assumptions!$B$21*J157+(1-Assumptions!$B$21)*P157</f>
        <v>0.226149312924836</v>
      </c>
      <c r="W157" s="8" t="n">
        <f aca="false">Assumptions!$B$22*K157+(1-Assumptions!$B$22)*Q157</f>
        <v>0.126744040439679</v>
      </c>
      <c r="X157" s="8" t="n">
        <f aca="false">Assumptions!$B$23*L157+(1-Assumptions!$B$23)*R157</f>
        <v>0.0198556027188633</v>
      </c>
      <c r="Y157" s="8" t="n">
        <f aca="false">Assumptions!$B$24*M157+(1-Assumptions!$B$24)*S157</f>
        <v>-0.142381900774134</v>
      </c>
      <c r="Z157" s="6" t="n">
        <f aca="false">Assumptions!$B$27*(1+T157)</f>
        <v>304406.075141878</v>
      </c>
      <c r="AA157" s="6" t="n">
        <f aca="false">(Z157+Assumptions!$B$28)*(1+U157)</f>
        <v>482207.45244818</v>
      </c>
      <c r="AB157" s="6" t="n">
        <f aca="false">AA157*(1+V157)</f>
        <v>591258.336506571</v>
      </c>
      <c r="AC157" s="6" t="n">
        <f aca="false">AB157*(1+W157)</f>
        <v>666196.807019057</v>
      </c>
      <c r="AD157" s="6" t="n">
        <f aca="false">AC157*(1+X157)</f>
        <v>679424.546151803</v>
      </c>
      <c r="AE157" s="6" t="n">
        <f aca="false">AD157*(1+Y157)</f>
        <v>582686.787838106</v>
      </c>
      <c r="AF157" s="6" t="n">
        <f aca="false">Z157</f>
        <v>304406.075141878</v>
      </c>
      <c r="AG157" s="6" t="n">
        <f aca="false">MAX(AF157,AA157)</f>
        <v>482207.45244818</v>
      </c>
      <c r="AH157" s="6" t="n">
        <f aca="false">MAX(AG157,AB157)</f>
        <v>591258.336506571</v>
      </c>
      <c r="AI157" s="6" t="n">
        <f aca="false">MAX(AH157,AC157)</f>
        <v>666196.807019057</v>
      </c>
      <c r="AJ157" s="6" t="n">
        <f aca="false">MAX(AI157,AD157)</f>
        <v>679424.546151803</v>
      </c>
      <c r="AK157" s="6" t="n">
        <f aca="false">MAX(AJ157,AE157)</f>
        <v>679424.546151803</v>
      </c>
      <c r="AL157" s="8" t="n">
        <f aca="false">MIN(Z157/AF157-1,AA157/AG157-1,AB157/AH157-1,AC157/AI157-1,AD157/AJ157-1,AE157/AK157-1)</f>
        <v>-0.142381900774134</v>
      </c>
      <c r="AM157" s="6" t="n">
        <f aca="false">AE157-Assumptions!$B$35</f>
        <v>141422.791175602</v>
      </c>
    </row>
    <row r="158" customFormat="false" ht="15" hidden="false" customHeight="false" outlineLevel="0" collapsed="false">
      <c r="A158" s="0" t="n">
        <f aca="false">ROW()-1</f>
        <v>157</v>
      </c>
      <c r="B158" s="0" t="str">
        <f aca="true">IF(RAND()&lt;Assumptions!$B$11,"Bull","Bear")</f>
        <v>Bear</v>
      </c>
      <c r="C158" s="0" t="str">
        <f aca="true">IF(B158="Bull",IF(RAND()&lt;Assumptions!$B$7,"Bull","Bear"),IF(RAND()&lt;Assumptions!$B$10,"Bear","Bull"))</f>
        <v>Bear</v>
      </c>
      <c r="D158" s="0" t="str">
        <f aca="true">IF(C158="Bull",IF(RAND()&lt;Assumptions!$B$7,"Bull","Bear"),IF(RAND()&lt;Assumptions!$B$10,"Bear","Bull"))</f>
        <v>Bear</v>
      </c>
      <c r="E158" s="0" t="str">
        <f aca="true">IF(D158="Bull",IF(RAND()&lt;Assumptions!$B$7,"Bull","Bear"),IF(RAND()&lt;Assumptions!$B$10,"Bear","Bull"))</f>
        <v>Bull</v>
      </c>
      <c r="F158" s="0" t="str">
        <f aca="true">IF(E158="Bull",IF(RAND()&lt;Assumptions!$B$7,"Bull","Bear"),IF(RAND()&lt;Assumptions!$B$10,"Bear","Bull"))</f>
        <v>Bull</v>
      </c>
      <c r="G158" s="0" t="str">
        <f aca="true">IF(F158="Bull",IF(RAND()&lt;Assumptions!$B$7,"Bull","Bear"),IF(RAND()&lt;Assumptions!$B$10,"Bear","Bull"))</f>
        <v>Bear</v>
      </c>
      <c r="H158" s="8" t="n">
        <f aca="true">IF(B158="Bull",NORMINV(RAND(),Assumptions!$B$5,Assumptions!$B$6),NORMINV(RAND(),Assumptions!$B$8,Assumptions!$B$9))</f>
        <v>0.0773725938974809</v>
      </c>
      <c r="I158" s="8" t="n">
        <f aca="true">IF(C158="Bull",NORMINV(RAND(),Assumptions!$B$5,Assumptions!$B$6),NORMINV(RAND(),Assumptions!$B$8,Assumptions!$B$9))</f>
        <v>-0.0166973709618142</v>
      </c>
      <c r="J158" s="8" t="n">
        <f aca="true">IF(D158="Bull",NORMINV(RAND(),Assumptions!$B$5,Assumptions!$B$6),NORMINV(RAND(),Assumptions!$B$8,Assumptions!$B$9))</f>
        <v>0.0730400545623154</v>
      </c>
      <c r="K158" s="8" t="n">
        <f aca="true">IF(E158="Bull",NORMINV(RAND(),Assumptions!$B$5,Assumptions!$B$6),NORMINV(RAND(),Assumptions!$B$8,Assumptions!$B$9))</f>
        <v>0.134250594659403</v>
      </c>
      <c r="L158" s="8" t="n">
        <f aca="true">IF(F158="Bull",NORMINV(RAND(),Assumptions!$B$5,Assumptions!$B$6),NORMINV(RAND(),Assumptions!$B$8,Assumptions!$B$9))</f>
        <v>-0.00381124321752921</v>
      </c>
      <c r="M158" s="8" t="n">
        <f aca="true">IF(G158="Bull",NORMINV(RAND(),Assumptions!$B$5,Assumptions!$B$6),NORMINV(RAND(),Assumptions!$B$8,Assumptions!$B$9))</f>
        <v>0.178665680936925</v>
      </c>
      <c r="N158" s="8" t="n">
        <f aca="true">NORMINV(RAND(),Assumptions!$B$14,Assumptions!$B$15)</f>
        <v>0.0634090587994629</v>
      </c>
      <c r="O158" s="8" t="n">
        <f aca="true">NORMINV(RAND(),Assumptions!$B$14,Assumptions!$B$15)</f>
        <v>0.0636939202208173</v>
      </c>
      <c r="P158" s="8" t="n">
        <f aca="true">NORMINV(RAND(),Assumptions!$B$14,Assumptions!$B$15)</f>
        <v>0.0610583119004847</v>
      </c>
      <c r="Q158" s="8" t="n">
        <f aca="true">NORMINV(RAND(),Assumptions!$B$14,Assumptions!$B$15)</f>
        <v>0.0448895782133041</v>
      </c>
      <c r="R158" s="8" t="n">
        <f aca="true">NORMINV(RAND(),Assumptions!$B$14,Assumptions!$B$15)</f>
        <v>0.0881096242466132</v>
      </c>
      <c r="S158" s="8" t="n">
        <f aca="true">NORMINV(RAND(),Assumptions!$B$14,Assumptions!$B$15)</f>
        <v>0.0386939009719928</v>
      </c>
      <c r="T158" s="8" t="n">
        <f aca="false">Assumptions!$B$19*H158+(1-Assumptions!$B$19)*N158</f>
        <v>0.0773725938974809</v>
      </c>
      <c r="U158" s="8" t="n">
        <f aca="false">Assumptions!$B$20*I158+(1-Assumptions!$B$20)*O158</f>
        <v>-0.0166973709618142</v>
      </c>
      <c r="V158" s="8" t="n">
        <f aca="false">Assumptions!$B$21*J158+(1-Assumptions!$B$21)*P158</f>
        <v>0.0730400545623154</v>
      </c>
      <c r="W158" s="8" t="n">
        <f aca="false">Assumptions!$B$22*K158+(1-Assumptions!$B$22)*Q158</f>
        <v>0.134250594659403</v>
      </c>
      <c r="X158" s="8" t="n">
        <f aca="false">Assumptions!$B$23*L158+(1-Assumptions!$B$23)*R158</f>
        <v>0.0145729302752993</v>
      </c>
      <c r="Y158" s="8" t="n">
        <f aca="false">Assumptions!$B$24*M158+(1-Assumptions!$B$24)*S158</f>
        <v>0.122676968950952</v>
      </c>
      <c r="Z158" s="6" t="n">
        <f aca="false">Assumptions!$B$27*(1+T158)</f>
        <v>323211.778169244</v>
      </c>
      <c r="AA158" s="6" t="n">
        <f aca="false">(Z158+Assumptions!$B$28)*(1+U158)</f>
        <v>465310.385565653</v>
      </c>
      <c r="AB158" s="6" t="n">
        <f aca="false">AA158*(1+V158)</f>
        <v>499296.68151578</v>
      </c>
      <c r="AC158" s="6" t="n">
        <f aca="false">AB158*(1+W158)</f>
        <v>566327.55792074</v>
      </c>
      <c r="AD158" s="6" t="n">
        <f aca="false">AC158*(1+X158)</f>
        <v>574580.609935299</v>
      </c>
      <c r="AE158" s="6" t="n">
        <f aca="false">AD158*(1+Y158)</f>
        <v>645068.417580151</v>
      </c>
      <c r="AF158" s="6" t="n">
        <f aca="false">Z158</f>
        <v>323211.778169244</v>
      </c>
      <c r="AG158" s="6" t="n">
        <f aca="false">MAX(AF158,AA158)</f>
        <v>465310.385565653</v>
      </c>
      <c r="AH158" s="6" t="n">
        <f aca="false">MAX(AG158,AB158)</f>
        <v>499296.68151578</v>
      </c>
      <c r="AI158" s="6" t="n">
        <f aca="false">MAX(AH158,AC158)</f>
        <v>566327.55792074</v>
      </c>
      <c r="AJ158" s="6" t="n">
        <f aca="false">MAX(AI158,AD158)</f>
        <v>574580.609935299</v>
      </c>
      <c r="AK158" s="6" t="n">
        <f aca="false">MAX(AJ158,AE158)</f>
        <v>645068.417580151</v>
      </c>
      <c r="AL158" s="8" t="n">
        <f aca="false">MIN(Z158/AF158-1,AA158/AG158-1,AB158/AH158-1,AC158/AI158-1,AD158/AJ158-1,AE158/AK158-1)</f>
        <v>0</v>
      </c>
      <c r="AM158" s="6" t="n">
        <f aca="false">AE158-Assumptions!$B$35</f>
        <v>203804.420917648</v>
      </c>
    </row>
    <row r="159" customFormat="false" ht="15" hidden="false" customHeight="false" outlineLevel="0" collapsed="false">
      <c r="A159" s="0" t="n">
        <f aca="false">ROW()-1</f>
        <v>158</v>
      </c>
      <c r="B159" s="0" t="str">
        <f aca="true">IF(RAND()&lt;Assumptions!$B$11,"Bull","Bear")</f>
        <v>Bull</v>
      </c>
      <c r="C159" s="0" t="str">
        <f aca="true">IF(B159="Bull",IF(RAND()&lt;Assumptions!$B$7,"Bull","Bear"),IF(RAND()&lt;Assumptions!$B$10,"Bear","Bull"))</f>
        <v>Bull</v>
      </c>
      <c r="D159" s="0" t="str">
        <f aca="true">IF(C159="Bull",IF(RAND()&lt;Assumptions!$B$7,"Bull","Bear"),IF(RAND()&lt;Assumptions!$B$10,"Bear","Bull"))</f>
        <v>Bull</v>
      </c>
      <c r="E159" s="0" t="str">
        <f aca="true">IF(D159="Bull",IF(RAND()&lt;Assumptions!$B$7,"Bull","Bear"),IF(RAND()&lt;Assumptions!$B$10,"Bear","Bull"))</f>
        <v>Bull</v>
      </c>
      <c r="F159" s="0" t="str">
        <f aca="true">IF(E159="Bull",IF(RAND()&lt;Assumptions!$B$7,"Bull","Bear"),IF(RAND()&lt;Assumptions!$B$10,"Bear","Bull"))</f>
        <v>Bull</v>
      </c>
      <c r="G159" s="0" t="str">
        <f aca="true">IF(F159="Bull",IF(RAND()&lt;Assumptions!$B$7,"Bull","Bear"),IF(RAND()&lt;Assumptions!$B$10,"Bear","Bull"))</f>
        <v>Bull</v>
      </c>
      <c r="H159" s="8" t="n">
        <f aca="true">IF(B159="Bull",NORMINV(RAND(),Assumptions!$B$5,Assumptions!$B$6),NORMINV(RAND(),Assumptions!$B$8,Assumptions!$B$9))</f>
        <v>0.149386121466493</v>
      </c>
      <c r="I159" s="8" t="n">
        <f aca="true">IF(C159="Bull",NORMINV(RAND(),Assumptions!$B$5,Assumptions!$B$6),NORMINV(RAND(),Assumptions!$B$8,Assumptions!$B$9))</f>
        <v>0.179738166920491</v>
      </c>
      <c r="J159" s="8" t="n">
        <f aca="true">IF(D159="Bull",NORMINV(RAND(),Assumptions!$B$5,Assumptions!$B$6),NORMINV(RAND(),Assumptions!$B$8,Assumptions!$B$9))</f>
        <v>0.287401683252699</v>
      </c>
      <c r="K159" s="8" t="n">
        <f aca="true">IF(E159="Bull",NORMINV(RAND(),Assumptions!$B$5,Assumptions!$B$6),NORMINV(RAND(),Assumptions!$B$8,Assumptions!$B$9))</f>
        <v>0.386145842684065</v>
      </c>
      <c r="L159" s="8" t="n">
        <f aca="true">IF(F159="Bull",NORMINV(RAND(),Assumptions!$B$5,Assumptions!$B$6),NORMINV(RAND(),Assumptions!$B$8,Assumptions!$B$9))</f>
        <v>0.171888319836653</v>
      </c>
      <c r="M159" s="8" t="n">
        <f aca="true">IF(G159="Bull",NORMINV(RAND(),Assumptions!$B$5,Assumptions!$B$6),NORMINV(RAND(),Assumptions!$B$8,Assumptions!$B$9))</f>
        <v>0.342994887073223</v>
      </c>
      <c r="N159" s="8" t="n">
        <f aca="true">NORMINV(RAND(),Assumptions!$B$14,Assumptions!$B$15)</f>
        <v>0.0893279350428338</v>
      </c>
      <c r="O159" s="8" t="n">
        <f aca="true">NORMINV(RAND(),Assumptions!$B$14,Assumptions!$B$15)</f>
        <v>0.0530955799945769</v>
      </c>
      <c r="P159" s="8" t="n">
        <f aca="true">NORMINV(RAND(),Assumptions!$B$14,Assumptions!$B$15)</f>
        <v>-0.030749635916394</v>
      </c>
      <c r="Q159" s="8" t="n">
        <f aca="true">NORMINV(RAND(),Assumptions!$B$14,Assumptions!$B$15)</f>
        <v>0.0433171436055105</v>
      </c>
      <c r="R159" s="8" t="n">
        <f aca="true">NORMINV(RAND(),Assumptions!$B$14,Assumptions!$B$15)</f>
        <v>0.113776532883643</v>
      </c>
      <c r="S159" s="8" t="n">
        <f aca="true">NORMINV(RAND(),Assumptions!$B$14,Assumptions!$B$15)</f>
        <v>-0.00682696576504259</v>
      </c>
      <c r="T159" s="8" t="n">
        <f aca="false">Assumptions!$B$19*H159+(1-Assumptions!$B$19)*N159</f>
        <v>0.149386121466493</v>
      </c>
      <c r="U159" s="8" t="n">
        <f aca="false">Assumptions!$B$20*I159+(1-Assumptions!$B$20)*O159</f>
        <v>0.179738166920491</v>
      </c>
      <c r="V159" s="8" t="n">
        <f aca="false">Assumptions!$B$21*J159+(1-Assumptions!$B$21)*P159</f>
        <v>0.287401683252699</v>
      </c>
      <c r="W159" s="8" t="n">
        <f aca="false">Assumptions!$B$22*K159+(1-Assumptions!$B$22)*Q159</f>
        <v>0.386145842684065</v>
      </c>
      <c r="X159" s="8" t="n">
        <f aca="false">Assumptions!$B$23*L159+(1-Assumptions!$B$23)*R159</f>
        <v>0.160265962446051</v>
      </c>
      <c r="Y159" s="8" t="n">
        <f aca="false">Assumptions!$B$24*M159+(1-Assumptions!$B$24)*S159</f>
        <v>0.203066145937917</v>
      </c>
      <c r="Z159" s="6" t="n">
        <f aca="false">Assumptions!$B$27*(1+T159)</f>
        <v>344815.836439948</v>
      </c>
      <c r="AA159" s="6" t="n">
        <f aca="false">(Z159+Assumptions!$B$28)*(1+U159)</f>
        <v>583753.127844893</v>
      </c>
      <c r="AB159" s="6" t="n">
        <f aca="false">AA159*(1+V159)</f>
        <v>751524.759391544</v>
      </c>
      <c r="AC159" s="6" t="n">
        <f aca="false">AB159*(1+W159)</f>
        <v>1041722.92090473</v>
      </c>
      <c r="AD159" s="6" t="n">
        <f aca="false">AC159*(1+X159)</f>
        <v>1208675.64742564</v>
      </c>
      <c r="AE159" s="6" t="n">
        <f aca="false">AD159*(1+Y159)</f>
        <v>1454116.75283738</v>
      </c>
      <c r="AF159" s="6" t="n">
        <f aca="false">Z159</f>
        <v>344815.836439948</v>
      </c>
      <c r="AG159" s="6" t="n">
        <f aca="false">MAX(AF159,AA159)</f>
        <v>583753.127844893</v>
      </c>
      <c r="AH159" s="6" t="n">
        <f aca="false">MAX(AG159,AB159)</f>
        <v>751524.759391544</v>
      </c>
      <c r="AI159" s="6" t="n">
        <f aca="false">MAX(AH159,AC159)</f>
        <v>1041722.92090473</v>
      </c>
      <c r="AJ159" s="6" t="n">
        <f aca="false">MAX(AI159,AD159)</f>
        <v>1208675.64742564</v>
      </c>
      <c r="AK159" s="6" t="n">
        <f aca="false">MAX(AJ159,AE159)</f>
        <v>1454116.75283738</v>
      </c>
      <c r="AL159" s="8" t="n">
        <f aca="false">MIN(Z159/AF159-1,AA159/AG159-1,AB159/AH159-1,AC159/AI159-1,AD159/AJ159-1,AE159/AK159-1)</f>
        <v>0</v>
      </c>
      <c r="AM159" s="6" t="n">
        <f aca="false">AE159-Assumptions!$B$35</f>
        <v>1012852.75617488</v>
      </c>
    </row>
    <row r="160" customFormat="false" ht="15" hidden="false" customHeight="false" outlineLevel="0" collapsed="false">
      <c r="A160" s="0" t="n">
        <f aca="false">ROW()-1</f>
        <v>159</v>
      </c>
      <c r="B160" s="0" t="str">
        <f aca="true">IF(RAND()&lt;Assumptions!$B$11,"Bull","Bear")</f>
        <v>Bear</v>
      </c>
      <c r="C160" s="0" t="str">
        <f aca="true">IF(B160="Bull",IF(RAND()&lt;Assumptions!$B$7,"Bull","Bear"),IF(RAND()&lt;Assumptions!$B$10,"Bear","Bull"))</f>
        <v>Bull</v>
      </c>
      <c r="D160" s="0" t="str">
        <f aca="true">IF(C160="Bull",IF(RAND()&lt;Assumptions!$B$7,"Bull","Bear"),IF(RAND()&lt;Assumptions!$B$10,"Bear","Bull"))</f>
        <v>Bear</v>
      </c>
      <c r="E160" s="0" t="str">
        <f aca="true">IF(D160="Bull",IF(RAND()&lt;Assumptions!$B$7,"Bull","Bear"),IF(RAND()&lt;Assumptions!$B$10,"Bear","Bull"))</f>
        <v>Bear</v>
      </c>
      <c r="F160" s="0" t="str">
        <f aca="true">IF(E160="Bull",IF(RAND()&lt;Assumptions!$B$7,"Bull","Bear"),IF(RAND()&lt;Assumptions!$B$10,"Bear","Bull"))</f>
        <v>Bear</v>
      </c>
      <c r="G160" s="0" t="str">
        <f aca="true">IF(F160="Bull",IF(RAND()&lt;Assumptions!$B$7,"Bull","Bear"),IF(RAND()&lt;Assumptions!$B$10,"Bear","Bull"))</f>
        <v>Bull</v>
      </c>
      <c r="H160" s="8" t="n">
        <f aca="true">IF(B160="Bull",NORMINV(RAND(),Assumptions!$B$5,Assumptions!$B$6),NORMINV(RAND(),Assumptions!$B$8,Assumptions!$B$9))</f>
        <v>0.0150736723135865</v>
      </c>
      <c r="I160" s="8" t="n">
        <f aca="true">IF(C160="Bull",NORMINV(RAND(),Assumptions!$B$5,Assumptions!$B$6),NORMINV(RAND(),Assumptions!$B$8,Assumptions!$B$9))</f>
        <v>0.153263074914623</v>
      </c>
      <c r="J160" s="8" t="n">
        <f aca="true">IF(D160="Bull",NORMINV(RAND(),Assumptions!$B$5,Assumptions!$B$6),NORMINV(RAND(),Assumptions!$B$8,Assumptions!$B$9))</f>
        <v>0.0650338621255907</v>
      </c>
      <c r="K160" s="8" t="n">
        <f aca="true">IF(E160="Bull",NORMINV(RAND(),Assumptions!$B$5,Assumptions!$B$6),NORMINV(RAND(),Assumptions!$B$8,Assumptions!$B$9))</f>
        <v>-0.125780226288574</v>
      </c>
      <c r="L160" s="8" t="n">
        <f aca="true">IF(F160="Bull",NORMINV(RAND(),Assumptions!$B$5,Assumptions!$B$6),NORMINV(RAND(),Assumptions!$B$8,Assumptions!$B$9))</f>
        <v>-0.30868283031557</v>
      </c>
      <c r="M160" s="8" t="n">
        <f aca="true">IF(G160="Bull",NORMINV(RAND(),Assumptions!$B$5,Assumptions!$B$6),NORMINV(RAND(),Assumptions!$B$8,Assumptions!$B$9))</f>
        <v>0.239072115112514</v>
      </c>
      <c r="N160" s="8" t="n">
        <f aca="true">NORMINV(RAND(),Assumptions!$B$14,Assumptions!$B$15)</f>
        <v>0.0543221497624232</v>
      </c>
      <c r="O160" s="8" t="n">
        <f aca="true">NORMINV(RAND(),Assumptions!$B$14,Assumptions!$B$15)</f>
        <v>0.0377101562928681</v>
      </c>
      <c r="P160" s="8" t="n">
        <f aca="true">NORMINV(RAND(),Assumptions!$B$14,Assumptions!$B$15)</f>
        <v>0.051828684296883</v>
      </c>
      <c r="Q160" s="8" t="n">
        <f aca="true">NORMINV(RAND(),Assumptions!$B$14,Assumptions!$B$15)</f>
        <v>0.0302544187394404</v>
      </c>
      <c r="R160" s="8" t="n">
        <f aca="true">NORMINV(RAND(),Assumptions!$B$14,Assumptions!$B$15)</f>
        <v>0.0616369448461039</v>
      </c>
      <c r="S160" s="8" t="n">
        <f aca="true">NORMINV(RAND(),Assumptions!$B$14,Assumptions!$B$15)</f>
        <v>0.00237167639736582</v>
      </c>
      <c r="T160" s="8" t="n">
        <f aca="false">Assumptions!$B$19*H160+(1-Assumptions!$B$19)*N160</f>
        <v>0.0150736723135865</v>
      </c>
      <c r="U160" s="8" t="n">
        <f aca="false">Assumptions!$B$20*I160+(1-Assumptions!$B$20)*O160</f>
        <v>0.153263074914623</v>
      </c>
      <c r="V160" s="8" t="n">
        <f aca="false">Assumptions!$B$21*J160+(1-Assumptions!$B$21)*P160</f>
        <v>0.0650338621255907</v>
      </c>
      <c r="W160" s="8" t="n">
        <f aca="false">Assumptions!$B$22*K160+(1-Assumptions!$B$22)*Q160</f>
        <v>-0.125780226288574</v>
      </c>
      <c r="X160" s="8" t="n">
        <f aca="false">Assumptions!$B$23*L160+(1-Assumptions!$B$23)*R160</f>
        <v>-0.234618875283235</v>
      </c>
      <c r="Y160" s="8" t="n">
        <f aca="false">Assumptions!$B$24*M160+(1-Assumptions!$B$24)*S160</f>
        <v>0.144391939626455</v>
      </c>
      <c r="Z160" s="6" t="n">
        <f aca="false">Assumptions!$B$27*(1+T160)</f>
        <v>304522.101694076</v>
      </c>
      <c r="AA160" s="6" t="n">
        <f aca="false">(Z160+Assumptions!$B$28)*(1+U160)</f>
        <v>524183.556616367</v>
      </c>
      <c r="AB160" s="6" t="n">
        <f aca="false">AA160*(1+V160)</f>
        <v>558273.237765858</v>
      </c>
      <c r="AC160" s="6" t="n">
        <f aca="false">AB160*(1+W160)</f>
        <v>488053.503588813</v>
      </c>
      <c r="AD160" s="6" t="n">
        <f aca="false">AC160*(1+X160)</f>
        <v>373546.939498764</v>
      </c>
      <c r="AE160" s="6" t="n">
        <f aca="false">AD160*(1+Y160)</f>
        <v>427484.106634516</v>
      </c>
      <c r="AF160" s="6" t="n">
        <f aca="false">Z160</f>
        <v>304522.101694076</v>
      </c>
      <c r="AG160" s="6" t="n">
        <f aca="false">MAX(AF160,AA160)</f>
        <v>524183.556616367</v>
      </c>
      <c r="AH160" s="6" t="n">
        <f aca="false">MAX(AG160,AB160)</f>
        <v>558273.237765858</v>
      </c>
      <c r="AI160" s="6" t="n">
        <f aca="false">MAX(AH160,AC160)</f>
        <v>558273.237765858</v>
      </c>
      <c r="AJ160" s="6" t="n">
        <f aca="false">MAX(AI160,AD160)</f>
        <v>558273.237765858</v>
      </c>
      <c r="AK160" s="6" t="n">
        <f aca="false">MAX(AJ160,AE160)</f>
        <v>558273.237765858</v>
      </c>
      <c r="AL160" s="8" t="n">
        <f aca="false">MIN(Z160/AF160-1,AA160/AG160-1,AB160/AH160-1,AC160/AI160-1,AD160/AJ160-1,AE160/AK160-1)</f>
        <v>-0.330888686347113</v>
      </c>
      <c r="AM160" s="6" t="n">
        <f aca="false">AE160-Assumptions!$B$35</f>
        <v>-13779.8900279875</v>
      </c>
    </row>
    <row r="161" customFormat="false" ht="15" hidden="false" customHeight="false" outlineLevel="0" collapsed="false">
      <c r="A161" s="0" t="n">
        <f aca="false">ROW()-1</f>
        <v>160</v>
      </c>
      <c r="B161" s="0" t="str">
        <f aca="true">IF(RAND()&lt;Assumptions!$B$11,"Bull","Bear")</f>
        <v>Bull</v>
      </c>
      <c r="C161" s="0" t="str">
        <f aca="true">IF(B161="Bull",IF(RAND()&lt;Assumptions!$B$7,"Bull","Bear"),IF(RAND()&lt;Assumptions!$B$10,"Bear","Bull"))</f>
        <v>Bull</v>
      </c>
      <c r="D161" s="0" t="str">
        <f aca="true">IF(C161="Bull",IF(RAND()&lt;Assumptions!$B$7,"Bull","Bear"),IF(RAND()&lt;Assumptions!$B$10,"Bear","Bull"))</f>
        <v>Bear</v>
      </c>
      <c r="E161" s="0" t="str">
        <f aca="true">IF(D161="Bull",IF(RAND()&lt;Assumptions!$B$7,"Bull","Bear"),IF(RAND()&lt;Assumptions!$B$10,"Bear","Bull"))</f>
        <v>Bear</v>
      </c>
      <c r="F161" s="0" t="str">
        <f aca="true">IF(E161="Bull",IF(RAND()&lt;Assumptions!$B$7,"Bull","Bear"),IF(RAND()&lt;Assumptions!$B$10,"Bear","Bull"))</f>
        <v>Bull</v>
      </c>
      <c r="G161" s="0" t="str">
        <f aca="true">IF(F161="Bull",IF(RAND()&lt;Assumptions!$B$7,"Bull","Bear"),IF(RAND()&lt;Assumptions!$B$10,"Bear","Bull"))</f>
        <v>Bull</v>
      </c>
      <c r="H161" s="8" t="n">
        <f aca="true">IF(B161="Bull",NORMINV(RAND(),Assumptions!$B$5,Assumptions!$B$6),NORMINV(RAND(),Assumptions!$B$8,Assumptions!$B$9))</f>
        <v>0.237404093562117</v>
      </c>
      <c r="I161" s="8" t="n">
        <f aca="true">IF(C161="Bull",NORMINV(RAND(),Assumptions!$B$5,Assumptions!$B$6),NORMINV(RAND(),Assumptions!$B$8,Assumptions!$B$9))</f>
        <v>0.219178815764707</v>
      </c>
      <c r="J161" s="8" t="n">
        <f aca="true">IF(D161="Bull",NORMINV(RAND(),Assumptions!$B$5,Assumptions!$B$6),NORMINV(RAND(),Assumptions!$B$8,Assumptions!$B$9))</f>
        <v>-3.9565420276097E-005</v>
      </c>
      <c r="K161" s="8" t="n">
        <f aca="true">IF(E161="Bull",NORMINV(RAND(),Assumptions!$B$5,Assumptions!$B$6),NORMINV(RAND(),Assumptions!$B$8,Assumptions!$B$9))</f>
        <v>-0.175946541035259</v>
      </c>
      <c r="L161" s="8" t="n">
        <f aca="true">IF(F161="Bull",NORMINV(RAND(),Assumptions!$B$5,Assumptions!$B$6),NORMINV(RAND(),Assumptions!$B$8,Assumptions!$B$9))</f>
        <v>-0.074246506876874</v>
      </c>
      <c r="M161" s="8" t="n">
        <f aca="true">IF(G161="Bull",NORMINV(RAND(),Assumptions!$B$5,Assumptions!$B$6),NORMINV(RAND(),Assumptions!$B$8,Assumptions!$B$9))</f>
        <v>-0.017045276033395</v>
      </c>
      <c r="N161" s="8" t="n">
        <f aca="true">NORMINV(RAND(),Assumptions!$B$14,Assumptions!$B$15)</f>
        <v>0.0464089886760076</v>
      </c>
      <c r="O161" s="8" t="n">
        <f aca="true">NORMINV(RAND(),Assumptions!$B$14,Assumptions!$B$15)</f>
        <v>0.026803587199186</v>
      </c>
      <c r="P161" s="8" t="n">
        <f aca="true">NORMINV(RAND(),Assumptions!$B$14,Assumptions!$B$15)</f>
        <v>0.0680947539408254</v>
      </c>
      <c r="Q161" s="8" t="n">
        <f aca="true">NORMINV(RAND(),Assumptions!$B$14,Assumptions!$B$15)</f>
        <v>0.0289076884183161</v>
      </c>
      <c r="R161" s="8" t="n">
        <f aca="true">NORMINV(RAND(),Assumptions!$B$14,Assumptions!$B$15)</f>
        <v>0.100734037240963</v>
      </c>
      <c r="S161" s="8" t="n">
        <f aca="true">NORMINV(RAND(),Assumptions!$B$14,Assumptions!$B$15)</f>
        <v>0.0693208155618938</v>
      </c>
      <c r="T161" s="8" t="n">
        <f aca="false">Assumptions!$B$19*H161+(1-Assumptions!$B$19)*N161</f>
        <v>0.237404093562117</v>
      </c>
      <c r="U161" s="8" t="n">
        <f aca="false">Assumptions!$B$20*I161+(1-Assumptions!$B$20)*O161</f>
        <v>0.219178815764707</v>
      </c>
      <c r="V161" s="8" t="n">
        <f aca="false">Assumptions!$B$21*J161+(1-Assumptions!$B$21)*P161</f>
        <v>-3.9565420276097E-005</v>
      </c>
      <c r="W161" s="8" t="n">
        <f aca="false">Assumptions!$B$22*K161+(1-Assumptions!$B$22)*Q161</f>
        <v>-0.175946541035259</v>
      </c>
      <c r="X161" s="8" t="n">
        <f aca="false">Assumptions!$B$23*L161+(1-Assumptions!$B$23)*R161</f>
        <v>-0.0392503980533067</v>
      </c>
      <c r="Y161" s="8" t="n">
        <f aca="false">Assumptions!$B$24*M161+(1-Assumptions!$B$24)*S161</f>
        <v>0.0175011606047205</v>
      </c>
      <c r="Z161" s="6" t="n">
        <f aca="false">Assumptions!$B$27*(1+T161)</f>
        <v>371221.228068635</v>
      </c>
      <c r="AA161" s="6" t="n">
        <f aca="false">(Z161+Assumptions!$B$28)*(1+U161)</f>
        <v>635461.879588145</v>
      </c>
      <c r="AB161" s="6" t="n">
        <f aca="false">AA161*(1+V161)</f>
        <v>635436.737271809</v>
      </c>
      <c r="AC161" s="6" t="n">
        <f aca="false">AB161*(1+W161)</f>
        <v>523633.841302104</v>
      </c>
      <c r="AD161" s="6" t="n">
        <f aca="false">AC161*(1+X161)</f>
        <v>503081.004596814</v>
      </c>
      <c r="AE161" s="6" t="n">
        <f aca="false">AD161*(1+Y161)</f>
        <v>511885.506055447</v>
      </c>
      <c r="AF161" s="6" t="n">
        <f aca="false">Z161</f>
        <v>371221.228068635</v>
      </c>
      <c r="AG161" s="6" t="n">
        <f aca="false">MAX(AF161,AA161)</f>
        <v>635461.879588145</v>
      </c>
      <c r="AH161" s="6" t="n">
        <f aca="false">MAX(AG161,AB161)</f>
        <v>635461.879588145</v>
      </c>
      <c r="AI161" s="6" t="n">
        <f aca="false">MAX(AH161,AC161)</f>
        <v>635461.879588145</v>
      </c>
      <c r="AJ161" s="6" t="n">
        <f aca="false">MAX(AI161,AD161)</f>
        <v>635461.879588145</v>
      </c>
      <c r="AK161" s="6" t="n">
        <f aca="false">MAX(AJ161,AE161)</f>
        <v>635461.879588145</v>
      </c>
      <c r="AL161" s="8" t="n">
        <f aca="false">MIN(Z161/AF161-1,AA161/AG161-1,AB161/AH161-1,AC161/AI161-1,AD161/AJ161-1,AE161/AK161-1)</f>
        <v>-0.208322291617444</v>
      </c>
      <c r="AM161" s="6" t="n">
        <f aca="false">AE161-Assumptions!$B$35</f>
        <v>70621.5093929435</v>
      </c>
    </row>
    <row r="162" customFormat="false" ht="15" hidden="false" customHeight="false" outlineLevel="0" collapsed="false">
      <c r="A162" s="0" t="n">
        <f aca="false">ROW()-1</f>
        <v>161</v>
      </c>
      <c r="B162" s="0" t="str">
        <f aca="true">IF(RAND()&lt;Assumptions!$B$11,"Bull","Bear")</f>
        <v>Bull</v>
      </c>
      <c r="C162" s="0" t="str">
        <f aca="true">IF(B162="Bull",IF(RAND()&lt;Assumptions!$B$7,"Bull","Bear"),IF(RAND()&lt;Assumptions!$B$10,"Bear","Bull"))</f>
        <v>Bull</v>
      </c>
      <c r="D162" s="0" t="str">
        <f aca="true">IF(C162="Bull",IF(RAND()&lt;Assumptions!$B$7,"Bull","Bear"),IF(RAND()&lt;Assumptions!$B$10,"Bear","Bull"))</f>
        <v>Bull</v>
      </c>
      <c r="E162" s="0" t="str">
        <f aca="true">IF(D162="Bull",IF(RAND()&lt;Assumptions!$B$7,"Bull","Bear"),IF(RAND()&lt;Assumptions!$B$10,"Bear","Bull"))</f>
        <v>Bull</v>
      </c>
      <c r="F162" s="0" t="str">
        <f aca="true">IF(E162="Bull",IF(RAND()&lt;Assumptions!$B$7,"Bull","Bear"),IF(RAND()&lt;Assumptions!$B$10,"Bear","Bull"))</f>
        <v>Bull</v>
      </c>
      <c r="G162" s="0" t="str">
        <f aca="true">IF(F162="Bull",IF(RAND()&lt;Assumptions!$B$7,"Bull","Bear"),IF(RAND()&lt;Assumptions!$B$10,"Bear","Bull"))</f>
        <v>Bull</v>
      </c>
      <c r="H162" s="8" t="n">
        <f aca="true">IF(B162="Bull",NORMINV(RAND(),Assumptions!$B$5,Assumptions!$B$6),NORMINV(RAND(),Assumptions!$B$8,Assumptions!$B$9))</f>
        <v>0.136544611627613</v>
      </c>
      <c r="I162" s="8" t="n">
        <f aca="true">IF(C162="Bull",NORMINV(RAND(),Assumptions!$B$5,Assumptions!$B$6),NORMINV(RAND(),Assumptions!$B$8,Assumptions!$B$9))</f>
        <v>0.240280573200443</v>
      </c>
      <c r="J162" s="8" t="n">
        <f aca="true">IF(D162="Bull",NORMINV(RAND(),Assumptions!$B$5,Assumptions!$B$6),NORMINV(RAND(),Assumptions!$B$8,Assumptions!$B$9))</f>
        <v>0.16468636921883</v>
      </c>
      <c r="K162" s="8" t="n">
        <f aca="true">IF(E162="Bull",NORMINV(RAND(),Assumptions!$B$5,Assumptions!$B$6),NORMINV(RAND(),Assumptions!$B$8,Assumptions!$B$9))</f>
        <v>0.0485774818150903</v>
      </c>
      <c r="L162" s="8" t="n">
        <f aca="true">IF(F162="Bull",NORMINV(RAND(),Assumptions!$B$5,Assumptions!$B$6),NORMINV(RAND(),Assumptions!$B$8,Assumptions!$B$9))</f>
        <v>0.322833576427323</v>
      </c>
      <c r="M162" s="8" t="n">
        <f aca="true">IF(G162="Bull",NORMINV(RAND(),Assumptions!$B$5,Assumptions!$B$6),NORMINV(RAND(),Assumptions!$B$8,Assumptions!$B$9))</f>
        <v>0.117524494391872</v>
      </c>
      <c r="N162" s="8" t="n">
        <f aca="true">NORMINV(RAND(),Assumptions!$B$14,Assumptions!$B$15)</f>
        <v>0.0541409073294703</v>
      </c>
      <c r="O162" s="8" t="n">
        <f aca="true">NORMINV(RAND(),Assumptions!$B$14,Assumptions!$B$15)</f>
        <v>0.0481510055493777</v>
      </c>
      <c r="P162" s="8" t="n">
        <f aca="true">NORMINV(RAND(),Assumptions!$B$14,Assumptions!$B$15)</f>
        <v>0.0373585968611462</v>
      </c>
      <c r="Q162" s="8" t="n">
        <f aca="true">NORMINV(RAND(),Assumptions!$B$14,Assumptions!$B$15)</f>
        <v>0.0811486024082257</v>
      </c>
      <c r="R162" s="8" t="n">
        <f aca="true">NORMINV(RAND(),Assumptions!$B$14,Assumptions!$B$15)</f>
        <v>0.0241812221341089</v>
      </c>
      <c r="S162" s="8" t="n">
        <f aca="true">NORMINV(RAND(),Assumptions!$B$14,Assumptions!$B$15)</f>
        <v>0.0912383845007658</v>
      </c>
      <c r="T162" s="8" t="n">
        <f aca="false">Assumptions!$B$19*H162+(1-Assumptions!$B$19)*N162</f>
        <v>0.136544611627613</v>
      </c>
      <c r="U162" s="8" t="n">
        <f aca="false">Assumptions!$B$20*I162+(1-Assumptions!$B$20)*O162</f>
        <v>0.240280573200443</v>
      </c>
      <c r="V162" s="8" t="n">
        <f aca="false">Assumptions!$B$21*J162+(1-Assumptions!$B$21)*P162</f>
        <v>0.16468636921883</v>
      </c>
      <c r="W162" s="8" t="n">
        <f aca="false">Assumptions!$B$22*K162+(1-Assumptions!$B$22)*Q162</f>
        <v>0.0485774818150903</v>
      </c>
      <c r="X162" s="8" t="n">
        <f aca="false">Assumptions!$B$23*L162+(1-Assumptions!$B$23)*R162</f>
        <v>0.263103105568681</v>
      </c>
      <c r="Y162" s="8" t="n">
        <f aca="false">Assumptions!$B$24*M162+(1-Assumptions!$B$24)*S162</f>
        <v>0.10701005043543</v>
      </c>
      <c r="Z162" s="6" t="n">
        <f aca="false">Assumptions!$B$27*(1+T162)</f>
        <v>340963.383488284</v>
      </c>
      <c r="AA162" s="6" t="n">
        <f aca="false">(Z162+Assumptions!$B$28)*(1+U162)</f>
        <v>608932.346693278</v>
      </c>
      <c r="AB162" s="6" t="n">
        <f aca="false">AA162*(1+V162)</f>
        <v>709215.203970095</v>
      </c>
      <c r="AC162" s="6" t="n">
        <f aca="false">AB162*(1+W162)</f>
        <v>743667.092643938</v>
      </c>
      <c r="AD162" s="6" t="n">
        <f aca="false">AC162*(1+X162)</f>
        <v>939328.21422779</v>
      </c>
      <c r="AE162" s="6" t="n">
        <f aca="false">AD162*(1+Y162)</f>
        <v>1039845.77380773</v>
      </c>
      <c r="AF162" s="6" t="n">
        <f aca="false">Z162</f>
        <v>340963.383488284</v>
      </c>
      <c r="AG162" s="6" t="n">
        <f aca="false">MAX(AF162,AA162)</f>
        <v>608932.346693278</v>
      </c>
      <c r="AH162" s="6" t="n">
        <f aca="false">MAX(AG162,AB162)</f>
        <v>709215.203970095</v>
      </c>
      <c r="AI162" s="6" t="n">
        <f aca="false">MAX(AH162,AC162)</f>
        <v>743667.092643938</v>
      </c>
      <c r="AJ162" s="6" t="n">
        <f aca="false">MAX(AI162,AD162)</f>
        <v>939328.21422779</v>
      </c>
      <c r="AK162" s="6" t="n">
        <f aca="false">MAX(AJ162,AE162)</f>
        <v>1039845.77380773</v>
      </c>
      <c r="AL162" s="8" t="n">
        <f aca="false">MIN(Z162/AF162-1,AA162/AG162-1,AB162/AH162-1,AC162/AI162-1,AD162/AJ162-1,AE162/AK162-1)</f>
        <v>0</v>
      </c>
      <c r="AM162" s="6" t="n">
        <f aca="false">AE162-Assumptions!$B$35</f>
        <v>598581.777145224</v>
      </c>
    </row>
    <row r="163" customFormat="false" ht="15" hidden="false" customHeight="false" outlineLevel="0" collapsed="false">
      <c r="A163" s="0" t="n">
        <f aca="false">ROW()-1</f>
        <v>162</v>
      </c>
      <c r="B163" s="0" t="str">
        <f aca="true">IF(RAND()&lt;Assumptions!$B$11,"Bull","Bear")</f>
        <v>Bull</v>
      </c>
      <c r="C163" s="0" t="str">
        <f aca="true">IF(B163="Bull",IF(RAND()&lt;Assumptions!$B$7,"Bull","Bear"),IF(RAND()&lt;Assumptions!$B$10,"Bear","Bull"))</f>
        <v>Bull</v>
      </c>
      <c r="D163" s="0" t="str">
        <f aca="true">IF(C163="Bull",IF(RAND()&lt;Assumptions!$B$7,"Bull","Bear"),IF(RAND()&lt;Assumptions!$B$10,"Bear","Bull"))</f>
        <v>Bull</v>
      </c>
      <c r="E163" s="0" t="str">
        <f aca="true">IF(D163="Bull",IF(RAND()&lt;Assumptions!$B$7,"Bull","Bear"),IF(RAND()&lt;Assumptions!$B$10,"Bear","Bull"))</f>
        <v>Bull</v>
      </c>
      <c r="F163" s="0" t="str">
        <f aca="true">IF(E163="Bull",IF(RAND()&lt;Assumptions!$B$7,"Bull","Bear"),IF(RAND()&lt;Assumptions!$B$10,"Bear","Bull"))</f>
        <v>Bull</v>
      </c>
      <c r="G163" s="0" t="str">
        <f aca="true">IF(F163="Bull",IF(RAND()&lt;Assumptions!$B$7,"Bull","Bear"),IF(RAND()&lt;Assumptions!$B$10,"Bear","Bull"))</f>
        <v>Bull</v>
      </c>
      <c r="H163" s="8" t="n">
        <f aca="true">IF(B163="Bull",NORMINV(RAND(),Assumptions!$B$5,Assumptions!$B$6),NORMINV(RAND(),Assumptions!$B$8,Assumptions!$B$9))</f>
        <v>0.144205344769024</v>
      </c>
      <c r="I163" s="8" t="n">
        <f aca="true">IF(C163="Bull",NORMINV(RAND(),Assumptions!$B$5,Assumptions!$B$6),NORMINV(RAND(),Assumptions!$B$8,Assumptions!$B$9))</f>
        <v>0.124624650884409</v>
      </c>
      <c r="J163" s="8" t="n">
        <f aca="true">IF(D163="Bull",NORMINV(RAND(),Assumptions!$B$5,Assumptions!$B$6),NORMINV(RAND(),Assumptions!$B$8,Assumptions!$B$9))</f>
        <v>0.119129460398412</v>
      </c>
      <c r="K163" s="8" t="n">
        <f aca="true">IF(E163="Bull",NORMINV(RAND(),Assumptions!$B$5,Assumptions!$B$6),NORMINV(RAND(),Assumptions!$B$8,Assumptions!$B$9))</f>
        <v>0.11331861267117</v>
      </c>
      <c r="L163" s="8" t="n">
        <f aca="true">IF(F163="Bull",NORMINV(RAND(),Assumptions!$B$5,Assumptions!$B$6),NORMINV(RAND(),Assumptions!$B$8,Assumptions!$B$9))</f>
        <v>0.183450987024316</v>
      </c>
      <c r="M163" s="8" t="n">
        <f aca="true">IF(G163="Bull",NORMINV(RAND(),Assumptions!$B$5,Assumptions!$B$6),NORMINV(RAND(),Assumptions!$B$8,Assumptions!$B$9))</f>
        <v>0.213449968754405</v>
      </c>
      <c r="N163" s="8" t="n">
        <f aca="true">NORMINV(RAND(),Assumptions!$B$14,Assumptions!$B$15)</f>
        <v>0.10018323873022</v>
      </c>
      <c r="O163" s="8" t="n">
        <f aca="true">NORMINV(RAND(),Assumptions!$B$14,Assumptions!$B$15)</f>
        <v>0.0757432402665499</v>
      </c>
      <c r="P163" s="8" t="n">
        <f aca="true">NORMINV(RAND(),Assumptions!$B$14,Assumptions!$B$15)</f>
        <v>0.0299428737502419</v>
      </c>
      <c r="Q163" s="8" t="n">
        <f aca="true">NORMINV(RAND(),Assumptions!$B$14,Assumptions!$B$15)</f>
        <v>0.00773591844930959</v>
      </c>
      <c r="R163" s="8" t="n">
        <f aca="true">NORMINV(RAND(),Assumptions!$B$14,Assumptions!$B$15)</f>
        <v>0.0241765350152758</v>
      </c>
      <c r="S163" s="8" t="n">
        <f aca="true">NORMINV(RAND(),Assumptions!$B$14,Assumptions!$B$15)</f>
        <v>0.0429125600258799</v>
      </c>
      <c r="T163" s="8" t="n">
        <f aca="false">Assumptions!$B$19*H163+(1-Assumptions!$B$19)*N163</f>
        <v>0.144205344769024</v>
      </c>
      <c r="U163" s="8" t="n">
        <f aca="false">Assumptions!$B$20*I163+(1-Assumptions!$B$20)*O163</f>
        <v>0.124624650884409</v>
      </c>
      <c r="V163" s="8" t="n">
        <f aca="false">Assumptions!$B$21*J163+(1-Assumptions!$B$21)*P163</f>
        <v>0.119129460398412</v>
      </c>
      <c r="W163" s="8" t="n">
        <f aca="false">Assumptions!$B$22*K163+(1-Assumptions!$B$22)*Q163</f>
        <v>0.11331861267117</v>
      </c>
      <c r="X163" s="8" t="n">
        <f aca="false">Assumptions!$B$23*L163+(1-Assumptions!$B$23)*R163</f>
        <v>0.151596096622508</v>
      </c>
      <c r="Y163" s="8" t="n">
        <f aca="false">Assumptions!$B$24*M163+(1-Assumptions!$B$24)*S163</f>
        <v>0.145235005262995</v>
      </c>
      <c r="Z163" s="6" t="n">
        <f aca="false">Assumptions!$B$27*(1+T163)</f>
        <v>343261.603430707</v>
      </c>
      <c r="AA163" s="6" t="n">
        <f aca="false">(Z163+Assumptions!$B$28)*(1+U163)</f>
        <v>554734.158552943</v>
      </c>
      <c r="AB163" s="6" t="n">
        <f aca="false">AA163*(1+V163)</f>
        <v>620819.339525922</v>
      </c>
      <c r="AC163" s="6" t="n">
        <f aca="false">AB163*(1+W163)</f>
        <v>691169.725800432</v>
      </c>
      <c r="AD163" s="6" t="n">
        <f aca="false">AC163*(1+X163)</f>
        <v>795948.358335426</v>
      </c>
      <c r="AE163" s="6" t="n">
        <f aca="false">AD163*(1+Y163)</f>
        <v>911547.922347344</v>
      </c>
      <c r="AF163" s="6" t="n">
        <f aca="false">Z163</f>
        <v>343261.603430707</v>
      </c>
      <c r="AG163" s="6" t="n">
        <f aca="false">MAX(AF163,AA163)</f>
        <v>554734.158552943</v>
      </c>
      <c r="AH163" s="6" t="n">
        <f aca="false">MAX(AG163,AB163)</f>
        <v>620819.339525922</v>
      </c>
      <c r="AI163" s="6" t="n">
        <f aca="false">MAX(AH163,AC163)</f>
        <v>691169.725800432</v>
      </c>
      <c r="AJ163" s="6" t="n">
        <f aca="false">MAX(AI163,AD163)</f>
        <v>795948.358335426</v>
      </c>
      <c r="AK163" s="6" t="n">
        <f aca="false">MAX(AJ163,AE163)</f>
        <v>911547.922347344</v>
      </c>
      <c r="AL163" s="8" t="n">
        <f aca="false">MIN(Z163/AF163-1,AA163/AG163-1,AB163/AH163-1,AC163/AI163-1,AD163/AJ163-1,AE163/AK163-1)</f>
        <v>0</v>
      </c>
      <c r="AM163" s="6" t="n">
        <f aca="false">AE163-Assumptions!$B$35</f>
        <v>470283.92568484</v>
      </c>
    </row>
    <row r="164" customFormat="false" ht="15" hidden="false" customHeight="false" outlineLevel="0" collapsed="false">
      <c r="A164" s="0" t="n">
        <f aca="false">ROW()-1</f>
        <v>163</v>
      </c>
      <c r="B164" s="0" t="str">
        <f aca="true">IF(RAND()&lt;Assumptions!$B$11,"Bull","Bear")</f>
        <v>Bull</v>
      </c>
      <c r="C164" s="0" t="str">
        <f aca="true">IF(B164="Bull",IF(RAND()&lt;Assumptions!$B$7,"Bull","Bear"),IF(RAND()&lt;Assumptions!$B$10,"Bear","Bull"))</f>
        <v>Bear</v>
      </c>
      <c r="D164" s="0" t="str">
        <f aca="true">IF(C164="Bull",IF(RAND()&lt;Assumptions!$B$7,"Bull","Bear"),IF(RAND()&lt;Assumptions!$B$10,"Bear","Bull"))</f>
        <v>Bear</v>
      </c>
      <c r="E164" s="0" t="str">
        <f aca="true">IF(D164="Bull",IF(RAND()&lt;Assumptions!$B$7,"Bull","Bear"),IF(RAND()&lt;Assumptions!$B$10,"Bear","Bull"))</f>
        <v>Bear</v>
      </c>
      <c r="F164" s="0" t="str">
        <f aca="true">IF(E164="Bull",IF(RAND()&lt;Assumptions!$B$7,"Bull","Bear"),IF(RAND()&lt;Assumptions!$B$10,"Bear","Bull"))</f>
        <v>Bull</v>
      </c>
      <c r="G164" s="0" t="str">
        <f aca="true">IF(F164="Bull",IF(RAND()&lt;Assumptions!$B$7,"Bull","Bear"),IF(RAND()&lt;Assumptions!$B$10,"Bear","Bull"))</f>
        <v>Bull</v>
      </c>
      <c r="H164" s="8" t="n">
        <f aca="true">IF(B164="Bull",NORMINV(RAND(),Assumptions!$B$5,Assumptions!$B$6),NORMINV(RAND(),Assumptions!$B$8,Assumptions!$B$9))</f>
        <v>0.169443554168704</v>
      </c>
      <c r="I164" s="8" t="n">
        <f aca="true">IF(C164="Bull",NORMINV(RAND(),Assumptions!$B$5,Assumptions!$B$6),NORMINV(RAND(),Assumptions!$B$8,Assumptions!$B$9))</f>
        <v>-0.16892765770256</v>
      </c>
      <c r="J164" s="8" t="n">
        <f aca="true">IF(D164="Bull",NORMINV(RAND(),Assumptions!$B$5,Assumptions!$B$6),NORMINV(RAND(),Assumptions!$B$8,Assumptions!$B$9))</f>
        <v>-0.120428580299694</v>
      </c>
      <c r="K164" s="8" t="n">
        <f aca="true">IF(E164="Bull",NORMINV(RAND(),Assumptions!$B$5,Assumptions!$B$6),NORMINV(RAND(),Assumptions!$B$8,Assumptions!$B$9))</f>
        <v>0.194970966095614</v>
      </c>
      <c r="L164" s="8" t="n">
        <f aca="true">IF(F164="Bull",NORMINV(RAND(),Assumptions!$B$5,Assumptions!$B$6),NORMINV(RAND(),Assumptions!$B$8,Assumptions!$B$9))</f>
        <v>0.246937417840403</v>
      </c>
      <c r="M164" s="8" t="n">
        <f aca="true">IF(G164="Bull",NORMINV(RAND(),Assumptions!$B$5,Assumptions!$B$6),NORMINV(RAND(),Assumptions!$B$8,Assumptions!$B$9))</f>
        <v>0.181189696515953</v>
      </c>
      <c r="N164" s="8" t="n">
        <f aca="true">NORMINV(RAND(),Assumptions!$B$14,Assumptions!$B$15)</f>
        <v>0.0271021327472904</v>
      </c>
      <c r="O164" s="8" t="n">
        <f aca="true">NORMINV(RAND(),Assumptions!$B$14,Assumptions!$B$15)</f>
        <v>0.115280359559208</v>
      </c>
      <c r="P164" s="8" t="n">
        <f aca="true">NORMINV(RAND(),Assumptions!$B$14,Assumptions!$B$15)</f>
        <v>0.0538562288449825</v>
      </c>
      <c r="Q164" s="8" t="n">
        <f aca="true">NORMINV(RAND(),Assumptions!$B$14,Assumptions!$B$15)</f>
        <v>0.0488121918042553</v>
      </c>
      <c r="R164" s="8" t="n">
        <f aca="true">NORMINV(RAND(),Assumptions!$B$14,Assumptions!$B$15)</f>
        <v>0.0302457421193713</v>
      </c>
      <c r="S164" s="8" t="n">
        <f aca="true">NORMINV(RAND(),Assumptions!$B$14,Assumptions!$B$15)</f>
        <v>0.037245876156767</v>
      </c>
      <c r="T164" s="8" t="n">
        <f aca="false">Assumptions!$B$19*H164+(1-Assumptions!$B$19)*N164</f>
        <v>0.169443554168704</v>
      </c>
      <c r="U164" s="8" t="n">
        <f aca="false">Assumptions!$B$20*I164+(1-Assumptions!$B$20)*O164</f>
        <v>-0.16892765770256</v>
      </c>
      <c r="V164" s="8" t="n">
        <f aca="false">Assumptions!$B$21*J164+(1-Assumptions!$B$21)*P164</f>
        <v>-0.120428580299694</v>
      </c>
      <c r="W164" s="8" t="n">
        <f aca="false">Assumptions!$B$22*K164+(1-Assumptions!$B$22)*Q164</f>
        <v>0.194970966095614</v>
      </c>
      <c r="X164" s="8" t="n">
        <f aca="false">Assumptions!$B$23*L164+(1-Assumptions!$B$23)*R164</f>
        <v>0.203599082696197</v>
      </c>
      <c r="Y164" s="8" t="n">
        <f aca="false">Assumptions!$B$24*M164+(1-Assumptions!$B$24)*S164</f>
        <v>0.123612168372279</v>
      </c>
      <c r="Z164" s="6" t="n">
        <f aca="false">Assumptions!$B$27*(1+T164)</f>
        <v>350833.066250611</v>
      </c>
      <c r="AA164" s="6" t="n">
        <f aca="false">(Z164+Assumptions!$B$28)*(1+U164)</f>
        <v>416228.509468904</v>
      </c>
      <c r="AB164" s="6" t="n">
        <f aca="false">AA164*(1+V164)</f>
        <v>366102.700993307</v>
      </c>
      <c r="AC164" s="6" t="n">
        <f aca="false">AB164*(1+W164)</f>
        <v>437482.098296185</v>
      </c>
      <c r="AD164" s="6" t="n">
        <f aca="false">AC164*(1+X164)</f>
        <v>526553.052205296</v>
      </c>
      <c r="AE164" s="6" t="n">
        <f aca="false">AD164*(1+Y164)</f>
        <v>591641.416751434</v>
      </c>
      <c r="AF164" s="6" t="n">
        <f aca="false">Z164</f>
        <v>350833.066250611</v>
      </c>
      <c r="AG164" s="6" t="n">
        <f aca="false">MAX(AF164,AA164)</f>
        <v>416228.509468904</v>
      </c>
      <c r="AH164" s="6" t="n">
        <f aca="false">MAX(AG164,AB164)</f>
        <v>416228.509468904</v>
      </c>
      <c r="AI164" s="6" t="n">
        <f aca="false">MAX(AH164,AC164)</f>
        <v>437482.098296185</v>
      </c>
      <c r="AJ164" s="6" t="n">
        <f aca="false">MAX(AI164,AD164)</f>
        <v>526553.052205296</v>
      </c>
      <c r="AK164" s="6" t="n">
        <f aca="false">MAX(AJ164,AE164)</f>
        <v>591641.416751434</v>
      </c>
      <c r="AL164" s="8" t="n">
        <f aca="false">MIN(Z164/AF164-1,AA164/AG164-1,AB164/AH164-1,AC164/AI164-1,AD164/AJ164-1,AE164/AK164-1)</f>
        <v>-0.120428580299694</v>
      </c>
      <c r="AM164" s="6" t="n">
        <f aca="false">AE164-Assumptions!$B$35</f>
        <v>150377.420088931</v>
      </c>
    </row>
    <row r="165" customFormat="false" ht="15" hidden="false" customHeight="false" outlineLevel="0" collapsed="false">
      <c r="A165" s="0" t="n">
        <f aca="false">ROW()-1</f>
        <v>164</v>
      </c>
      <c r="B165" s="0" t="str">
        <f aca="true">IF(RAND()&lt;Assumptions!$B$11,"Bull","Bear")</f>
        <v>Bear</v>
      </c>
      <c r="C165" s="0" t="str">
        <f aca="true">IF(B165="Bull",IF(RAND()&lt;Assumptions!$B$7,"Bull","Bear"),IF(RAND()&lt;Assumptions!$B$10,"Bear","Bull"))</f>
        <v>Bull</v>
      </c>
      <c r="D165" s="0" t="str">
        <f aca="true">IF(C165="Bull",IF(RAND()&lt;Assumptions!$B$7,"Bull","Bear"),IF(RAND()&lt;Assumptions!$B$10,"Bear","Bull"))</f>
        <v>Bull</v>
      </c>
      <c r="E165" s="0" t="str">
        <f aca="true">IF(D165="Bull",IF(RAND()&lt;Assumptions!$B$7,"Bull","Bear"),IF(RAND()&lt;Assumptions!$B$10,"Bear","Bull"))</f>
        <v>Bull</v>
      </c>
      <c r="F165" s="0" t="str">
        <f aca="true">IF(E165="Bull",IF(RAND()&lt;Assumptions!$B$7,"Bull","Bear"),IF(RAND()&lt;Assumptions!$B$10,"Bear","Bull"))</f>
        <v>Bull</v>
      </c>
      <c r="G165" s="0" t="str">
        <f aca="true">IF(F165="Bull",IF(RAND()&lt;Assumptions!$B$7,"Bull","Bear"),IF(RAND()&lt;Assumptions!$B$10,"Bear","Bull"))</f>
        <v>Bull</v>
      </c>
      <c r="H165" s="8" t="n">
        <f aca="true">IF(B165="Bull",NORMINV(RAND(),Assumptions!$B$5,Assumptions!$B$6),NORMINV(RAND(),Assumptions!$B$8,Assumptions!$B$9))</f>
        <v>0.00275760489998773</v>
      </c>
      <c r="I165" s="8" t="n">
        <f aca="true">IF(C165="Bull",NORMINV(RAND(),Assumptions!$B$5,Assumptions!$B$6),NORMINV(RAND(),Assumptions!$B$8,Assumptions!$B$9))</f>
        <v>0.261700124375849</v>
      </c>
      <c r="J165" s="8" t="n">
        <f aca="true">IF(D165="Bull",NORMINV(RAND(),Assumptions!$B$5,Assumptions!$B$6),NORMINV(RAND(),Assumptions!$B$8,Assumptions!$B$9))</f>
        <v>0.20962002163665</v>
      </c>
      <c r="K165" s="8" t="n">
        <f aca="true">IF(E165="Bull",NORMINV(RAND(),Assumptions!$B$5,Assumptions!$B$6),NORMINV(RAND(),Assumptions!$B$8,Assumptions!$B$9))</f>
        <v>0.124683542302773</v>
      </c>
      <c r="L165" s="8" t="n">
        <f aca="true">IF(F165="Bull",NORMINV(RAND(),Assumptions!$B$5,Assumptions!$B$6),NORMINV(RAND(),Assumptions!$B$8,Assumptions!$B$9))</f>
        <v>0.0683106836027966</v>
      </c>
      <c r="M165" s="8" t="n">
        <f aca="true">IF(G165="Bull",NORMINV(RAND(),Assumptions!$B$5,Assumptions!$B$6),NORMINV(RAND(),Assumptions!$B$8,Assumptions!$B$9))</f>
        <v>0.226790603243971</v>
      </c>
      <c r="N165" s="8" t="n">
        <f aca="true">NORMINV(RAND(),Assumptions!$B$14,Assumptions!$B$15)</f>
        <v>0.0695179789802707</v>
      </c>
      <c r="O165" s="8" t="n">
        <f aca="true">NORMINV(RAND(),Assumptions!$B$14,Assumptions!$B$15)</f>
        <v>0.0394183282435096</v>
      </c>
      <c r="P165" s="8" t="n">
        <f aca="true">NORMINV(RAND(),Assumptions!$B$14,Assumptions!$B$15)</f>
        <v>0.0762526757539994</v>
      </c>
      <c r="Q165" s="8" t="n">
        <f aca="true">NORMINV(RAND(),Assumptions!$B$14,Assumptions!$B$15)</f>
        <v>0.0284894918449506</v>
      </c>
      <c r="R165" s="8" t="n">
        <f aca="true">NORMINV(RAND(),Assumptions!$B$14,Assumptions!$B$15)</f>
        <v>0.0835881830218562</v>
      </c>
      <c r="S165" s="8" t="n">
        <f aca="true">NORMINV(RAND(),Assumptions!$B$14,Assumptions!$B$15)</f>
        <v>0.0540692783191754</v>
      </c>
      <c r="T165" s="8" t="n">
        <f aca="false">Assumptions!$B$19*H165+(1-Assumptions!$B$19)*N165</f>
        <v>0.00275760489998773</v>
      </c>
      <c r="U165" s="8" t="n">
        <f aca="false">Assumptions!$B$20*I165+(1-Assumptions!$B$20)*O165</f>
        <v>0.261700124375849</v>
      </c>
      <c r="V165" s="8" t="n">
        <f aca="false">Assumptions!$B$21*J165+(1-Assumptions!$B$21)*P165</f>
        <v>0.20962002163665</v>
      </c>
      <c r="W165" s="8" t="n">
        <f aca="false">Assumptions!$B$22*K165+(1-Assumptions!$B$22)*Q165</f>
        <v>0.124683542302773</v>
      </c>
      <c r="X165" s="8" t="n">
        <f aca="false">Assumptions!$B$23*L165+(1-Assumptions!$B$23)*R165</f>
        <v>0.0713661834866085</v>
      </c>
      <c r="Y165" s="8" t="n">
        <f aca="false">Assumptions!$B$24*M165+(1-Assumptions!$B$24)*S165</f>
        <v>0.157702073274053</v>
      </c>
      <c r="Z165" s="6" t="n">
        <f aca="false">Assumptions!$B$27*(1+T165)</f>
        <v>300827.281469996</v>
      </c>
      <c r="AA165" s="6" t="n">
        <f aca="false">(Z165+Assumptions!$B$28)*(1+U165)</f>
        <v>568808.83710272</v>
      </c>
      <c r="AB165" s="6" t="n">
        <f aca="false">AA165*(1+V165)</f>
        <v>688042.55784331</v>
      </c>
      <c r="AC165" s="6" t="n">
        <f aca="false">AB165*(1+W165)</f>
        <v>773830.141210275</v>
      </c>
      <c r="AD165" s="6" t="n">
        <f aca="false">AC165*(1+X165)</f>
        <v>829055.445055355</v>
      </c>
      <c r="AE165" s="6" t="n">
        <f aca="false">AD165*(1+Y165)</f>
        <v>959799.207599727</v>
      </c>
      <c r="AF165" s="6" t="n">
        <f aca="false">Z165</f>
        <v>300827.281469996</v>
      </c>
      <c r="AG165" s="6" t="n">
        <f aca="false">MAX(AF165,AA165)</f>
        <v>568808.83710272</v>
      </c>
      <c r="AH165" s="6" t="n">
        <f aca="false">MAX(AG165,AB165)</f>
        <v>688042.55784331</v>
      </c>
      <c r="AI165" s="6" t="n">
        <f aca="false">MAX(AH165,AC165)</f>
        <v>773830.141210275</v>
      </c>
      <c r="AJ165" s="6" t="n">
        <f aca="false">MAX(AI165,AD165)</f>
        <v>829055.445055355</v>
      </c>
      <c r="AK165" s="6" t="n">
        <f aca="false">MAX(AJ165,AE165)</f>
        <v>959799.207599727</v>
      </c>
      <c r="AL165" s="8" t="n">
        <f aca="false">MIN(Z165/AF165-1,AA165/AG165-1,AB165/AH165-1,AC165/AI165-1,AD165/AJ165-1,AE165/AK165-1)</f>
        <v>0</v>
      </c>
      <c r="AM165" s="6" t="n">
        <f aca="false">AE165-Assumptions!$B$35</f>
        <v>518535.210937224</v>
      </c>
    </row>
    <row r="166" customFormat="false" ht="15" hidden="false" customHeight="false" outlineLevel="0" collapsed="false">
      <c r="A166" s="0" t="n">
        <f aca="false">ROW()-1</f>
        <v>165</v>
      </c>
      <c r="B166" s="0" t="str">
        <f aca="true">IF(RAND()&lt;Assumptions!$B$11,"Bull","Bear")</f>
        <v>Bear</v>
      </c>
      <c r="C166" s="0" t="str">
        <f aca="true">IF(B166="Bull",IF(RAND()&lt;Assumptions!$B$7,"Bull","Bear"),IF(RAND()&lt;Assumptions!$B$10,"Bear","Bull"))</f>
        <v>Bear</v>
      </c>
      <c r="D166" s="0" t="str">
        <f aca="true">IF(C166="Bull",IF(RAND()&lt;Assumptions!$B$7,"Bull","Bear"),IF(RAND()&lt;Assumptions!$B$10,"Bear","Bull"))</f>
        <v>Bear</v>
      </c>
      <c r="E166" s="0" t="str">
        <f aca="true">IF(D166="Bull",IF(RAND()&lt;Assumptions!$B$7,"Bull","Bear"),IF(RAND()&lt;Assumptions!$B$10,"Bear","Bull"))</f>
        <v>Bull</v>
      </c>
      <c r="F166" s="0" t="str">
        <f aca="true">IF(E166="Bull",IF(RAND()&lt;Assumptions!$B$7,"Bull","Bear"),IF(RAND()&lt;Assumptions!$B$10,"Bear","Bull"))</f>
        <v>Bull</v>
      </c>
      <c r="G166" s="0" t="str">
        <f aca="true">IF(F166="Bull",IF(RAND()&lt;Assumptions!$B$7,"Bull","Bear"),IF(RAND()&lt;Assumptions!$B$10,"Bear","Bull"))</f>
        <v>Bear</v>
      </c>
      <c r="H166" s="8" t="n">
        <f aca="true">IF(B166="Bull",NORMINV(RAND(),Assumptions!$B$5,Assumptions!$B$6),NORMINV(RAND(),Assumptions!$B$8,Assumptions!$B$9))</f>
        <v>0.020835363707595</v>
      </c>
      <c r="I166" s="8" t="n">
        <f aca="true">IF(C166="Bull",NORMINV(RAND(),Assumptions!$B$5,Assumptions!$B$6),NORMINV(RAND(),Assumptions!$B$8,Assumptions!$B$9))</f>
        <v>-0.109523916262509</v>
      </c>
      <c r="J166" s="8" t="n">
        <f aca="true">IF(D166="Bull",NORMINV(RAND(),Assumptions!$B$5,Assumptions!$B$6),NORMINV(RAND(),Assumptions!$B$8,Assumptions!$B$9))</f>
        <v>-0.285315868789365</v>
      </c>
      <c r="K166" s="8" t="n">
        <f aca="true">IF(E166="Bull",NORMINV(RAND(),Assumptions!$B$5,Assumptions!$B$6),NORMINV(RAND(),Assumptions!$B$8,Assumptions!$B$9))</f>
        <v>0.117145243555269</v>
      </c>
      <c r="L166" s="8" t="n">
        <f aca="true">IF(F166="Bull",NORMINV(RAND(),Assumptions!$B$5,Assumptions!$B$6),NORMINV(RAND(),Assumptions!$B$8,Assumptions!$B$9))</f>
        <v>0.0763488938687566</v>
      </c>
      <c r="M166" s="8" t="n">
        <f aca="true">IF(G166="Bull",NORMINV(RAND(),Assumptions!$B$5,Assumptions!$B$6),NORMINV(RAND(),Assumptions!$B$8,Assumptions!$B$9))</f>
        <v>0.279035896935692</v>
      </c>
      <c r="N166" s="8" t="n">
        <f aca="true">NORMINV(RAND(),Assumptions!$B$14,Assumptions!$B$15)</f>
        <v>0.0466639833580312</v>
      </c>
      <c r="O166" s="8" t="n">
        <f aca="true">NORMINV(RAND(),Assumptions!$B$14,Assumptions!$B$15)</f>
        <v>0.0565384037791533</v>
      </c>
      <c r="P166" s="8" t="n">
        <f aca="true">NORMINV(RAND(),Assumptions!$B$14,Assumptions!$B$15)</f>
        <v>0.0325784674274488</v>
      </c>
      <c r="Q166" s="8" t="n">
        <f aca="true">NORMINV(RAND(),Assumptions!$B$14,Assumptions!$B$15)</f>
        <v>0.0713620437926415</v>
      </c>
      <c r="R166" s="8" t="n">
        <f aca="true">NORMINV(RAND(),Assumptions!$B$14,Assumptions!$B$15)</f>
        <v>0.104401302973994</v>
      </c>
      <c r="S166" s="8" t="n">
        <f aca="true">NORMINV(RAND(),Assumptions!$B$14,Assumptions!$B$15)</f>
        <v>0.0410737676731236</v>
      </c>
      <c r="T166" s="8" t="n">
        <f aca="false">Assumptions!$B$19*H166+(1-Assumptions!$B$19)*N166</f>
        <v>0.020835363707595</v>
      </c>
      <c r="U166" s="8" t="n">
        <f aca="false">Assumptions!$B$20*I166+(1-Assumptions!$B$20)*O166</f>
        <v>-0.109523916262509</v>
      </c>
      <c r="V166" s="8" t="n">
        <f aca="false">Assumptions!$B$21*J166+(1-Assumptions!$B$21)*P166</f>
        <v>-0.285315868789365</v>
      </c>
      <c r="W166" s="8" t="n">
        <f aca="false">Assumptions!$B$22*K166+(1-Assumptions!$B$22)*Q166</f>
        <v>0.117145243555269</v>
      </c>
      <c r="X166" s="8" t="n">
        <f aca="false">Assumptions!$B$23*L166+(1-Assumptions!$B$23)*R166</f>
        <v>0.081959375689804</v>
      </c>
      <c r="Y166" s="8" t="n">
        <f aca="false">Assumptions!$B$24*M166+(1-Assumptions!$B$24)*S166</f>
        <v>0.183851045230665</v>
      </c>
      <c r="Z166" s="6" t="n">
        <f aca="false">Assumptions!$B$27*(1+T166)</f>
        <v>306250.609112279</v>
      </c>
      <c r="AA166" s="6" t="n">
        <f aca="false">(Z166+Assumptions!$B$28)*(1+U166)</f>
        <v>406280.255605147</v>
      </c>
      <c r="AB166" s="6" t="n">
        <f aca="false">AA166*(1+V166)</f>
        <v>290362.051505199</v>
      </c>
      <c r="AC166" s="6" t="n">
        <f aca="false">AB166*(1+W166)</f>
        <v>324376.584747983</v>
      </c>
      <c r="AD166" s="6" t="n">
        <f aca="false">AC166*(1+X166)</f>
        <v>350962.287122319</v>
      </c>
      <c r="AE166" s="6" t="n">
        <f aca="false">AD166*(1+Y166)</f>
        <v>415487.070446302</v>
      </c>
      <c r="AF166" s="6" t="n">
        <f aca="false">Z166</f>
        <v>306250.609112279</v>
      </c>
      <c r="AG166" s="6" t="n">
        <f aca="false">MAX(AF166,AA166)</f>
        <v>406280.255605147</v>
      </c>
      <c r="AH166" s="6" t="n">
        <f aca="false">MAX(AG166,AB166)</f>
        <v>406280.255605147</v>
      </c>
      <c r="AI166" s="6" t="n">
        <f aca="false">MAX(AH166,AC166)</f>
        <v>406280.255605147</v>
      </c>
      <c r="AJ166" s="6" t="n">
        <f aca="false">MAX(AI166,AD166)</f>
        <v>406280.255605147</v>
      </c>
      <c r="AK166" s="6" t="n">
        <f aca="false">MAX(AJ166,AE166)</f>
        <v>415487.070446302</v>
      </c>
      <c r="AL166" s="8" t="n">
        <f aca="false">MIN(Z166/AF166-1,AA166/AG166-1,AB166/AH166-1,AC166/AI166-1,AD166/AJ166-1,AE166/AK166-1)</f>
        <v>-0.285315868789365</v>
      </c>
      <c r="AM166" s="6" t="n">
        <f aca="false">AE166-Assumptions!$B$35</f>
        <v>-25776.926216202</v>
      </c>
    </row>
    <row r="167" customFormat="false" ht="15" hidden="false" customHeight="false" outlineLevel="0" collapsed="false">
      <c r="A167" s="0" t="n">
        <f aca="false">ROW()-1</f>
        <v>166</v>
      </c>
      <c r="B167" s="0" t="str">
        <f aca="true">IF(RAND()&lt;Assumptions!$B$11,"Bull","Bear")</f>
        <v>Bull</v>
      </c>
      <c r="C167" s="0" t="str">
        <f aca="true">IF(B167="Bull",IF(RAND()&lt;Assumptions!$B$7,"Bull","Bear"),IF(RAND()&lt;Assumptions!$B$10,"Bear","Bull"))</f>
        <v>Bull</v>
      </c>
      <c r="D167" s="0" t="str">
        <f aca="true">IF(C167="Bull",IF(RAND()&lt;Assumptions!$B$7,"Bull","Bear"),IF(RAND()&lt;Assumptions!$B$10,"Bear","Bull"))</f>
        <v>Bull</v>
      </c>
      <c r="E167" s="0" t="str">
        <f aca="true">IF(D167="Bull",IF(RAND()&lt;Assumptions!$B$7,"Bull","Bear"),IF(RAND()&lt;Assumptions!$B$10,"Bear","Bull"))</f>
        <v>Bull</v>
      </c>
      <c r="F167" s="0" t="str">
        <f aca="true">IF(E167="Bull",IF(RAND()&lt;Assumptions!$B$7,"Bull","Bear"),IF(RAND()&lt;Assumptions!$B$10,"Bear","Bull"))</f>
        <v>Bear</v>
      </c>
      <c r="G167" s="0" t="str">
        <f aca="true">IF(F167="Bull",IF(RAND()&lt;Assumptions!$B$7,"Bull","Bear"),IF(RAND()&lt;Assumptions!$B$10,"Bear","Bull"))</f>
        <v>Bull</v>
      </c>
      <c r="H167" s="8" t="n">
        <f aca="true">IF(B167="Bull",NORMINV(RAND(),Assumptions!$B$5,Assumptions!$B$6),NORMINV(RAND(),Assumptions!$B$8,Assumptions!$B$9))</f>
        <v>0.230057104252214</v>
      </c>
      <c r="I167" s="8" t="n">
        <f aca="true">IF(C167="Bull",NORMINV(RAND(),Assumptions!$B$5,Assumptions!$B$6),NORMINV(RAND(),Assumptions!$B$8,Assumptions!$B$9))</f>
        <v>0.21495850612235</v>
      </c>
      <c r="J167" s="8" t="n">
        <f aca="true">IF(D167="Bull",NORMINV(RAND(),Assumptions!$B$5,Assumptions!$B$6),NORMINV(RAND(),Assumptions!$B$8,Assumptions!$B$9))</f>
        <v>0.170227000142557</v>
      </c>
      <c r="K167" s="8" t="n">
        <f aca="true">IF(E167="Bull",NORMINV(RAND(),Assumptions!$B$5,Assumptions!$B$6),NORMINV(RAND(),Assumptions!$B$8,Assumptions!$B$9))</f>
        <v>0.223108108047516</v>
      </c>
      <c r="L167" s="8" t="n">
        <f aca="true">IF(F167="Bull",NORMINV(RAND(),Assumptions!$B$5,Assumptions!$B$6),NORMINV(RAND(),Assumptions!$B$8,Assumptions!$B$9))</f>
        <v>-0.186276895479756</v>
      </c>
      <c r="M167" s="8" t="n">
        <f aca="true">IF(G167="Bull",NORMINV(RAND(),Assumptions!$B$5,Assumptions!$B$6),NORMINV(RAND(),Assumptions!$B$8,Assumptions!$B$9))</f>
        <v>0.226302281409953</v>
      </c>
      <c r="N167" s="8" t="n">
        <f aca="true">NORMINV(RAND(),Assumptions!$B$14,Assumptions!$B$15)</f>
        <v>0.0368218391368418</v>
      </c>
      <c r="O167" s="8" t="n">
        <f aca="true">NORMINV(RAND(),Assumptions!$B$14,Assumptions!$B$15)</f>
        <v>0.0115514613961563</v>
      </c>
      <c r="P167" s="8" t="n">
        <f aca="true">NORMINV(RAND(),Assumptions!$B$14,Assumptions!$B$15)</f>
        <v>0.0605873624177938</v>
      </c>
      <c r="Q167" s="8" t="n">
        <f aca="true">NORMINV(RAND(),Assumptions!$B$14,Assumptions!$B$15)</f>
        <v>0.0462191633282268</v>
      </c>
      <c r="R167" s="8" t="n">
        <f aca="true">NORMINV(RAND(),Assumptions!$B$14,Assumptions!$B$15)</f>
        <v>0.0925813929100068</v>
      </c>
      <c r="S167" s="8" t="n">
        <f aca="true">NORMINV(RAND(),Assumptions!$B$14,Assumptions!$B$15)</f>
        <v>0.0199806300593144</v>
      </c>
      <c r="T167" s="8" t="n">
        <f aca="false">Assumptions!$B$19*H167+(1-Assumptions!$B$19)*N167</f>
        <v>0.230057104252214</v>
      </c>
      <c r="U167" s="8" t="n">
        <f aca="false">Assumptions!$B$20*I167+(1-Assumptions!$B$20)*O167</f>
        <v>0.21495850612235</v>
      </c>
      <c r="V167" s="8" t="n">
        <f aca="false">Assumptions!$B$21*J167+(1-Assumptions!$B$21)*P167</f>
        <v>0.170227000142557</v>
      </c>
      <c r="W167" s="8" t="n">
        <f aca="false">Assumptions!$B$22*K167+(1-Assumptions!$B$22)*Q167</f>
        <v>0.223108108047516</v>
      </c>
      <c r="X167" s="8" t="n">
        <f aca="false">Assumptions!$B$23*L167+(1-Assumptions!$B$23)*R167</f>
        <v>-0.130505237801803</v>
      </c>
      <c r="Y167" s="8" t="n">
        <f aca="false">Assumptions!$B$24*M167+(1-Assumptions!$B$24)*S167</f>
        <v>0.143773620869697</v>
      </c>
      <c r="Z167" s="6" t="n">
        <f aca="false">Assumptions!$B$27*(1+T167)</f>
        <v>369017.131275664</v>
      </c>
      <c r="AA167" s="6" t="n">
        <f aca="false">(Z167+Assumptions!$B$28)*(1+U167)</f>
        <v>630584.278466588</v>
      </c>
      <c r="AB167" s="6" t="n">
        <f aca="false">AA167*(1+V167)</f>
        <v>737926.748527015</v>
      </c>
      <c r="AC167" s="6" t="n">
        <f aca="false">AB167*(1+W167)</f>
        <v>902564.189268532</v>
      </c>
      <c r="AD167" s="6" t="n">
        <f aca="false">AC167*(1+X167)</f>
        <v>784774.83511665</v>
      </c>
      <c r="AE167" s="6" t="n">
        <f aca="false">AD167*(1+Y167)</f>
        <v>897604.754728791</v>
      </c>
      <c r="AF167" s="6" t="n">
        <f aca="false">Z167</f>
        <v>369017.131275664</v>
      </c>
      <c r="AG167" s="6" t="n">
        <f aca="false">MAX(AF167,AA167)</f>
        <v>630584.278466588</v>
      </c>
      <c r="AH167" s="6" t="n">
        <f aca="false">MAX(AG167,AB167)</f>
        <v>737926.748527015</v>
      </c>
      <c r="AI167" s="6" t="n">
        <f aca="false">MAX(AH167,AC167)</f>
        <v>902564.189268532</v>
      </c>
      <c r="AJ167" s="6" t="n">
        <f aca="false">MAX(AI167,AD167)</f>
        <v>902564.189268532</v>
      </c>
      <c r="AK167" s="6" t="n">
        <f aca="false">MAX(AJ167,AE167)</f>
        <v>902564.189268532</v>
      </c>
      <c r="AL167" s="8" t="n">
        <f aca="false">MIN(Z167/AF167-1,AA167/AG167-1,AB167/AH167-1,AC167/AI167-1,AD167/AJ167-1,AE167/AK167-1)</f>
        <v>-0.130505237801803</v>
      </c>
      <c r="AM167" s="6" t="n">
        <f aca="false">AE167-Assumptions!$B$35</f>
        <v>456340.758066287</v>
      </c>
    </row>
    <row r="168" customFormat="false" ht="15" hidden="false" customHeight="false" outlineLevel="0" collapsed="false">
      <c r="A168" s="0" t="n">
        <f aca="false">ROW()-1</f>
        <v>167</v>
      </c>
      <c r="B168" s="0" t="str">
        <f aca="true">IF(RAND()&lt;Assumptions!$B$11,"Bull","Bear")</f>
        <v>Bear</v>
      </c>
      <c r="C168" s="0" t="str">
        <f aca="true">IF(B168="Bull",IF(RAND()&lt;Assumptions!$B$7,"Bull","Bear"),IF(RAND()&lt;Assumptions!$B$10,"Bear","Bull"))</f>
        <v>Bull</v>
      </c>
      <c r="D168" s="0" t="str">
        <f aca="true">IF(C168="Bull",IF(RAND()&lt;Assumptions!$B$7,"Bull","Bear"),IF(RAND()&lt;Assumptions!$B$10,"Bear","Bull"))</f>
        <v>Bull</v>
      </c>
      <c r="E168" s="0" t="str">
        <f aca="true">IF(D168="Bull",IF(RAND()&lt;Assumptions!$B$7,"Bull","Bear"),IF(RAND()&lt;Assumptions!$B$10,"Bear","Bull"))</f>
        <v>Bull</v>
      </c>
      <c r="F168" s="0" t="str">
        <f aca="true">IF(E168="Bull",IF(RAND()&lt;Assumptions!$B$7,"Bull","Bear"),IF(RAND()&lt;Assumptions!$B$10,"Bear","Bull"))</f>
        <v>Bear</v>
      </c>
      <c r="G168" s="0" t="str">
        <f aca="true">IF(F168="Bull",IF(RAND()&lt;Assumptions!$B$7,"Bull","Bear"),IF(RAND()&lt;Assumptions!$B$10,"Bear","Bull"))</f>
        <v>Bull</v>
      </c>
      <c r="H168" s="8" t="n">
        <f aca="true">IF(B168="Bull",NORMINV(RAND(),Assumptions!$B$5,Assumptions!$B$6),NORMINV(RAND(),Assumptions!$B$8,Assumptions!$B$9))</f>
        <v>-0.550650617755974</v>
      </c>
      <c r="I168" s="8" t="n">
        <f aca="true">IF(C168="Bull",NORMINV(RAND(),Assumptions!$B$5,Assumptions!$B$6),NORMINV(RAND(),Assumptions!$B$8,Assumptions!$B$9))</f>
        <v>0.0104230817707913</v>
      </c>
      <c r="J168" s="8" t="n">
        <f aca="true">IF(D168="Bull",NORMINV(RAND(),Assumptions!$B$5,Assumptions!$B$6),NORMINV(RAND(),Assumptions!$B$8,Assumptions!$B$9))</f>
        <v>0.17719858202427</v>
      </c>
      <c r="K168" s="8" t="n">
        <f aca="true">IF(E168="Bull",NORMINV(RAND(),Assumptions!$B$5,Assumptions!$B$6),NORMINV(RAND(),Assumptions!$B$8,Assumptions!$B$9))</f>
        <v>0.0785907848220605</v>
      </c>
      <c r="L168" s="8" t="n">
        <f aca="true">IF(F168="Bull",NORMINV(RAND(),Assumptions!$B$5,Assumptions!$B$6),NORMINV(RAND(),Assumptions!$B$8,Assumptions!$B$9))</f>
        <v>-0.344764117221698</v>
      </c>
      <c r="M168" s="8" t="n">
        <f aca="true">IF(G168="Bull",NORMINV(RAND(),Assumptions!$B$5,Assumptions!$B$6),NORMINV(RAND(),Assumptions!$B$8,Assumptions!$B$9))</f>
        <v>0.115601577823549</v>
      </c>
      <c r="N168" s="8" t="n">
        <f aca="true">NORMINV(RAND(),Assumptions!$B$14,Assumptions!$B$15)</f>
        <v>0.00495630034851591</v>
      </c>
      <c r="O168" s="8" t="n">
        <f aca="true">NORMINV(RAND(),Assumptions!$B$14,Assumptions!$B$15)</f>
        <v>0.0258694598904732</v>
      </c>
      <c r="P168" s="8" t="n">
        <f aca="true">NORMINV(RAND(),Assumptions!$B$14,Assumptions!$B$15)</f>
        <v>0.0301402580629776</v>
      </c>
      <c r="Q168" s="8" t="n">
        <f aca="true">NORMINV(RAND(),Assumptions!$B$14,Assumptions!$B$15)</f>
        <v>0.0867814639109558</v>
      </c>
      <c r="R168" s="8" t="n">
        <f aca="true">NORMINV(RAND(),Assumptions!$B$14,Assumptions!$B$15)</f>
        <v>-0.0244774525402802</v>
      </c>
      <c r="S168" s="8" t="n">
        <f aca="true">NORMINV(RAND(),Assumptions!$B$14,Assumptions!$B$15)</f>
        <v>0.0645247393362933</v>
      </c>
      <c r="T168" s="8" t="n">
        <f aca="false">Assumptions!$B$19*H168+(1-Assumptions!$B$19)*N168</f>
        <v>-0.550650617755974</v>
      </c>
      <c r="U168" s="8" t="n">
        <f aca="false">Assumptions!$B$20*I168+(1-Assumptions!$B$20)*O168</f>
        <v>0.0104230817707913</v>
      </c>
      <c r="V168" s="8" t="n">
        <f aca="false">Assumptions!$B$21*J168+(1-Assumptions!$B$21)*P168</f>
        <v>0.17719858202427</v>
      </c>
      <c r="W168" s="8" t="n">
        <f aca="false">Assumptions!$B$22*K168+(1-Assumptions!$B$22)*Q168</f>
        <v>0.0785907848220605</v>
      </c>
      <c r="X168" s="8" t="n">
        <f aca="false">Assumptions!$B$23*L168+(1-Assumptions!$B$23)*R168</f>
        <v>-0.280706784285415</v>
      </c>
      <c r="Y168" s="8" t="n">
        <f aca="false">Assumptions!$B$24*M168+(1-Assumptions!$B$24)*S168</f>
        <v>0.0951708424286468</v>
      </c>
      <c r="Z168" s="6" t="n">
        <f aca="false">Assumptions!$B$27*(1+T168)</f>
        <v>134804.814673208</v>
      </c>
      <c r="AA168" s="6" t="n">
        <f aca="false">(Z168+Assumptions!$B$28)*(1+U168)</f>
        <v>287773.358545262</v>
      </c>
      <c r="AB168" s="6" t="n">
        <f aca="false">AA168*(1+V168)</f>
        <v>338766.389623844</v>
      </c>
      <c r="AC168" s="6" t="n">
        <f aca="false">AB168*(1+W168)</f>
        <v>365390.306055718</v>
      </c>
      <c r="AD168" s="6" t="n">
        <f aca="false">AC168*(1+X168)</f>
        <v>262822.768233754</v>
      </c>
      <c r="AE168" s="6" t="n">
        <f aca="false">AD168*(1+Y168)</f>
        <v>287835.832495989</v>
      </c>
      <c r="AF168" s="6" t="n">
        <f aca="false">Z168</f>
        <v>134804.814673208</v>
      </c>
      <c r="AG168" s="6" t="n">
        <f aca="false">MAX(AF168,AA168)</f>
        <v>287773.358545262</v>
      </c>
      <c r="AH168" s="6" t="n">
        <f aca="false">MAX(AG168,AB168)</f>
        <v>338766.389623844</v>
      </c>
      <c r="AI168" s="6" t="n">
        <f aca="false">MAX(AH168,AC168)</f>
        <v>365390.306055718</v>
      </c>
      <c r="AJ168" s="6" t="n">
        <f aca="false">MAX(AI168,AD168)</f>
        <v>365390.306055718</v>
      </c>
      <c r="AK168" s="6" t="n">
        <f aca="false">MAX(AJ168,AE168)</f>
        <v>365390.306055718</v>
      </c>
      <c r="AL168" s="8" t="n">
        <f aca="false">MIN(Z168/AF168-1,AA168/AG168-1,AB168/AH168-1,AC168/AI168-1,AD168/AJ168-1,AE168/AK168-1)</f>
        <v>-0.280706784285414</v>
      </c>
      <c r="AM168" s="6" t="n">
        <f aca="false">AE168-Assumptions!$B$35</f>
        <v>-153428.164166514</v>
      </c>
    </row>
    <row r="169" customFormat="false" ht="15" hidden="false" customHeight="false" outlineLevel="0" collapsed="false">
      <c r="A169" s="0" t="n">
        <f aca="false">ROW()-1</f>
        <v>168</v>
      </c>
      <c r="B169" s="0" t="str">
        <f aca="true">IF(RAND()&lt;Assumptions!$B$11,"Bull","Bear")</f>
        <v>Bear</v>
      </c>
      <c r="C169" s="0" t="str">
        <f aca="true">IF(B169="Bull",IF(RAND()&lt;Assumptions!$B$7,"Bull","Bear"),IF(RAND()&lt;Assumptions!$B$10,"Bear","Bull"))</f>
        <v>Bear</v>
      </c>
      <c r="D169" s="0" t="str">
        <f aca="true">IF(C169="Bull",IF(RAND()&lt;Assumptions!$B$7,"Bull","Bear"),IF(RAND()&lt;Assumptions!$B$10,"Bear","Bull"))</f>
        <v>Bear</v>
      </c>
      <c r="E169" s="0" t="str">
        <f aca="true">IF(D169="Bull",IF(RAND()&lt;Assumptions!$B$7,"Bull","Bear"),IF(RAND()&lt;Assumptions!$B$10,"Bear","Bull"))</f>
        <v>Bull</v>
      </c>
      <c r="F169" s="0" t="str">
        <f aca="true">IF(E169="Bull",IF(RAND()&lt;Assumptions!$B$7,"Bull","Bear"),IF(RAND()&lt;Assumptions!$B$10,"Bear","Bull"))</f>
        <v>Bear</v>
      </c>
      <c r="G169" s="0" t="str">
        <f aca="true">IF(F169="Bull",IF(RAND()&lt;Assumptions!$B$7,"Bull","Bear"),IF(RAND()&lt;Assumptions!$B$10,"Bear","Bull"))</f>
        <v>Bear</v>
      </c>
      <c r="H169" s="8" t="n">
        <f aca="true">IF(B169="Bull",NORMINV(RAND(),Assumptions!$B$5,Assumptions!$B$6),NORMINV(RAND(),Assumptions!$B$8,Assumptions!$B$9))</f>
        <v>-0.261830002438121</v>
      </c>
      <c r="I169" s="8" t="n">
        <f aca="true">IF(C169="Bull",NORMINV(RAND(),Assumptions!$B$5,Assumptions!$B$6),NORMINV(RAND(),Assumptions!$B$8,Assumptions!$B$9))</f>
        <v>-0.104419917601142</v>
      </c>
      <c r="J169" s="8" t="n">
        <f aca="true">IF(D169="Bull",NORMINV(RAND(),Assumptions!$B$5,Assumptions!$B$6),NORMINV(RAND(),Assumptions!$B$8,Assumptions!$B$9))</f>
        <v>-0.338040942201803</v>
      </c>
      <c r="K169" s="8" t="n">
        <f aca="true">IF(E169="Bull",NORMINV(RAND(),Assumptions!$B$5,Assumptions!$B$6),NORMINV(RAND(),Assumptions!$B$8,Assumptions!$B$9))</f>
        <v>0.0855613110444032</v>
      </c>
      <c r="L169" s="8" t="n">
        <f aca="true">IF(F169="Bull",NORMINV(RAND(),Assumptions!$B$5,Assumptions!$B$6),NORMINV(RAND(),Assumptions!$B$8,Assumptions!$B$9))</f>
        <v>0.20888371620297</v>
      </c>
      <c r="M169" s="8" t="n">
        <f aca="true">IF(G169="Bull",NORMINV(RAND(),Assumptions!$B$5,Assumptions!$B$6),NORMINV(RAND(),Assumptions!$B$8,Assumptions!$B$9))</f>
        <v>-0.118479773270912</v>
      </c>
      <c r="N169" s="8" t="n">
        <f aca="true">NORMINV(RAND(),Assumptions!$B$14,Assumptions!$B$15)</f>
        <v>0.0286537411858091</v>
      </c>
      <c r="O169" s="8" t="n">
        <f aca="true">NORMINV(RAND(),Assumptions!$B$14,Assumptions!$B$15)</f>
        <v>0.0365883628590547</v>
      </c>
      <c r="P169" s="8" t="n">
        <f aca="true">NORMINV(RAND(),Assumptions!$B$14,Assumptions!$B$15)</f>
        <v>0.0369581470909946</v>
      </c>
      <c r="Q169" s="8" t="n">
        <f aca="true">NORMINV(RAND(),Assumptions!$B$14,Assumptions!$B$15)</f>
        <v>0.0483561002763853</v>
      </c>
      <c r="R169" s="8" t="n">
        <f aca="true">NORMINV(RAND(),Assumptions!$B$14,Assumptions!$B$15)</f>
        <v>0.0480008743416848</v>
      </c>
      <c r="S169" s="8" t="n">
        <f aca="true">NORMINV(RAND(),Assumptions!$B$14,Assumptions!$B$15)</f>
        <v>0.0412354320587339</v>
      </c>
      <c r="T169" s="8" t="n">
        <f aca="false">Assumptions!$B$19*H169+(1-Assumptions!$B$19)*N169</f>
        <v>-0.261830002438121</v>
      </c>
      <c r="U169" s="8" t="n">
        <f aca="false">Assumptions!$B$20*I169+(1-Assumptions!$B$20)*O169</f>
        <v>-0.104419917601142</v>
      </c>
      <c r="V169" s="8" t="n">
        <f aca="false">Assumptions!$B$21*J169+(1-Assumptions!$B$21)*P169</f>
        <v>-0.338040942201803</v>
      </c>
      <c r="W169" s="8" t="n">
        <f aca="false">Assumptions!$B$22*K169+(1-Assumptions!$B$22)*Q169</f>
        <v>0.0855613110444032</v>
      </c>
      <c r="X169" s="8" t="n">
        <f aca="false">Assumptions!$B$23*L169+(1-Assumptions!$B$23)*R169</f>
        <v>0.176707147830713</v>
      </c>
      <c r="Y169" s="8" t="n">
        <f aca="false">Assumptions!$B$24*M169+(1-Assumptions!$B$24)*S169</f>
        <v>-0.0545936911390535</v>
      </c>
      <c r="Z169" s="6" t="n">
        <f aca="false">Assumptions!$B$27*(1+T169)</f>
        <v>221450.999268564</v>
      </c>
      <c r="AA169" s="6" t="n">
        <f aca="false">(Z169+Assumptions!$B$28)*(1+U169)</f>
        <v>332664.116532078</v>
      </c>
      <c r="AB169" s="6" t="n">
        <f aca="false">AA169*(1+V169)</f>
        <v>220210.025142844</v>
      </c>
      <c r="AC169" s="6" t="n">
        <f aca="false">AB169*(1+W169)</f>
        <v>239051.483599187</v>
      </c>
      <c r="AD169" s="6" t="n">
        <f aca="false">AC169*(1+X169)</f>
        <v>281293.5894507</v>
      </c>
      <c r="AE169" s="6" t="n">
        <f aca="false">AD169*(1+Y169)</f>
        <v>265936.734108832</v>
      </c>
      <c r="AF169" s="6" t="n">
        <f aca="false">Z169</f>
        <v>221450.999268564</v>
      </c>
      <c r="AG169" s="6" t="n">
        <f aca="false">MAX(AF169,AA169)</f>
        <v>332664.116532078</v>
      </c>
      <c r="AH169" s="6" t="n">
        <f aca="false">MAX(AG169,AB169)</f>
        <v>332664.116532078</v>
      </c>
      <c r="AI169" s="6" t="n">
        <f aca="false">MAX(AH169,AC169)</f>
        <v>332664.116532078</v>
      </c>
      <c r="AJ169" s="6" t="n">
        <f aca="false">MAX(AI169,AD169)</f>
        <v>332664.116532078</v>
      </c>
      <c r="AK169" s="6" t="n">
        <f aca="false">MAX(AJ169,AE169)</f>
        <v>332664.116532078</v>
      </c>
      <c r="AL169" s="8" t="n">
        <f aca="false">MIN(Z169/AF169-1,AA169/AG169-1,AB169/AH169-1,AC169/AI169-1,AD169/AJ169-1,AE169/AK169-1)</f>
        <v>-0.338040942201803</v>
      </c>
      <c r="AM169" s="6" t="n">
        <f aca="false">AE169-Assumptions!$B$35</f>
        <v>-175327.262553671</v>
      </c>
    </row>
    <row r="170" customFormat="false" ht="15" hidden="false" customHeight="false" outlineLevel="0" collapsed="false">
      <c r="A170" s="0" t="n">
        <f aca="false">ROW()-1</f>
        <v>169</v>
      </c>
      <c r="B170" s="0" t="str">
        <f aca="true">IF(RAND()&lt;Assumptions!$B$11,"Bull","Bear")</f>
        <v>Bear</v>
      </c>
      <c r="C170" s="0" t="str">
        <f aca="true">IF(B170="Bull",IF(RAND()&lt;Assumptions!$B$7,"Bull","Bear"),IF(RAND()&lt;Assumptions!$B$10,"Bear","Bull"))</f>
        <v>Bear</v>
      </c>
      <c r="D170" s="0" t="str">
        <f aca="true">IF(C170="Bull",IF(RAND()&lt;Assumptions!$B$7,"Bull","Bear"),IF(RAND()&lt;Assumptions!$B$10,"Bear","Bull"))</f>
        <v>Bull</v>
      </c>
      <c r="E170" s="0" t="str">
        <f aca="true">IF(D170="Bull",IF(RAND()&lt;Assumptions!$B$7,"Bull","Bear"),IF(RAND()&lt;Assumptions!$B$10,"Bear","Bull"))</f>
        <v>Bull</v>
      </c>
      <c r="F170" s="0" t="str">
        <f aca="true">IF(E170="Bull",IF(RAND()&lt;Assumptions!$B$7,"Bull","Bear"),IF(RAND()&lt;Assumptions!$B$10,"Bear","Bull"))</f>
        <v>Bull</v>
      </c>
      <c r="G170" s="0" t="str">
        <f aca="true">IF(F170="Bull",IF(RAND()&lt;Assumptions!$B$7,"Bull","Bear"),IF(RAND()&lt;Assumptions!$B$10,"Bear","Bull"))</f>
        <v>Bull</v>
      </c>
      <c r="H170" s="8" t="n">
        <f aca="true">IF(B170="Bull",NORMINV(RAND(),Assumptions!$B$5,Assumptions!$B$6),NORMINV(RAND(),Assumptions!$B$8,Assumptions!$B$9))</f>
        <v>0.273495955996135</v>
      </c>
      <c r="I170" s="8" t="n">
        <f aca="true">IF(C170="Bull",NORMINV(RAND(),Assumptions!$B$5,Assumptions!$B$6),NORMINV(RAND(),Assumptions!$B$8,Assumptions!$B$9))</f>
        <v>-0.122119020107691</v>
      </c>
      <c r="J170" s="8" t="n">
        <f aca="true">IF(D170="Bull",NORMINV(RAND(),Assumptions!$B$5,Assumptions!$B$6),NORMINV(RAND(),Assumptions!$B$8,Assumptions!$B$9))</f>
        <v>0.212173449646362</v>
      </c>
      <c r="K170" s="8" t="n">
        <f aca="true">IF(E170="Bull",NORMINV(RAND(),Assumptions!$B$5,Assumptions!$B$6),NORMINV(RAND(),Assumptions!$B$8,Assumptions!$B$9))</f>
        <v>0.180196922526503</v>
      </c>
      <c r="L170" s="8" t="n">
        <f aca="true">IF(F170="Bull",NORMINV(RAND(),Assumptions!$B$5,Assumptions!$B$6),NORMINV(RAND(),Assumptions!$B$8,Assumptions!$B$9))</f>
        <v>0.226723374268095</v>
      </c>
      <c r="M170" s="8" t="n">
        <f aca="true">IF(G170="Bull",NORMINV(RAND(),Assumptions!$B$5,Assumptions!$B$6),NORMINV(RAND(),Assumptions!$B$8,Assumptions!$B$9))</f>
        <v>0.313239792023247</v>
      </c>
      <c r="N170" s="8" t="n">
        <f aca="true">NORMINV(RAND(),Assumptions!$B$14,Assumptions!$B$15)</f>
        <v>0.0420781722943524</v>
      </c>
      <c r="O170" s="8" t="n">
        <f aca="true">NORMINV(RAND(),Assumptions!$B$14,Assumptions!$B$15)</f>
        <v>0.000729856444954304</v>
      </c>
      <c r="P170" s="8" t="n">
        <f aca="true">NORMINV(RAND(),Assumptions!$B$14,Assumptions!$B$15)</f>
        <v>0.0695395218424096</v>
      </c>
      <c r="Q170" s="8" t="n">
        <f aca="true">NORMINV(RAND(),Assumptions!$B$14,Assumptions!$B$15)</f>
        <v>0.0584388703546749</v>
      </c>
      <c r="R170" s="8" t="n">
        <f aca="true">NORMINV(RAND(),Assumptions!$B$14,Assumptions!$B$15)</f>
        <v>0.0761658333156551</v>
      </c>
      <c r="S170" s="8" t="n">
        <f aca="true">NORMINV(RAND(),Assumptions!$B$14,Assumptions!$B$15)</f>
        <v>0.0607104061321091</v>
      </c>
      <c r="T170" s="8" t="n">
        <f aca="false">Assumptions!$B$19*H170+(1-Assumptions!$B$19)*N170</f>
        <v>0.273495955996135</v>
      </c>
      <c r="U170" s="8" t="n">
        <f aca="false">Assumptions!$B$20*I170+(1-Assumptions!$B$20)*O170</f>
        <v>-0.122119020107691</v>
      </c>
      <c r="V170" s="8" t="n">
        <f aca="false">Assumptions!$B$21*J170+(1-Assumptions!$B$21)*P170</f>
        <v>0.212173449646362</v>
      </c>
      <c r="W170" s="8" t="n">
        <f aca="false">Assumptions!$B$22*K170+(1-Assumptions!$B$22)*Q170</f>
        <v>0.180196922526503</v>
      </c>
      <c r="X170" s="8" t="n">
        <f aca="false">Assumptions!$B$23*L170+(1-Assumptions!$B$23)*R170</f>
        <v>0.196611866077607</v>
      </c>
      <c r="Y170" s="8" t="n">
        <f aca="false">Assumptions!$B$24*M170+(1-Assumptions!$B$24)*S170</f>
        <v>0.212228037666792</v>
      </c>
      <c r="Z170" s="6" t="n">
        <f aca="false">Assumptions!$B$27*(1+T170)</f>
        <v>382048.786798841</v>
      </c>
      <c r="AA170" s="6" t="n">
        <f aca="false">(Z170+Assumptions!$B$28)*(1+U170)</f>
        <v>467075.510305481</v>
      </c>
      <c r="AB170" s="6" t="n">
        <f aca="false">AA170*(1+V170)</f>
        <v>566176.532572329</v>
      </c>
      <c r="AC170" s="6" t="n">
        <f aca="false">AB170*(1+W170)</f>
        <v>668199.80134859</v>
      </c>
      <c r="AD170" s="6" t="n">
        <f aca="false">AC170*(1+X170)</f>
        <v>799575.811204422</v>
      </c>
      <c r="AE170" s="6" t="n">
        <f aca="false">AD170*(1+Y170)</f>
        <v>969268.21658217</v>
      </c>
      <c r="AF170" s="6" t="n">
        <f aca="false">Z170</f>
        <v>382048.786798841</v>
      </c>
      <c r="AG170" s="6" t="n">
        <f aca="false">MAX(AF170,AA170)</f>
        <v>467075.510305481</v>
      </c>
      <c r="AH170" s="6" t="n">
        <f aca="false">MAX(AG170,AB170)</f>
        <v>566176.532572329</v>
      </c>
      <c r="AI170" s="6" t="n">
        <f aca="false">MAX(AH170,AC170)</f>
        <v>668199.80134859</v>
      </c>
      <c r="AJ170" s="6" t="n">
        <f aca="false">MAX(AI170,AD170)</f>
        <v>799575.811204422</v>
      </c>
      <c r="AK170" s="6" t="n">
        <f aca="false">MAX(AJ170,AE170)</f>
        <v>969268.21658217</v>
      </c>
      <c r="AL170" s="8" t="n">
        <f aca="false">MIN(Z170/AF170-1,AA170/AG170-1,AB170/AH170-1,AC170/AI170-1,AD170/AJ170-1,AE170/AK170-1)</f>
        <v>0</v>
      </c>
      <c r="AM170" s="6" t="n">
        <f aca="false">AE170-Assumptions!$B$35</f>
        <v>528004.219919666</v>
      </c>
    </row>
    <row r="171" customFormat="false" ht="15" hidden="false" customHeight="false" outlineLevel="0" collapsed="false">
      <c r="A171" s="0" t="n">
        <f aca="false">ROW()-1</f>
        <v>170</v>
      </c>
      <c r="B171" s="0" t="str">
        <f aca="true">IF(RAND()&lt;Assumptions!$B$11,"Bull","Bear")</f>
        <v>Bear</v>
      </c>
      <c r="C171" s="0" t="str">
        <f aca="true">IF(B171="Bull",IF(RAND()&lt;Assumptions!$B$7,"Bull","Bear"),IF(RAND()&lt;Assumptions!$B$10,"Bear","Bull"))</f>
        <v>Bear</v>
      </c>
      <c r="D171" s="0" t="str">
        <f aca="true">IF(C171="Bull",IF(RAND()&lt;Assumptions!$B$7,"Bull","Bear"),IF(RAND()&lt;Assumptions!$B$10,"Bear","Bull"))</f>
        <v>Bull</v>
      </c>
      <c r="E171" s="0" t="str">
        <f aca="true">IF(D171="Bull",IF(RAND()&lt;Assumptions!$B$7,"Bull","Bear"),IF(RAND()&lt;Assumptions!$B$10,"Bear","Bull"))</f>
        <v>Bull</v>
      </c>
      <c r="F171" s="0" t="str">
        <f aca="true">IF(E171="Bull",IF(RAND()&lt;Assumptions!$B$7,"Bull","Bear"),IF(RAND()&lt;Assumptions!$B$10,"Bear","Bull"))</f>
        <v>Bull</v>
      </c>
      <c r="G171" s="0" t="str">
        <f aca="true">IF(F171="Bull",IF(RAND()&lt;Assumptions!$B$7,"Bull","Bear"),IF(RAND()&lt;Assumptions!$B$10,"Bear","Bull"))</f>
        <v>Bull</v>
      </c>
      <c r="H171" s="8" t="n">
        <f aca="true">IF(B171="Bull",NORMINV(RAND(),Assumptions!$B$5,Assumptions!$B$6),NORMINV(RAND(),Assumptions!$B$8,Assumptions!$B$9))</f>
        <v>-0.18018763654165</v>
      </c>
      <c r="I171" s="8" t="n">
        <f aca="true">IF(C171="Bull",NORMINV(RAND(),Assumptions!$B$5,Assumptions!$B$6),NORMINV(RAND(),Assumptions!$B$8,Assumptions!$B$9))</f>
        <v>-0.249874889827968</v>
      </c>
      <c r="J171" s="8" t="n">
        <f aca="true">IF(D171="Bull",NORMINV(RAND(),Assumptions!$B$5,Assumptions!$B$6),NORMINV(RAND(),Assumptions!$B$8,Assumptions!$B$9))</f>
        <v>0.076833757087185</v>
      </c>
      <c r="K171" s="8" t="n">
        <f aca="true">IF(E171="Bull",NORMINV(RAND(),Assumptions!$B$5,Assumptions!$B$6),NORMINV(RAND(),Assumptions!$B$8,Assumptions!$B$9))</f>
        <v>-0.0405211130073654</v>
      </c>
      <c r="L171" s="8" t="n">
        <f aca="true">IF(F171="Bull",NORMINV(RAND(),Assumptions!$B$5,Assumptions!$B$6),NORMINV(RAND(),Assumptions!$B$8,Assumptions!$B$9))</f>
        <v>0.130306838174477</v>
      </c>
      <c r="M171" s="8" t="n">
        <f aca="true">IF(G171="Bull",NORMINV(RAND(),Assumptions!$B$5,Assumptions!$B$6),NORMINV(RAND(),Assumptions!$B$8,Assumptions!$B$9))</f>
        <v>0.174456970692037</v>
      </c>
      <c r="N171" s="8" t="n">
        <f aca="true">NORMINV(RAND(),Assumptions!$B$14,Assumptions!$B$15)</f>
        <v>0.0169430113925289</v>
      </c>
      <c r="O171" s="8" t="n">
        <f aca="true">NORMINV(RAND(),Assumptions!$B$14,Assumptions!$B$15)</f>
        <v>0.0695474597504094</v>
      </c>
      <c r="P171" s="8" t="n">
        <f aca="true">NORMINV(RAND(),Assumptions!$B$14,Assumptions!$B$15)</f>
        <v>0.0898014615852512</v>
      </c>
      <c r="Q171" s="8" t="n">
        <f aca="true">NORMINV(RAND(),Assumptions!$B$14,Assumptions!$B$15)</f>
        <v>0.012793445542377</v>
      </c>
      <c r="R171" s="8" t="n">
        <f aca="true">NORMINV(RAND(),Assumptions!$B$14,Assumptions!$B$15)</f>
        <v>0.0466374402604413</v>
      </c>
      <c r="S171" s="8" t="n">
        <f aca="true">NORMINV(RAND(),Assumptions!$B$14,Assumptions!$B$15)</f>
        <v>0.0810206868413589</v>
      </c>
      <c r="T171" s="8" t="n">
        <f aca="false">Assumptions!$B$19*H171+(1-Assumptions!$B$19)*N171</f>
        <v>-0.18018763654165</v>
      </c>
      <c r="U171" s="8" t="n">
        <f aca="false">Assumptions!$B$20*I171+(1-Assumptions!$B$20)*O171</f>
        <v>-0.249874889827968</v>
      </c>
      <c r="V171" s="8" t="n">
        <f aca="false">Assumptions!$B$21*J171+(1-Assumptions!$B$21)*P171</f>
        <v>0.076833757087185</v>
      </c>
      <c r="W171" s="8" t="n">
        <f aca="false">Assumptions!$B$22*K171+(1-Assumptions!$B$22)*Q171</f>
        <v>-0.0405211130073654</v>
      </c>
      <c r="X171" s="8" t="n">
        <f aca="false">Assumptions!$B$23*L171+(1-Assumptions!$B$23)*R171</f>
        <v>0.11357295859167</v>
      </c>
      <c r="Y171" s="8" t="n">
        <f aca="false">Assumptions!$B$24*M171+(1-Assumptions!$B$24)*S171</f>
        <v>0.137082457151766</v>
      </c>
      <c r="Z171" s="6" t="n">
        <f aca="false">Assumptions!$B$27*(1+T171)</f>
        <v>245943.709037505</v>
      </c>
      <c r="AA171" s="6" t="n">
        <f aca="false">(Z171+Assumptions!$B$28)*(1+U171)</f>
        <v>297007.318363681</v>
      </c>
      <c r="AB171" s="6" t="n">
        <f aca="false">AA171*(1+V171)</f>
        <v>319827.506515953</v>
      </c>
      <c r="AC171" s="6" t="n">
        <f aca="false">AB171*(1+W171)</f>
        <v>306867.739981556</v>
      </c>
      <c r="AD171" s="6" t="n">
        <f aca="false">AC171*(1+X171)</f>
        <v>341719.6171076</v>
      </c>
      <c r="AE171" s="6" t="n">
        <f aca="false">AD171*(1+Y171)</f>
        <v>388563.381877671</v>
      </c>
      <c r="AF171" s="6" t="n">
        <f aca="false">Z171</f>
        <v>245943.709037505</v>
      </c>
      <c r="AG171" s="6" t="n">
        <f aca="false">MAX(AF171,AA171)</f>
        <v>297007.318363681</v>
      </c>
      <c r="AH171" s="6" t="n">
        <f aca="false">MAX(AG171,AB171)</f>
        <v>319827.506515953</v>
      </c>
      <c r="AI171" s="6" t="n">
        <f aca="false">MAX(AH171,AC171)</f>
        <v>319827.506515953</v>
      </c>
      <c r="AJ171" s="6" t="n">
        <f aca="false">MAX(AI171,AD171)</f>
        <v>341719.6171076</v>
      </c>
      <c r="AK171" s="6" t="n">
        <f aca="false">MAX(AJ171,AE171)</f>
        <v>388563.381877671</v>
      </c>
      <c r="AL171" s="8" t="n">
        <f aca="false">MIN(Z171/AF171-1,AA171/AG171-1,AB171/AH171-1,AC171/AI171-1,AD171/AJ171-1,AE171/AK171-1)</f>
        <v>-0.0405211130073654</v>
      </c>
      <c r="AM171" s="6" t="n">
        <f aca="false">AE171-Assumptions!$B$35</f>
        <v>-52700.6147848326</v>
      </c>
    </row>
    <row r="172" customFormat="false" ht="15" hidden="false" customHeight="false" outlineLevel="0" collapsed="false">
      <c r="A172" s="0" t="n">
        <f aca="false">ROW()-1</f>
        <v>171</v>
      </c>
      <c r="B172" s="0" t="str">
        <f aca="true">IF(RAND()&lt;Assumptions!$B$11,"Bull","Bear")</f>
        <v>Bull</v>
      </c>
      <c r="C172" s="0" t="str">
        <f aca="true">IF(B172="Bull",IF(RAND()&lt;Assumptions!$B$7,"Bull","Bear"),IF(RAND()&lt;Assumptions!$B$10,"Bear","Bull"))</f>
        <v>Bull</v>
      </c>
      <c r="D172" s="0" t="str">
        <f aca="true">IF(C172="Bull",IF(RAND()&lt;Assumptions!$B$7,"Bull","Bear"),IF(RAND()&lt;Assumptions!$B$10,"Bear","Bull"))</f>
        <v>Bear</v>
      </c>
      <c r="E172" s="0" t="str">
        <f aca="true">IF(D172="Bull",IF(RAND()&lt;Assumptions!$B$7,"Bull","Bear"),IF(RAND()&lt;Assumptions!$B$10,"Bear","Bull"))</f>
        <v>Bull</v>
      </c>
      <c r="F172" s="0" t="str">
        <f aca="true">IF(E172="Bull",IF(RAND()&lt;Assumptions!$B$7,"Bull","Bear"),IF(RAND()&lt;Assumptions!$B$10,"Bear","Bull"))</f>
        <v>Bear</v>
      </c>
      <c r="G172" s="0" t="str">
        <f aca="true">IF(F172="Bull",IF(RAND()&lt;Assumptions!$B$7,"Bull","Bear"),IF(RAND()&lt;Assumptions!$B$10,"Bear","Bull"))</f>
        <v>Bull</v>
      </c>
      <c r="H172" s="8" t="n">
        <f aca="true">IF(B172="Bull",NORMINV(RAND(),Assumptions!$B$5,Assumptions!$B$6),NORMINV(RAND(),Assumptions!$B$8,Assumptions!$B$9))</f>
        <v>0.139617275617224</v>
      </c>
      <c r="I172" s="8" t="n">
        <f aca="true">IF(C172="Bull",NORMINV(RAND(),Assumptions!$B$5,Assumptions!$B$6),NORMINV(RAND(),Assumptions!$B$8,Assumptions!$B$9))</f>
        <v>0.334758536244717</v>
      </c>
      <c r="J172" s="8" t="n">
        <f aca="true">IF(D172="Bull",NORMINV(RAND(),Assumptions!$B$5,Assumptions!$B$6),NORMINV(RAND(),Assumptions!$B$8,Assumptions!$B$9))</f>
        <v>0.10636721500122</v>
      </c>
      <c r="K172" s="8" t="n">
        <f aca="true">IF(E172="Bull",NORMINV(RAND(),Assumptions!$B$5,Assumptions!$B$6),NORMINV(RAND(),Assumptions!$B$8,Assumptions!$B$9))</f>
        <v>0.225968019637888</v>
      </c>
      <c r="L172" s="8" t="n">
        <f aca="true">IF(F172="Bull",NORMINV(RAND(),Assumptions!$B$5,Assumptions!$B$6),NORMINV(RAND(),Assumptions!$B$8,Assumptions!$B$9))</f>
        <v>-0.190154850694749</v>
      </c>
      <c r="M172" s="8" t="n">
        <f aca="true">IF(G172="Bull",NORMINV(RAND(),Assumptions!$B$5,Assumptions!$B$6),NORMINV(RAND(),Assumptions!$B$8,Assumptions!$B$9))</f>
        <v>0.0770372833914991</v>
      </c>
      <c r="N172" s="8" t="n">
        <f aca="true">NORMINV(RAND(),Assumptions!$B$14,Assumptions!$B$15)</f>
        <v>0.0299146056308055</v>
      </c>
      <c r="O172" s="8" t="n">
        <f aca="true">NORMINV(RAND(),Assumptions!$B$14,Assumptions!$B$15)</f>
        <v>0.0456692541001706</v>
      </c>
      <c r="P172" s="8" t="n">
        <f aca="true">NORMINV(RAND(),Assumptions!$B$14,Assumptions!$B$15)</f>
        <v>0.0562368527395568</v>
      </c>
      <c r="Q172" s="8" t="n">
        <f aca="true">NORMINV(RAND(),Assumptions!$B$14,Assumptions!$B$15)</f>
        <v>0.0691405230758283</v>
      </c>
      <c r="R172" s="8" t="n">
        <f aca="true">NORMINV(RAND(),Assumptions!$B$14,Assumptions!$B$15)</f>
        <v>0.0370229552862048</v>
      </c>
      <c r="S172" s="8" t="n">
        <f aca="true">NORMINV(RAND(),Assumptions!$B$14,Assumptions!$B$15)</f>
        <v>0.0261851171279463</v>
      </c>
      <c r="T172" s="8" t="n">
        <f aca="false">Assumptions!$B$19*H172+(1-Assumptions!$B$19)*N172</f>
        <v>0.139617275617224</v>
      </c>
      <c r="U172" s="8" t="n">
        <f aca="false">Assumptions!$B$20*I172+(1-Assumptions!$B$20)*O172</f>
        <v>0.334758536244717</v>
      </c>
      <c r="V172" s="8" t="n">
        <f aca="false">Assumptions!$B$21*J172+(1-Assumptions!$B$21)*P172</f>
        <v>0.10636721500122</v>
      </c>
      <c r="W172" s="8" t="n">
        <f aca="false">Assumptions!$B$22*K172+(1-Assumptions!$B$22)*Q172</f>
        <v>0.225968019637888</v>
      </c>
      <c r="X172" s="8" t="n">
        <f aca="false">Assumptions!$B$23*L172+(1-Assumptions!$B$23)*R172</f>
        <v>-0.144719289498559</v>
      </c>
      <c r="Y172" s="8" t="n">
        <f aca="false">Assumptions!$B$24*M172+(1-Assumptions!$B$24)*S172</f>
        <v>0.056696416886078</v>
      </c>
      <c r="Z172" s="6" t="n">
        <f aca="false">Assumptions!$B$27*(1+T172)</f>
        <v>341885.182685167</v>
      </c>
      <c r="AA172" s="6" t="n">
        <f aca="false">(Z172+Assumptions!$B$28)*(1+U172)</f>
        <v>656547.946441319</v>
      </c>
      <c r="AB172" s="6" t="n">
        <f aca="false">AA172*(1+V172)</f>
        <v>726383.123019052</v>
      </c>
      <c r="AC172" s="6" t="n">
        <f aca="false">AB172*(1+W172)</f>
        <v>890522.478826052</v>
      </c>
      <c r="AD172" s="6" t="n">
        <f aca="false">AC172*(1+X172)</f>
        <v>761646.69840785</v>
      </c>
      <c r="AE172" s="6" t="n">
        <f aca="false">AD172*(1+Y172)</f>
        <v>804829.337140687</v>
      </c>
      <c r="AF172" s="6" t="n">
        <f aca="false">Z172</f>
        <v>341885.182685167</v>
      </c>
      <c r="AG172" s="6" t="n">
        <f aca="false">MAX(AF172,AA172)</f>
        <v>656547.946441319</v>
      </c>
      <c r="AH172" s="6" t="n">
        <f aca="false">MAX(AG172,AB172)</f>
        <v>726383.123019052</v>
      </c>
      <c r="AI172" s="6" t="n">
        <f aca="false">MAX(AH172,AC172)</f>
        <v>890522.478826052</v>
      </c>
      <c r="AJ172" s="6" t="n">
        <f aca="false">MAX(AI172,AD172)</f>
        <v>890522.478826052</v>
      </c>
      <c r="AK172" s="6" t="n">
        <f aca="false">MAX(AJ172,AE172)</f>
        <v>890522.478826052</v>
      </c>
      <c r="AL172" s="8" t="n">
        <f aca="false">MIN(Z172/AF172-1,AA172/AG172-1,AB172/AH172-1,AC172/AI172-1,AD172/AJ172-1,AE172/AK172-1)</f>
        <v>-0.144719289498559</v>
      </c>
      <c r="AM172" s="6" t="n">
        <f aca="false">AE172-Assumptions!$B$35</f>
        <v>363565.340478183</v>
      </c>
    </row>
    <row r="173" customFormat="false" ht="15" hidden="false" customHeight="false" outlineLevel="0" collapsed="false">
      <c r="A173" s="0" t="n">
        <f aca="false">ROW()-1</f>
        <v>172</v>
      </c>
      <c r="B173" s="0" t="str">
        <f aca="true">IF(RAND()&lt;Assumptions!$B$11,"Bull","Bear")</f>
        <v>Bear</v>
      </c>
      <c r="C173" s="0" t="str">
        <f aca="true">IF(B173="Bull",IF(RAND()&lt;Assumptions!$B$7,"Bull","Bear"),IF(RAND()&lt;Assumptions!$B$10,"Bear","Bull"))</f>
        <v>Bear</v>
      </c>
      <c r="D173" s="0" t="str">
        <f aca="true">IF(C173="Bull",IF(RAND()&lt;Assumptions!$B$7,"Bull","Bear"),IF(RAND()&lt;Assumptions!$B$10,"Bear","Bull"))</f>
        <v>Bear</v>
      </c>
      <c r="E173" s="0" t="str">
        <f aca="true">IF(D173="Bull",IF(RAND()&lt;Assumptions!$B$7,"Bull","Bear"),IF(RAND()&lt;Assumptions!$B$10,"Bear","Bull"))</f>
        <v>Bear</v>
      </c>
      <c r="F173" s="0" t="str">
        <f aca="true">IF(E173="Bull",IF(RAND()&lt;Assumptions!$B$7,"Bull","Bear"),IF(RAND()&lt;Assumptions!$B$10,"Bear","Bull"))</f>
        <v>Bull</v>
      </c>
      <c r="G173" s="0" t="str">
        <f aca="true">IF(F173="Bull",IF(RAND()&lt;Assumptions!$B$7,"Bull","Bear"),IF(RAND()&lt;Assumptions!$B$10,"Bear","Bull"))</f>
        <v>Bull</v>
      </c>
      <c r="H173" s="8" t="n">
        <f aca="true">IF(B173="Bull",NORMINV(RAND(),Assumptions!$B$5,Assumptions!$B$6),NORMINV(RAND(),Assumptions!$B$8,Assumptions!$B$9))</f>
        <v>-0.264533164536691</v>
      </c>
      <c r="I173" s="8" t="n">
        <f aca="true">IF(C173="Bull",NORMINV(RAND(),Assumptions!$B$5,Assumptions!$B$6),NORMINV(RAND(),Assumptions!$B$8,Assumptions!$B$9))</f>
        <v>0.0586301077873044</v>
      </c>
      <c r="J173" s="8" t="n">
        <f aca="true">IF(D173="Bull",NORMINV(RAND(),Assumptions!$B$5,Assumptions!$B$6),NORMINV(RAND(),Assumptions!$B$8,Assumptions!$B$9))</f>
        <v>-0.287577842086817</v>
      </c>
      <c r="K173" s="8" t="n">
        <f aca="true">IF(E173="Bull",NORMINV(RAND(),Assumptions!$B$5,Assumptions!$B$6),NORMINV(RAND(),Assumptions!$B$8,Assumptions!$B$9))</f>
        <v>0.153871116308925</v>
      </c>
      <c r="L173" s="8" t="n">
        <f aca="true">IF(F173="Bull",NORMINV(RAND(),Assumptions!$B$5,Assumptions!$B$6),NORMINV(RAND(),Assumptions!$B$8,Assumptions!$B$9))</f>
        <v>0.111043946270543</v>
      </c>
      <c r="M173" s="8" t="n">
        <f aca="true">IF(G173="Bull",NORMINV(RAND(),Assumptions!$B$5,Assumptions!$B$6),NORMINV(RAND(),Assumptions!$B$8,Assumptions!$B$9))</f>
        <v>0.184580164358902</v>
      </c>
      <c r="N173" s="8" t="n">
        <f aca="true">NORMINV(RAND(),Assumptions!$B$14,Assumptions!$B$15)</f>
        <v>0.0901682418706227</v>
      </c>
      <c r="O173" s="8" t="n">
        <f aca="true">NORMINV(RAND(),Assumptions!$B$14,Assumptions!$B$15)</f>
        <v>0.0865726968565729</v>
      </c>
      <c r="P173" s="8" t="n">
        <f aca="true">NORMINV(RAND(),Assumptions!$B$14,Assumptions!$B$15)</f>
        <v>0.0192042227925072</v>
      </c>
      <c r="Q173" s="8" t="n">
        <f aca="true">NORMINV(RAND(),Assumptions!$B$14,Assumptions!$B$15)</f>
        <v>0.0318626397001531</v>
      </c>
      <c r="R173" s="8" t="n">
        <f aca="true">NORMINV(RAND(),Assumptions!$B$14,Assumptions!$B$15)</f>
        <v>0.0645327579106333</v>
      </c>
      <c r="S173" s="8" t="n">
        <f aca="true">NORMINV(RAND(),Assumptions!$B$14,Assumptions!$B$15)</f>
        <v>0.0721926630950047</v>
      </c>
      <c r="T173" s="8" t="n">
        <f aca="false">Assumptions!$B$19*H173+(1-Assumptions!$B$19)*N173</f>
        <v>-0.264533164536691</v>
      </c>
      <c r="U173" s="8" t="n">
        <f aca="false">Assumptions!$B$20*I173+(1-Assumptions!$B$20)*O173</f>
        <v>0.0586301077873044</v>
      </c>
      <c r="V173" s="8" t="n">
        <f aca="false">Assumptions!$B$21*J173+(1-Assumptions!$B$21)*P173</f>
        <v>-0.287577842086817</v>
      </c>
      <c r="W173" s="8" t="n">
        <f aca="false">Assumptions!$B$22*K173+(1-Assumptions!$B$22)*Q173</f>
        <v>0.153871116308925</v>
      </c>
      <c r="X173" s="8" t="n">
        <f aca="false">Assumptions!$B$23*L173+(1-Assumptions!$B$23)*R173</f>
        <v>0.101741708598561</v>
      </c>
      <c r="Y173" s="8" t="n">
        <f aca="false">Assumptions!$B$24*M173+(1-Assumptions!$B$24)*S173</f>
        <v>0.139625163853343</v>
      </c>
      <c r="Z173" s="6" t="n">
        <f aca="false">Assumptions!$B$27*(1+T173)</f>
        <v>220640.050638993</v>
      </c>
      <c r="AA173" s="6" t="n">
        <f aca="false">(Z173+Assumptions!$B$28)*(1+U173)</f>
        <v>392370.716758249</v>
      </c>
      <c r="AB173" s="6" t="n">
        <f aca="false">AA173*(1+V173)</f>
        <v>279533.592734854</v>
      </c>
      <c r="AC173" s="6" t="n">
        <f aca="false">AB173*(1+W173)</f>
        <v>322545.73869481</v>
      </c>
      <c r="AD173" s="6" t="n">
        <f aca="false">AC173*(1+X173)</f>
        <v>355362.093250805</v>
      </c>
      <c r="AE173" s="6" t="n">
        <f aca="false">AD173*(1+Y173)</f>
        <v>404979.583748216</v>
      </c>
      <c r="AF173" s="6" t="n">
        <f aca="false">Z173</f>
        <v>220640.050638993</v>
      </c>
      <c r="AG173" s="6" t="n">
        <f aca="false">MAX(AF173,AA173)</f>
        <v>392370.716758249</v>
      </c>
      <c r="AH173" s="6" t="n">
        <f aca="false">MAX(AG173,AB173)</f>
        <v>392370.716758249</v>
      </c>
      <c r="AI173" s="6" t="n">
        <f aca="false">MAX(AH173,AC173)</f>
        <v>392370.716758249</v>
      </c>
      <c r="AJ173" s="6" t="n">
        <f aca="false">MAX(AI173,AD173)</f>
        <v>392370.716758249</v>
      </c>
      <c r="AK173" s="6" t="n">
        <f aca="false">MAX(AJ173,AE173)</f>
        <v>404979.583748216</v>
      </c>
      <c r="AL173" s="8" t="n">
        <f aca="false">MIN(Z173/AF173-1,AA173/AG173-1,AB173/AH173-1,AC173/AI173-1,AD173/AJ173-1,AE173/AK173-1)</f>
        <v>-0.287577842086817</v>
      </c>
      <c r="AM173" s="6" t="n">
        <f aca="false">AE173-Assumptions!$B$35</f>
        <v>-36284.4129142878</v>
      </c>
    </row>
    <row r="174" customFormat="false" ht="15" hidden="false" customHeight="false" outlineLevel="0" collapsed="false">
      <c r="A174" s="0" t="n">
        <f aca="false">ROW()-1</f>
        <v>173</v>
      </c>
      <c r="B174" s="0" t="str">
        <f aca="true">IF(RAND()&lt;Assumptions!$B$11,"Bull","Bear")</f>
        <v>Bull</v>
      </c>
      <c r="C174" s="0" t="str">
        <f aca="true">IF(B174="Bull",IF(RAND()&lt;Assumptions!$B$7,"Bull","Bear"),IF(RAND()&lt;Assumptions!$B$10,"Bear","Bull"))</f>
        <v>Bull</v>
      </c>
      <c r="D174" s="0" t="str">
        <f aca="true">IF(C174="Bull",IF(RAND()&lt;Assumptions!$B$7,"Bull","Bear"),IF(RAND()&lt;Assumptions!$B$10,"Bear","Bull"))</f>
        <v>Bear</v>
      </c>
      <c r="E174" s="0" t="str">
        <f aca="true">IF(D174="Bull",IF(RAND()&lt;Assumptions!$B$7,"Bull","Bear"),IF(RAND()&lt;Assumptions!$B$10,"Bear","Bull"))</f>
        <v>Bear</v>
      </c>
      <c r="F174" s="0" t="str">
        <f aca="true">IF(E174="Bull",IF(RAND()&lt;Assumptions!$B$7,"Bull","Bear"),IF(RAND()&lt;Assumptions!$B$10,"Bear","Bull"))</f>
        <v>Bear</v>
      </c>
      <c r="G174" s="0" t="str">
        <f aca="true">IF(F174="Bull",IF(RAND()&lt;Assumptions!$B$7,"Bull","Bear"),IF(RAND()&lt;Assumptions!$B$10,"Bear","Bull"))</f>
        <v>Bear</v>
      </c>
      <c r="H174" s="8" t="n">
        <f aca="true">IF(B174="Bull",NORMINV(RAND(),Assumptions!$B$5,Assumptions!$B$6),NORMINV(RAND(),Assumptions!$B$8,Assumptions!$B$9))</f>
        <v>0.270842263309184</v>
      </c>
      <c r="I174" s="8" t="n">
        <f aca="true">IF(C174="Bull",NORMINV(RAND(),Assumptions!$B$5,Assumptions!$B$6),NORMINV(RAND(),Assumptions!$B$8,Assumptions!$B$9))</f>
        <v>0.106981617022723</v>
      </c>
      <c r="J174" s="8" t="n">
        <f aca="true">IF(D174="Bull",NORMINV(RAND(),Assumptions!$B$5,Assumptions!$B$6),NORMINV(RAND(),Assumptions!$B$8,Assumptions!$B$9))</f>
        <v>-0.251076694666027</v>
      </c>
      <c r="K174" s="8" t="n">
        <f aca="true">IF(E174="Bull",NORMINV(RAND(),Assumptions!$B$5,Assumptions!$B$6),NORMINV(RAND(),Assumptions!$B$8,Assumptions!$B$9))</f>
        <v>-0.141534280867023</v>
      </c>
      <c r="L174" s="8" t="n">
        <f aca="true">IF(F174="Bull",NORMINV(RAND(),Assumptions!$B$5,Assumptions!$B$6),NORMINV(RAND(),Assumptions!$B$8,Assumptions!$B$9))</f>
        <v>-0.18124268185152</v>
      </c>
      <c r="M174" s="8" t="n">
        <f aca="true">IF(G174="Bull",NORMINV(RAND(),Assumptions!$B$5,Assumptions!$B$6),NORMINV(RAND(),Assumptions!$B$8,Assumptions!$B$9))</f>
        <v>0.123872152857032</v>
      </c>
      <c r="N174" s="8" t="n">
        <f aca="true">NORMINV(RAND(),Assumptions!$B$14,Assumptions!$B$15)</f>
        <v>0.0283352684356293</v>
      </c>
      <c r="O174" s="8" t="n">
        <f aca="true">NORMINV(RAND(),Assumptions!$B$14,Assumptions!$B$15)</f>
        <v>0.0265023747486351</v>
      </c>
      <c r="P174" s="8" t="n">
        <f aca="true">NORMINV(RAND(),Assumptions!$B$14,Assumptions!$B$15)</f>
        <v>0.126615081732454</v>
      </c>
      <c r="Q174" s="8" t="n">
        <f aca="true">NORMINV(RAND(),Assumptions!$B$14,Assumptions!$B$15)</f>
        <v>0.0393745051572812</v>
      </c>
      <c r="R174" s="8" t="n">
        <f aca="true">NORMINV(RAND(),Assumptions!$B$14,Assumptions!$B$15)</f>
        <v>0.0754610707276661</v>
      </c>
      <c r="S174" s="8" t="n">
        <f aca="true">NORMINV(RAND(),Assumptions!$B$14,Assumptions!$B$15)</f>
        <v>0.0207773206459126</v>
      </c>
      <c r="T174" s="8" t="n">
        <f aca="false">Assumptions!$B$19*H174+(1-Assumptions!$B$19)*N174</f>
        <v>0.270842263309184</v>
      </c>
      <c r="U174" s="8" t="n">
        <f aca="false">Assumptions!$B$20*I174+(1-Assumptions!$B$20)*O174</f>
        <v>0.106981617022723</v>
      </c>
      <c r="V174" s="8" t="n">
        <f aca="false">Assumptions!$B$21*J174+(1-Assumptions!$B$21)*P174</f>
        <v>-0.251076694666027</v>
      </c>
      <c r="W174" s="8" t="n">
        <f aca="false">Assumptions!$B$22*K174+(1-Assumptions!$B$22)*Q174</f>
        <v>-0.141534280867023</v>
      </c>
      <c r="X174" s="8" t="n">
        <f aca="false">Assumptions!$B$23*L174+(1-Assumptions!$B$23)*R174</f>
        <v>-0.129901931335683</v>
      </c>
      <c r="Y174" s="8" t="n">
        <f aca="false">Assumptions!$B$24*M174+(1-Assumptions!$B$24)*S174</f>
        <v>0.0826342199725844</v>
      </c>
      <c r="Z174" s="6" t="n">
        <f aca="false">Assumptions!$B$27*(1+T174)</f>
        <v>381252.678992755</v>
      </c>
      <c r="AA174" s="6" t="n">
        <f aca="false">(Z174+Assumptions!$B$28)*(1+U174)</f>
        <v>588086.949639054</v>
      </c>
      <c r="AB174" s="6" t="n">
        <f aca="false">AA174*(1+V174)</f>
        <v>440432.022147454</v>
      </c>
      <c r="AC174" s="6" t="n">
        <f aca="false">AB174*(1+W174)</f>
        <v>378095.792622005</v>
      </c>
      <c r="AD174" s="6" t="n">
        <f aca="false">AC174*(1+X174)</f>
        <v>328980.418930511</v>
      </c>
      <c r="AE174" s="6" t="n">
        <f aca="false">AD174*(1+Y174)</f>
        <v>356165.459235088</v>
      </c>
      <c r="AF174" s="6" t="n">
        <f aca="false">Z174</f>
        <v>381252.678992755</v>
      </c>
      <c r="AG174" s="6" t="n">
        <f aca="false">MAX(AF174,AA174)</f>
        <v>588086.949639054</v>
      </c>
      <c r="AH174" s="6" t="n">
        <f aca="false">MAX(AG174,AB174)</f>
        <v>588086.949639054</v>
      </c>
      <c r="AI174" s="6" t="n">
        <f aca="false">MAX(AH174,AC174)</f>
        <v>588086.949639054</v>
      </c>
      <c r="AJ174" s="6" t="n">
        <f aca="false">MAX(AI174,AD174)</f>
        <v>588086.949639054</v>
      </c>
      <c r="AK174" s="6" t="n">
        <f aca="false">MAX(AJ174,AE174)</f>
        <v>588086.949639054</v>
      </c>
      <c r="AL174" s="8" t="n">
        <f aca="false">MIN(Z174/AF174-1,AA174/AG174-1,AB174/AH174-1,AC174/AI174-1,AD174/AJ174-1,AE174/AK174-1)</f>
        <v>-0.440592213222166</v>
      </c>
      <c r="AM174" s="6" t="n">
        <f aca="false">AE174-Assumptions!$B$35</f>
        <v>-85098.537427416</v>
      </c>
    </row>
    <row r="175" customFormat="false" ht="15" hidden="false" customHeight="false" outlineLevel="0" collapsed="false">
      <c r="A175" s="0" t="n">
        <f aca="false">ROW()-1</f>
        <v>174</v>
      </c>
      <c r="B175" s="0" t="str">
        <f aca="true">IF(RAND()&lt;Assumptions!$B$11,"Bull","Bear")</f>
        <v>Bull</v>
      </c>
      <c r="C175" s="0" t="str">
        <f aca="true">IF(B175="Bull",IF(RAND()&lt;Assumptions!$B$7,"Bull","Bear"),IF(RAND()&lt;Assumptions!$B$10,"Bear","Bull"))</f>
        <v>Bull</v>
      </c>
      <c r="D175" s="0" t="str">
        <f aca="true">IF(C175="Bull",IF(RAND()&lt;Assumptions!$B$7,"Bull","Bear"),IF(RAND()&lt;Assumptions!$B$10,"Bear","Bull"))</f>
        <v>Bear</v>
      </c>
      <c r="E175" s="0" t="str">
        <f aca="true">IF(D175="Bull",IF(RAND()&lt;Assumptions!$B$7,"Bull","Bear"),IF(RAND()&lt;Assumptions!$B$10,"Bear","Bull"))</f>
        <v>Bull</v>
      </c>
      <c r="F175" s="0" t="str">
        <f aca="true">IF(E175="Bull",IF(RAND()&lt;Assumptions!$B$7,"Bull","Bear"),IF(RAND()&lt;Assumptions!$B$10,"Bear","Bull"))</f>
        <v>Bull</v>
      </c>
      <c r="G175" s="0" t="str">
        <f aca="true">IF(F175="Bull",IF(RAND()&lt;Assumptions!$B$7,"Bull","Bear"),IF(RAND()&lt;Assumptions!$B$10,"Bear","Bull"))</f>
        <v>Bear</v>
      </c>
      <c r="H175" s="8" t="n">
        <f aca="true">IF(B175="Bull",NORMINV(RAND(),Assumptions!$B$5,Assumptions!$B$6),NORMINV(RAND(),Assumptions!$B$8,Assumptions!$B$9))</f>
        <v>0.181571839301319</v>
      </c>
      <c r="I175" s="8" t="n">
        <f aca="true">IF(C175="Bull",NORMINV(RAND(),Assumptions!$B$5,Assumptions!$B$6),NORMINV(RAND(),Assumptions!$B$8,Assumptions!$B$9))</f>
        <v>0.298044019367143</v>
      </c>
      <c r="J175" s="8" t="n">
        <f aca="true">IF(D175="Bull",NORMINV(RAND(),Assumptions!$B$5,Assumptions!$B$6),NORMINV(RAND(),Assumptions!$B$8,Assumptions!$B$9))</f>
        <v>-0.38380193178953</v>
      </c>
      <c r="K175" s="8" t="n">
        <f aca="true">IF(E175="Bull",NORMINV(RAND(),Assumptions!$B$5,Assumptions!$B$6),NORMINV(RAND(),Assumptions!$B$8,Assumptions!$B$9))</f>
        <v>0.203599933136969</v>
      </c>
      <c r="L175" s="8" t="n">
        <f aca="true">IF(F175="Bull",NORMINV(RAND(),Assumptions!$B$5,Assumptions!$B$6),NORMINV(RAND(),Assumptions!$B$8,Assumptions!$B$9))</f>
        <v>0.163316596302943</v>
      </c>
      <c r="M175" s="8" t="n">
        <f aca="true">IF(G175="Bull",NORMINV(RAND(),Assumptions!$B$5,Assumptions!$B$6),NORMINV(RAND(),Assumptions!$B$8,Assumptions!$B$9))</f>
        <v>-0.220188868870828</v>
      </c>
      <c r="N175" s="8" t="n">
        <f aca="true">NORMINV(RAND(),Assumptions!$B$14,Assumptions!$B$15)</f>
        <v>0.05068799068015</v>
      </c>
      <c r="O175" s="8" t="n">
        <f aca="true">NORMINV(RAND(),Assumptions!$B$14,Assumptions!$B$15)</f>
        <v>0.00383207511914588</v>
      </c>
      <c r="P175" s="8" t="n">
        <f aca="true">NORMINV(RAND(),Assumptions!$B$14,Assumptions!$B$15)</f>
        <v>0.0729584836093565</v>
      </c>
      <c r="Q175" s="8" t="n">
        <f aca="true">NORMINV(RAND(),Assumptions!$B$14,Assumptions!$B$15)</f>
        <v>0.115552543751147</v>
      </c>
      <c r="R175" s="8" t="n">
        <f aca="true">NORMINV(RAND(),Assumptions!$B$14,Assumptions!$B$15)</f>
        <v>0.0425092593679858</v>
      </c>
      <c r="S175" s="8" t="n">
        <f aca="true">NORMINV(RAND(),Assumptions!$B$14,Assumptions!$B$15)</f>
        <v>-0.0103656138362585</v>
      </c>
      <c r="T175" s="8" t="n">
        <f aca="false">Assumptions!$B$19*H175+(1-Assumptions!$B$19)*N175</f>
        <v>0.181571839301319</v>
      </c>
      <c r="U175" s="8" t="n">
        <f aca="false">Assumptions!$B$20*I175+(1-Assumptions!$B$20)*O175</f>
        <v>0.298044019367143</v>
      </c>
      <c r="V175" s="8" t="n">
        <f aca="false">Assumptions!$B$21*J175+(1-Assumptions!$B$21)*P175</f>
        <v>-0.38380193178953</v>
      </c>
      <c r="W175" s="8" t="n">
        <f aca="false">Assumptions!$B$22*K175+(1-Assumptions!$B$22)*Q175</f>
        <v>0.203599933136969</v>
      </c>
      <c r="X175" s="8" t="n">
        <f aca="false">Assumptions!$B$23*L175+(1-Assumptions!$B$23)*R175</f>
        <v>0.139155128915952</v>
      </c>
      <c r="Y175" s="8" t="n">
        <f aca="false">Assumptions!$B$24*M175+(1-Assumptions!$B$24)*S175</f>
        <v>-0.136259566857</v>
      </c>
      <c r="Z175" s="6" t="n">
        <f aca="false">Assumptions!$B$27*(1+T175)</f>
        <v>354471.551790396</v>
      </c>
      <c r="AA175" s="6" t="n">
        <f aca="false">(Z175+Assumptions!$B$28)*(1+U175)</f>
        <v>654826.280742385</v>
      </c>
      <c r="AB175" s="6" t="n">
        <f aca="false">AA175*(1+V175)</f>
        <v>403502.689206905</v>
      </c>
      <c r="AC175" s="6" t="n">
        <f aca="false">AB175*(1+W175)</f>
        <v>485655.809750018</v>
      </c>
      <c r="AD175" s="6" t="n">
        <f aca="false">AC175*(1+X175)</f>
        <v>553237.306564562</v>
      </c>
      <c r="AE175" s="6" t="n">
        <f aca="false">AD175*(1+Y175)</f>
        <v>477853.430802942</v>
      </c>
      <c r="AF175" s="6" t="n">
        <f aca="false">Z175</f>
        <v>354471.551790396</v>
      </c>
      <c r="AG175" s="6" t="n">
        <f aca="false">MAX(AF175,AA175)</f>
        <v>654826.280742385</v>
      </c>
      <c r="AH175" s="6" t="n">
        <f aca="false">MAX(AG175,AB175)</f>
        <v>654826.280742385</v>
      </c>
      <c r="AI175" s="6" t="n">
        <f aca="false">MAX(AH175,AC175)</f>
        <v>654826.280742385</v>
      </c>
      <c r="AJ175" s="6" t="n">
        <f aca="false">MAX(AI175,AD175)</f>
        <v>654826.280742385</v>
      </c>
      <c r="AK175" s="6" t="n">
        <f aca="false">MAX(AJ175,AE175)</f>
        <v>654826.280742385</v>
      </c>
      <c r="AL175" s="8" t="n">
        <f aca="false">MIN(Z175/AF175-1,AA175/AG175-1,AB175/AH175-1,AC175/AI175-1,AD175/AJ175-1,AE175/AK175-1)</f>
        <v>-0.38380193178953</v>
      </c>
      <c r="AM175" s="6" t="n">
        <f aca="false">AE175-Assumptions!$B$35</f>
        <v>36589.4341404382</v>
      </c>
    </row>
    <row r="176" customFormat="false" ht="15" hidden="false" customHeight="false" outlineLevel="0" collapsed="false">
      <c r="A176" s="0" t="n">
        <f aca="false">ROW()-1</f>
        <v>175</v>
      </c>
      <c r="B176" s="0" t="str">
        <f aca="true">IF(RAND()&lt;Assumptions!$B$11,"Bull","Bear")</f>
        <v>Bull</v>
      </c>
      <c r="C176" s="0" t="str">
        <f aca="true">IF(B176="Bull",IF(RAND()&lt;Assumptions!$B$7,"Bull","Bear"),IF(RAND()&lt;Assumptions!$B$10,"Bear","Bull"))</f>
        <v>Bear</v>
      </c>
      <c r="D176" s="0" t="str">
        <f aca="true">IF(C176="Bull",IF(RAND()&lt;Assumptions!$B$7,"Bull","Bear"),IF(RAND()&lt;Assumptions!$B$10,"Bear","Bull"))</f>
        <v>Bear</v>
      </c>
      <c r="E176" s="0" t="str">
        <f aca="true">IF(D176="Bull",IF(RAND()&lt;Assumptions!$B$7,"Bull","Bear"),IF(RAND()&lt;Assumptions!$B$10,"Bear","Bull"))</f>
        <v>Bull</v>
      </c>
      <c r="F176" s="0" t="str">
        <f aca="true">IF(E176="Bull",IF(RAND()&lt;Assumptions!$B$7,"Bull","Bear"),IF(RAND()&lt;Assumptions!$B$10,"Bear","Bull"))</f>
        <v>Bull</v>
      </c>
      <c r="G176" s="0" t="str">
        <f aca="true">IF(F176="Bull",IF(RAND()&lt;Assumptions!$B$7,"Bull","Bear"),IF(RAND()&lt;Assumptions!$B$10,"Bear","Bull"))</f>
        <v>Bear</v>
      </c>
      <c r="H176" s="8" t="n">
        <f aca="true">IF(B176="Bull",NORMINV(RAND(),Assumptions!$B$5,Assumptions!$B$6),NORMINV(RAND(),Assumptions!$B$8,Assumptions!$B$9))</f>
        <v>0.0952645000227183</v>
      </c>
      <c r="I176" s="8" t="n">
        <f aca="true">IF(C176="Bull",NORMINV(RAND(),Assumptions!$B$5,Assumptions!$B$6),NORMINV(RAND(),Assumptions!$B$8,Assumptions!$B$9))</f>
        <v>-0.128900083204334</v>
      </c>
      <c r="J176" s="8" t="n">
        <f aca="true">IF(D176="Bull",NORMINV(RAND(),Assumptions!$B$5,Assumptions!$B$6),NORMINV(RAND(),Assumptions!$B$8,Assumptions!$B$9))</f>
        <v>0.091304857506874</v>
      </c>
      <c r="K176" s="8" t="n">
        <f aca="true">IF(E176="Bull",NORMINV(RAND(),Assumptions!$B$5,Assumptions!$B$6),NORMINV(RAND(),Assumptions!$B$8,Assumptions!$B$9))</f>
        <v>0.122496627549461</v>
      </c>
      <c r="L176" s="8" t="n">
        <f aca="true">IF(F176="Bull",NORMINV(RAND(),Assumptions!$B$5,Assumptions!$B$6),NORMINV(RAND(),Assumptions!$B$8,Assumptions!$B$9))</f>
        <v>0.20861826103971</v>
      </c>
      <c r="M176" s="8" t="n">
        <f aca="true">IF(G176="Bull",NORMINV(RAND(),Assumptions!$B$5,Assumptions!$B$6),NORMINV(RAND(),Assumptions!$B$8,Assumptions!$B$9))</f>
        <v>-0.849542496802354</v>
      </c>
      <c r="N176" s="8" t="n">
        <f aca="true">NORMINV(RAND(),Assumptions!$B$14,Assumptions!$B$15)</f>
        <v>0.0460238159657444</v>
      </c>
      <c r="O176" s="8" t="n">
        <f aca="true">NORMINV(RAND(),Assumptions!$B$14,Assumptions!$B$15)</f>
        <v>0.065820669519302</v>
      </c>
      <c r="P176" s="8" t="n">
        <f aca="true">NORMINV(RAND(),Assumptions!$B$14,Assumptions!$B$15)</f>
        <v>0.0703160437576392</v>
      </c>
      <c r="Q176" s="8" t="n">
        <f aca="true">NORMINV(RAND(),Assumptions!$B$14,Assumptions!$B$15)</f>
        <v>0.0611275581561548</v>
      </c>
      <c r="R176" s="8" t="n">
        <f aca="true">NORMINV(RAND(),Assumptions!$B$14,Assumptions!$B$15)</f>
        <v>0.0479335776569399</v>
      </c>
      <c r="S176" s="8" t="n">
        <f aca="true">NORMINV(RAND(),Assumptions!$B$14,Assumptions!$B$15)</f>
        <v>0.0339744074591258</v>
      </c>
      <c r="T176" s="8" t="n">
        <f aca="false">Assumptions!$B$19*H176+(1-Assumptions!$B$19)*N176</f>
        <v>0.0952645000227183</v>
      </c>
      <c r="U176" s="8" t="n">
        <f aca="false">Assumptions!$B$20*I176+(1-Assumptions!$B$20)*O176</f>
        <v>-0.128900083204334</v>
      </c>
      <c r="V176" s="8" t="n">
        <f aca="false">Assumptions!$B$21*J176+(1-Assumptions!$B$21)*P176</f>
        <v>0.091304857506874</v>
      </c>
      <c r="W176" s="8" t="n">
        <f aca="false">Assumptions!$B$22*K176+(1-Assumptions!$B$22)*Q176</f>
        <v>0.122496627549461</v>
      </c>
      <c r="X176" s="8" t="n">
        <f aca="false">Assumptions!$B$23*L176+(1-Assumptions!$B$23)*R176</f>
        <v>0.176481324363156</v>
      </c>
      <c r="Y176" s="8" t="n">
        <f aca="false">Assumptions!$B$24*M176+(1-Assumptions!$B$24)*S176</f>
        <v>-0.496135735097762</v>
      </c>
      <c r="Z176" s="6" t="n">
        <f aca="false">Assumptions!$B$27*(1+T176)</f>
        <v>328579.350006816</v>
      </c>
      <c r="AA176" s="6" t="n">
        <f aca="false">(Z176+Assumptions!$B$28)*(1+U176)</f>
        <v>416890.431971061</v>
      </c>
      <c r="AB176" s="6" t="n">
        <f aca="false">AA176*(1+V176)</f>
        <v>454954.553458158</v>
      </c>
      <c r="AC176" s="6" t="n">
        <f aca="false">AB176*(1+W176)</f>
        <v>510684.951945054</v>
      </c>
      <c r="AD176" s="6" t="n">
        <f aca="false">AC176*(1+X176)</f>
        <v>600811.308596651</v>
      </c>
      <c r="AE176" s="6" t="n">
        <f aca="false">AD176*(1+Y176)</f>
        <v>302727.348351003</v>
      </c>
      <c r="AF176" s="6" t="n">
        <f aca="false">Z176</f>
        <v>328579.350006816</v>
      </c>
      <c r="AG176" s="6" t="n">
        <f aca="false">MAX(AF176,AA176)</f>
        <v>416890.431971061</v>
      </c>
      <c r="AH176" s="6" t="n">
        <f aca="false">MAX(AG176,AB176)</f>
        <v>454954.553458158</v>
      </c>
      <c r="AI176" s="6" t="n">
        <f aca="false">MAX(AH176,AC176)</f>
        <v>510684.951945054</v>
      </c>
      <c r="AJ176" s="6" t="n">
        <f aca="false">MAX(AI176,AD176)</f>
        <v>600811.308596651</v>
      </c>
      <c r="AK176" s="6" t="n">
        <f aca="false">MAX(AJ176,AE176)</f>
        <v>600811.308596651</v>
      </c>
      <c r="AL176" s="8" t="n">
        <f aca="false">MIN(Z176/AF176-1,AA176/AG176-1,AB176/AH176-1,AC176/AI176-1,AD176/AJ176-1,AE176/AK176-1)</f>
        <v>-0.496135735097762</v>
      </c>
      <c r="AM176" s="6" t="n">
        <f aca="false">AE176-Assumptions!$B$35</f>
        <v>-138536.6483115</v>
      </c>
    </row>
    <row r="177" customFormat="false" ht="15" hidden="false" customHeight="false" outlineLevel="0" collapsed="false">
      <c r="A177" s="0" t="n">
        <f aca="false">ROW()-1</f>
        <v>176</v>
      </c>
      <c r="B177" s="0" t="str">
        <f aca="true">IF(RAND()&lt;Assumptions!$B$11,"Bull","Bear")</f>
        <v>Bull</v>
      </c>
      <c r="C177" s="0" t="str">
        <f aca="true">IF(B177="Bull",IF(RAND()&lt;Assumptions!$B$7,"Bull","Bear"),IF(RAND()&lt;Assumptions!$B$10,"Bear","Bull"))</f>
        <v>Bull</v>
      </c>
      <c r="D177" s="0" t="str">
        <f aca="true">IF(C177="Bull",IF(RAND()&lt;Assumptions!$B$7,"Bull","Bear"),IF(RAND()&lt;Assumptions!$B$10,"Bear","Bull"))</f>
        <v>Bull</v>
      </c>
      <c r="E177" s="0" t="str">
        <f aca="true">IF(D177="Bull",IF(RAND()&lt;Assumptions!$B$7,"Bull","Bear"),IF(RAND()&lt;Assumptions!$B$10,"Bear","Bull"))</f>
        <v>Bull</v>
      </c>
      <c r="F177" s="0" t="str">
        <f aca="true">IF(E177="Bull",IF(RAND()&lt;Assumptions!$B$7,"Bull","Bear"),IF(RAND()&lt;Assumptions!$B$10,"Bear","Bull"))</f>
        <v>Bear</v>
      </c>
      <c r="G177" s="0" t="str">
        <f aca="true">IF(F177="Bull",IF(RAND()&lt;Assumptions!$B$7,"Bull","Bear"),IF(RAND()&lt;Assumptions!$B$10,"Bear","Bull"))</f>
        <v>Bear</v>
      </c>
      <c r="H177" s="8" t="n">
        <f aca="true">IF(B177="Bull",NORMINV(RAND(),Assumptions!$B$5,Assumptions!$B$6),NORMINV(RAND(),Assumptions!$B$8,Assumptions!$B$9))</f>
        <v>0.158700942817807</v>
      </c>
      <c r="I177" s="8" t="n">
        <f aca="true">IF(C177="Bull",NORMINV(RAND(),Assumptions!$B$5,Assumptions!$B$6),NORMINV(RAND(),Assumptions!$B$8,Assumptions!$B$9))</f>
        <v>0.354910695450097</v>
      </c>
      <c r="J177" s="8" t="n">
        <f aca="true">IF(D177="Bull",NORMINV(RAND(),Assumptions!$B$5,Assumptions!$B$6),NORMINV(RAND(),Assumptions!$B$8,Assumptions!$B$9))</f>
        <v>0.127265597123702</v>
      </c>
      <c r="K177" s="8" t="n">
        <f aca="true">IF(E177="Bull",NORMINV(RAND(),Assumptions!$B$5,Assumptions!$B$6),NORMINV(RAND(),Assumptions!$B$8,Assumptions!$B$9))</f>
        <v>0.034198111430664</v>
      </c>
      <c r="L177" s="8" t="n">
        <f aca="true">IF(F177="Bull",NORMINV(RAND(),Assumptions!$B$5,Assumptions!$B$6),NORMINV(RAND(),Assumptions!$B$8,Assumptions!$B$9))</f>
        <v>0.0718599000430672</v>
      </c>
      <c r="M177" s="8" t="n">
        <f aca="true">IF(G177="Bull",NORMINV(RAND(),Assumptions!$B$5,Assumptions!$B$6),NORMINV(RAND(),Assumptions!$B$8,Assumptions!$B$9))</f>
        <v>-0.0156802742715714</v>
      </c>
      <c r="N177" s="8" t="n">
        <f aca="true">NORMINV(RAND(),Assumptions!$B$14,Assumptions!$B$15)</f>
        <v>0.0968342285135054</v>
      </c>
      <c r="O177" s="8" t="n">
        <f aca="true">NORMINV(RAND(),Assumptions!$B$14,Assumptions!$B$15)</f>
        <v>0.0173488050813281</v>
      </c>
      <c r="P177" s="8" t="n">
        <f aca="true">NORMINV(RAND(),Assumptions!$B$14,Assumptions!$B$15)</f>
        <v>-0.0215861397303525</v>
      </c>
      <c r="Q177" s="8" t="n">
        <f aca="true">NORMINV(RAND(),Assumptions!$B$14,Assumptions!$B$15)</f>
        <v>0.0227399674751597</v>
      </c>
      <c r="R177" s="8" t="n">
        <f aca="true">NORMINV(RAND(),Assumptions!$B$14,Assumptions!$B$15)</f>
        <v>-0.0241138193266684</v>
      </c>
      <c r="S177" s="8" t="n">
        <f aca="true">NORMINV(RAND(),Assumptions!$B$14,Assumptions!$B$15)</f>
        <v>0.0579161294379092</v>
      </c>
      <c r="T177" s="8" t="n">
        <f aca="false">Assumptions!$B$19*H177+(1-Assumptions!$B$19)*N177</f>
        <v>0.158700942817807</v>
      </c>
      <c r="U177" s="8" t="n">
        <f aca="false">Assumptions!$B$20*I177+(1-Assumptions!$B$20)*O177</f>
        <v>0.354910695450097</v>
      </c>
      <c r="V177" s="8" t="n">
        <f aca="false">Assumptions!$B$21*J177+(1-Assumptions!$B$21)*P177</f>
        <v>0.127265597123702</v>
      </c>
      <c r="W177" s="8" t="n">
        <f aca="false">Assumptions!$B$22*K177+(1-Assumptions!$B$22)*Q177</f>
        <v>0.034198111430664</v>
      </c>
      <c r="X177" s="8" t="n">
        <f aca="false">Assumptions!$B$23*L177+(1-Assumptions!$B$23)*R177</f>
        <v>0.0526651561691201</v>
      </c>
      <c r="Y177" s="8" t="n">
        <f aca="false">Assumptions!$B$24*M177+(1-Assumptions!$B$24)*S177</f>
        <v>0.0137582872122209</v>
      </c>
      <c r="Z177" s="6" t="n">
        <f aca="false">Assumptions!$B$27*(1+T177)</f>
        <v>347610.282845342</v>
      </c>
      <c r="AA177" s="6" t="n">
        <f aca="false">(Z177+Assumptions!$B$28)*(1+U177)</f>
        <v>674217.494393102</v>
      </c>
      <c r="AB177" s="6" t="n">
        <f aca="false">AA177*(1+V177)</f>
        <v>760022.186408287</v>
      </c>
      <c r="AC177" s="6" t="n">
        <f aca="false">AB177*(1+W177)</f>
        <v>786013.509828854</v>
      </c>
      <c r="AD177" s="6" t="n">
        <f aca="false">AC177*(1+X177)</f>
        <v>827409.034075029</v>
      </c>
      <c r="AE177" s="6" t="n">
        <f aca="false">AD177*(1+Y177)</f>
        <v>838792.765207819</v>
      </c>
      <c r="AF177" s="6" t="n">
        <f aca="false">Z177</f>
        <v>347610.282845342</v>
      </c>
      <c r="AG177" s="6" t="n">
        <f aca="false">MAX(AF177,AA177)</f>
        <v>674217.494393102</v>
      </c>
      <c r="AH177" s="6" t="n">
        <f aca="false">MAX(AG177,AB177)</f>
        <v>760022.186408287</v>
      </c>
      <c r="AI177" s="6" t="n">
        <f aca="false">MAX(AH177,AC177)</f>
        <v>786013.509828854</v>
      </c>
      <c r="AJ177" s="6" t="n">
        <f aca="false">MAX(AI177,AD177)</f>
        <v>827409.034075029</v>
      </c>
      <c r="AK177" s="6" t="n">
        <f aca="false">MAX(AJ177,AE177)</f>
        <v>838792.765207819</v>
      </c>
      <c r="AL177" s="8" t="n">
        <f aca="false">MIN(Z177/AF177-1,AA177/AG177-1,AB177/AH177-1,AC177/AI177-1,AD177/AJ177-1,AE177/AK177-1)</f>
        <v>0</v>
      </c>
      <c r="AM177" s="6" t="n">
        <f aca="false">AE177-Assumptions!$B$35</f>
        <v>397528.768545316</v>
      </c>
    </row>
    <row r="178" customFormat="false" ht="15" hidden="false" customHeight="false" outlineLevel="0" collapsed="false">
      <c r="A178" s="0" t="n">
        <f aca="false">ROW()-1</f>
        <v>177</v>
      </c>
      <c r="B178" s="0" t="str">
        <f aca="true">IF(RAND()&lt;Assumptions!$B$11,"Bull","Bear")</f>
        <v>Bull</v>
      </c>
      <c r="C178" s="0" t="str">
        <f aca="true">IF(B178="Bull",IF(RAND()&lt;Assumptions!$B$7,"Bull","Bear"),IF(RAND()&lt;Assumptions!$B$10,"Bear","Bull"))</f>
        <v>Bull</v>
      </c>
      <c r="D178" s="0" t="str">
        <f aca="true">IF(C178="Bull",IF(RAND()&lt;Assumptions!$B$7,"Bull","Bear"),IF(RAND()&lt;Assumptions!$B$10,"Bear","Bull"))</f>
        <v>Bull</v>
      </c>
      <c r="E178" s="0" t="str">
        <f aca="true">IF(D178="Bull",IF(RAND()&lt;Assumptions!$B$7,"Bull","Bear"),IF(RAND()&lt;Assumptions!$B$10,"Bear","Bull"))</f>
        <v>Bull</v>
      </c>
      <c r="F178" s="0" t="str">
        <f aca="true">IF(E178="Bull",IF(RAND()&lt;Assumptions!$B$7,"Bull","Bear"),IF(RAND()&lt;Assumptions!$B$10,"Bear","Bull"))</f>
        <v>Bull</v>
      </c>
      <c r="G178" s="0" t="str">
        <f aca="true">IF(F178="Bull",IF(RAND()&lt;Assumptions!$B$7,"Bull","Bear"),IF(RAND()&lt;Assumptions!$B$10,"Bear","Bull"))</f>
        <v>Bear</v>
      </c>
      <c r="H178" s="8" t="n">
        <f aca="true">IF(B178="Bull",NORMINV(RAND(),Assumptions!$B$5,Assumptions!$B$6),NORMINV(RAND(),Assumptions!$B$8,Assumptions!$B$9))</f>
        <v>-0.017158795541162</v>
      </c>
      <c r="I178" s="8" t="n">
        <f aca="true">IF(C178="Bull",NORMINV(RAND(),Assumptions!$B$5,Assumptions!$B$6),NORMINV(RAND(),Assumptions!$B$8,Assumptions!$B$9))</f>
        <v>0.139161415858747</v>
      </c>
      <c r="J178" s="8" t="n">
        <f aca="true">IF(D178="Bull",NORMINV(RAND(),Assumptions!$B$5,Assumptions!$B$6),NORMINV(RAND(),Assumptions!$B$8,Assumptions!$B$9))</f>
        <v>0.346191061838122</v>
      </c>
      <c r="K178" s="8" t="n">
        <f aca="true">IF(E178="Bull",NORMINV(RAND(),Assumptions!$B$5,Assumptions!$B$6),NORMINV(RAND(),Assumptions!$B$8,Assumptions!$B$9))</f>
        <v>-0.00763692782647668</v>
      </c>
      <c r="L178" s="8" t="n">
        <f aca="true">IF(F178="Bull",NORMINV(RAND(),Assumptions!$B$5,Assumptions!$B$6),NORMINV(RAND(),Assumptions!$B$8,Assumptions!$B$9))</f>
        <v>0.114245180261506</v>
      </c>
      <c r="M178" s="8" t="n">
        <f aca="true">IF(G178="Bull",NORMINV(RAND(),Assumptions!$B$5,Assumptions!$B$6),NORMINV(RAND(),Assumptions!$B$8,Assumptions!$B$9))</f>
        <v>-0.0474976835598944</v>
      </c>
      <c r="N178" s="8" t="n">
        <f aca="true">NORMINV(RAND(),Assumptions!$B$14,Assumptions!$B$15)</f>
        <v>0.0394299558132534</v>
      </c>
      <c r="O178" s="8" t="n">
        <f aca="true">NORMINV(RAND(),Assumptions!$B$14,Assumptions!$B$15)</f>
        <v>0.0699882070843295</v>
      </c>
      <c r="P178" s="8" t="n">
        <f aca="true">NORMINV(RAND(),Assumptions!$B$14,Assumptions!$B$15)</f>
        <v>0.0492737715618294</v>
      </c>
      <c r="Q178" s="8" t="n">
        <f aca="true">NORMINV(RAND(),Assumptions!$B$14,Assumptions!$B$15)</f>
        <v>0.0692617351065189</v>
      </c>
      <c r="R178" s="8" t="n">
        <f aca="true">NORMINV(RAND(),Assumptions!$B$14,Assumptions!$B$15)</f>
        <v>0.024153777059474</v>
      </c>
      <c r="S178" s="8" t="n">
        <f aca="true">NORMINV(RAND(),Assumptions!$B$14,Assumptions!$B$15)</f>
        <v>0.0908593250167712</v>
      </c>
      <c r="T178" s="8" t="n">
        <f aca="false">Assumptions!$B$19*H178+(1-Assumptions!$B$19)*N178</f>
        <v>-0.017158795541162</v>
      </c>
      <c r="U178" s="8" t="n">
        <f aca="false">Assumptions!$B$20*I178+(1-Assumptions!$B$20)*O178</f>
        <v>0.139161415858747</v>
      </c>
      <c r="V178" s="8" t="n">
        <f aca="false">Assumptions!$B$21*J178+(1-Assumptions!$B$21)*P178</f>
        <v>0.346191061838122</v>
      </c>
      <c r="W178" s="8" t="n">
        <f aca="false">Assumptions!$B$22*K178+(1-Assumptions!$B$22)*Q178</f>
        <v>-0.00763692782647668</v>
      </c>
      <c r="X178" s="8" t="n">
        <f aca="false">Assumptions!$B$23*L178+(1-Assumptions!$B$23)*R178</f>
        <v>0.0962268996210995</v>
      </c>
      <c r="Y178" s="8" t="n">
        <f aca="false">Assumptions!$B$24*M178+(1-Assumptions!$B$24)*S178</f>
        <v>0.00784511987077187</v>
      </c>
      <c r="Z178" s="6" t="n">
        <f aca="false">Assumptions!$B$27*(1+T178)</f>
        <v>294852.361337651</v>
      </c>
      <c r="AA178" s="6" t="n">
        <f aca="false">(Z178+Assumptions!$B$28)*(1+U178)</f>
        <v>506758.645789506</v>
      </c>
      <c r="AB178" s="6" t="n">
        <f aca="false">AA178*(1+V178)</f>
        <v>682193.959471024</v>
      </c>
      <c r="AC178" s="6" t="n">
        <f aca="false">AB178*(1+W178)</f>
        <v>676984.093438885</v>
      </c>
      <c r="AD178" s="6" t="n">
        <f aca="false">AC178*(1+X178)</f>
        <v>742128.17384331</v>
      </c>
      <c r="AE178" s="6" t="n">
        <f aca="false">AD178*(1+Y178)</f>
        <v>747950.258326588</v>
      </c>
      <c r="AF178" s="6" t="n">
        <f aca="false">Z178</f>
        <v>294852.361337651</v>
      </c>
      <c r="AG178" s="6" t="n">
        <f aca="false">MAX(AF178,AA178)</f>
        <v>506758.645789506</v>
      </c>
      <c r="AH178" s="6" t="n">
        <f aca="false">MAX(AG178,AB178)</f>
        <v>682193.959471024</v>
      </c>
      <c r="AI178" s="6" t="n">
        <f aca="false">MAX(AH178,AC178)</f>
        <v>682193.959471024</v>
      </c>
      <c r="AJ178" s="6" t="n">
        <f aca="false">MAX(AI178,AD178)</f>
        <v>742128.17384331</v>
      </c>
      <c r="AK178" s="6" t="n">
        <f aca="false">MAX(AJ178,AE178)</f>
        <v>747950.258326588</v>
      </c>
      <c r="AL178" s="8" t="n">
        <f aca="false">MIN(Z178/AF178-1,AA178/AG178-1,AB178/AH178-1,AC178/AI178-1,AD178/AJ178-1,AE178/AK178-1)</f>
        <v>-0.00763692782647674</v>
      </c>
      <c r="AM178" s="6" t="n">
        <f aca="false">AE178-Assumptions!$B$35</f>
        <v>306686.261664084</v>
      </c>
    </row>
    <row r="179" customFormat="false" ht="15" hidden="false" customHeight="false" outlineLevel="0" collapsed="false">
      <c r="A179" s="0" t="n">
        <f aca="false">ROW()-1</f>
        <v>178</v>
      </c>
      <c r="B179" s="0" t="str">
        <f aca="true">IF(RAND()&lt;Assumptions!$B$11,"Bull","Bear")</f>
        <v>Bull</v>
      </c>
      <c r="C179" s="0" t="str">
        <f aca="true">IF(B179="Bull",IF(RAND()&lt;Assumptions!$B$7,"Bull","Bear"),IF(RAND()&lt;Assumptions!$B$10,"Bear","Bull"))</f>
        <v>Bull</v>
      </c>
      <c r="D179" s="0" t="str">
        <f aca="true">IF(C179="Bull",IF(RAND()&lt;Assumptions!$B$7,"Bull","Bear"),IF(RAND()&lt;Assumptions!$B$10,"Bear","Bull"))</f>
        <v>Bull</v>
      </c>
      <c r="E179" s="0" t="str">
        <f aca="true">IF(D179="Bull",IF(RAND()&lt;Assumptions!$B$7,"Bull","Bear"),IF(RAND()&lt;Assumptions!$B$10,"Bear","Bull"))</f>
        <v>Bull</v>
      </c>
      <c r="F179" s="0" t="str">
        <f aca="true">IF(E179="Bull",IF(RAND()&lt;Assumptions!$B$7,"Bull","Bear"),IF(RAND()&lt;Assumptions!$B$10,"Bear","Bull"))</f>
        <v>Bull</v>
      </c>
      <c r="G179" s="0" t="str">
        <f aca="true">IF(F179="Bull",IF(RAND()&lt;Assumptions!$B$7,"Bull","Bear"),IF(RAND()&lt;Assumptions!$B$10,"Bear","Bull"))</f>
        <v>Bull</v>
      </c>
      <c r="H179" s="8" t="n">
        <f aca="true">IF(B179="Bull",NORMINV(RAND(),Assumptions!$B$5,Assumptions!$B$6),NORMINV(RAND(),Assumptions!$B$8,Assumptions!$B$9))</f>
        <v>0.101447561590233</v>
      </c>
      <c r="I179" s="8" t="n">
        <f aca="true">IF(C179="Bull",NORMINV(RAND(),Assumptions!$B$5,Assumptions!$B$6),NORMINV(RAND(),Assumptions!$B$8,Assumptions!$B$9))</f>
        <v>0.182233338860666</v>
      </c>
      <c r="J179" s="8" t="n">
        <f aca="true">IF(D179="Bull",NORMINV(RAND(),Assumptions!$B$5,Assumptions!$B$6),NORMINV(RAND(),Assumptions!$B$8,Assumptions!$B$9))</f>
        <v>0.0761511084988203</v>
      </c>
      <c r="K179" s="8" t="n">
        <f aca="true">IF(E179="Bull",NORMINV(RAND(),Assumptions!$B$5,Assumptions!$B$6),NORMINV(RAND(),Assumptions!$B$8,Assumptions!$B$9))</f>
        <v>0.157182470503806</v>
      </c>
      <c r="L179" s="8" t="n">
        <f aca="true">IF(F179="Bull",NORMINV(RAND(),Assumptions!$B$5,Assumptions!$B$6),NORMINV(RAND(),Assumptions!$B$8,Assumptions!$B$9))</f>
        <v>0.122159217376166</v>
      </c>
      <c r="M179" s="8" t="n">
        <f aca="true">IF(G179="Bull",NORMINV(RAND(),Assumptions!$B$5,Assumptions!$B$6),NORMINV(RAND(),Assumptions!$B$8,Assumptions!$B$9))</f>
        <v>0.167800389155313</v>
      </c>
      <c r="N179" s="8" t="n">
        <f aca="true">NORMINV(RAND(),Assumptions!$B$14,Assumptions!$B$15)</f>
        <v>0.0446276437995557</v>
      </c>
      <c r="O179" s="8" t="n">
        <f aca="true">NORMINV(RAND(),Assumptions!$B$14,Assumptions!$B$15)</f>
        <v>0.0215037011693347</v>
      </c>
      <c r="P179" s="8" t="n">
        <f aca="true">NORMINV(RAND(),Assumptions!$B$14,Assumptions!$B$15)</f>
        <v>0.0677328629824301</v>
      </c>
      <c r="Q179" s="8" t="n">
        <f aca="true">NORMINV(RAND(),Assumptions!$B$14,Assumptions!$B$15)</f>
        <v>0.0648543786417501</v>
      </c>
      <c r="R179" s="8" t="n">
        <f aca="true">NORMINV(RAND(),Assumptions!$B$14,Assumptions!$B$15)</f>
        <v>0.0274737690405158</v>
      </c>
      <c r="S179" s="8" t="n">
        <f aca="true">NORMINV(RAND(),Assumptions!$B$14,Assumptions!$B$15)</f>
        <v>0.0378128435103929</v>
      </c>
      <c r="T179" s="8" t="n">
        <f aca="false">Assumptions!$B$19*H179+(1-Assumptions!$B$19)*N179</f>
        <v>0.101447561590233</v>
      </c>
      <c r="U179" s="8" t="n">
        <f aca="false">Assumptions!$B$20*I179+(1-Assumptions!$B$20)*O179</f>
        <v>0.182233338860666</v>
      </c>
      <c r="V179" s="8" t="n">
        <f aca="false">Assumptions!$B$21*J179+(1-Assumptions!$B$21)*P179</f>
        <v>0.0761511084988203</v>
      </c>
      <c r="W179" s="8" t="n">
        <f aca="false">Assumptions!$B$22*K179+(1-Assumptions!$B$22)*Q179</f>
        <v>0.157182470503806</v>
      </c>
      <c r="X179" s="8" t="n">
        <f aca="false">Assumptions!$B$23*L179+(1-Assumptions!$B$23)*R179</f>
        <v>0.103222127709036</v>
      </c>
      <c r="Y179" s="8" t="n">
        <f aca="false">Assumptions!$B$24*M179+(1-Assumptions!$B$24)*S179</f>
        <v>0.115805370897345</v>
      </c>
      <c r="Z179" s="6" t="n">
        <f aca="false">Assumptions!$B$27*(1+T179)</f>
        <v>330434.26847707</v>
      </c>
      <c r="AA179" s="6" t="n">
        <f aca="false">(Z179+Assumptions!$B$28)*(1+U179)</f>
        <v>567985.409324728</v>
      </c>
      <c r="AB179" s="6" t="n">
        <f aca="false">AA179*(1+V179)</f>
        <v>611238.127855962</v>
      </c>
      <c r="AC179" s="6" t="n">
        <f aca="false">AB179*(1+W179)</f>
        <v>707314.046858484</v>
      </c>
      <c r="AD179" s="6" t="n">
        <f aca="false">AC179*(1+X179)</f>
        <v>780324.507733705</v>
      </c>
      <c r="AE179" s="6" t="n">
        <f aca="false">AD179*(1+Y179)</f>
        <v>870690.276772095</v>
      </c>
      <c r="AF179" s="6" t="n">
        <f aca="false">Z179</f>
        <v>330434.26847707</v>
      </c>
      <c r="AG179" s="6" t="n">
        <f aca="false">MAX(AF179,AA179)</f>
        <v>567985.409324728</v>
      </c>
      <c r="AH179" s="6" t="n">
        <f aca="false">MAX(AG179,AB179)</f>
        <v>611238.127855962</v>
      </c>
      <c r="AI179" s="6" t="n">
        <f aca="false">MAX(AH179,AC179)</f>
        <v>707314.046858484</v>
      </c>
      <c r="AJ179" s="6" t="n">
        <f aca="false">MAX(AI179,AD179)</f>
        <v>780324.507733705</v>
      </c>
      <c r="AK179" s="6" t="n">
        <f aca="false">MAX(AJ179,AE179)</f>
        <v>870690.276772095</v>
      </c>
      <c r="AL179" s="8" t="n">
        <f aca="false">MIN(Z179/AF179-1,AA179/AG179-1,AB179/AH179-1,AC179/AI179-1,AD179/AJ179-1,AE179/AK179-1)</f>
        <v>0</v>
      </c>
      <c r="AM179" s="6" t="n">
        <f aca="false">AE179-Assumptions!$B$35</f>
        <v>429426.280109592</v>
      </c>
    </row>
    <row r="180" customFormat="false" ht="15" hidden="false" customHeight="false" outlineLevel="0" collapsed="false">
      <c r="A180" s="0" t="n">
        <f aca="false">ROW()-1</f>
        <v>179</v>
      </c>
      <c r="B180" s="0" t="str">
        <f aca="true">IF(RAND()&lt;Assumptions!$B$11,"Bull","Bear")</f>
        <v>Bull</v>
      </c>
      <c r="C180" s="0" t="str">
        <f aca="true">IF(B180="Bull",IF(RAND()&lt;Assumptions!$B$7,"Bull","Bear"),IF(RAND()&lt;Assumptions!$B$10,"Bear","Bull"))</f>
        <v>Bull</v>
      </c>
      <c r="D180" s="0" t="str">
        <f aca="true">IF(C180="Bull",IF(RAND()&lt;Assumptions!$B$7,"Bull","Bear"),IF(RAND()&lt;Assumptions!$B$10,"Bear","Bull"))</f>
        <v>Bull</v>
      </c>
      <c r="E180" s="0" t="str">
        <f aca="true">IF(D180="Bull",IF(RAND()&lt;Assumptions!$B$7,"Bull","Bear"),IF(RAND()&lt;Assumptions!$B$10,"Bear","Bull"))</f>
        <v>Bull</v>
      </c>
      <c r="F180" s="0" t="str">
        <f aca="true">IF(E180="Bull",IF(RAND()&lt;Assumptions!$B$7,"Bull","Bear"),IF(RAND()&lt;Assumptions!$B$10,"Bear","Bull"))</f>
        <v>Bull</v>
      </c>
      <c r="G180" s="0" t="str">
        <f aca="true">IF(F180="Bull",IF(RAND()&lt;Assumptions!$B$7,"Bull","Bear"),IF(RAND()&lt;Assumptions!$B$10,"Bear","Bull"))</f>
        <v>Bear</v>
      </c>
      <c r="H180" s="8" t="n">
        <f aca="true">IF(B180="Bull",NORMINV(RAND(),Assumptions!$B$5,Assumptions!$B$6),NORMINV(RAND(),Assumptions!$B$8,Assumptions!$B$9))</f>
        <v>0.176228996066141</v>
      </c>
      <c r="I180" s="8" t="n">
        <f aca="true">IF(C180="Bull",NORMINV(RAND(),Assumptions!$B$5,Assumptions!$B$6),NORMINV(RAND(),Assumptions!$B$8,Assumptions!$B$9))</f>
        <v>0.232371821876781</v>
      </c>
      <c r="J180" s="8" t="n">
        <f aca="true">IF(D180="Bull",NORMINV(RAND(),Assumptions!$B$5,Assumptions!$B$6),NORMINV(RAND(),Assumptions!$B$8,Assumptions!$B$9))</f>
        <v>0.236997115976802</v>
      </c>
      <c r="K180" s="8" t="n">
        <f aca="true">IF(E180="Bull",NORMINV(RAND(),Assumptions!$B$5,Assumptions!$B$6),NORMINV(RAND(),Assumptions!$B$8,Assumptions!$B$9))</f>
        <v>0.210605304612885</v>
      </c>
      <c r="L180" s="8" t="n">
        <f aca="true">IF(F180="Bull",NORMINV(RAND(),Assumptions!$B$5,Assumptions!$B$6),NORMINV(RAND(),Assumptions!$B$8,Assumptions!$B$9))</f>
        <v>0.118718860966894</v>
      </c>
      <c r="M180" s="8" t="n">
        <f aca="true">IF(G180="Bull",NORMINV(RAND(),Assumptions!$B$5,Assumptions!$B$6),NORMINV(RAND(),Assumptions!$B$8,Assumptions!$B$9))</f>
        <v>-0.343382769618128</v>
      </c>
      <c r="N180" s="8" t="n">
        <f aca="true">NORMINV(RAND(),Assumptions!$B$14,Assumptions!$B$15)</f>
        <v>0.0483260874365847</v>
      </c>
      <c r="O180" s="8" t="n">
        <f aca="true">NORMINV(RAND(),Assumptions!$B$14,Assumptions!$B$15)</f>
        <v>0.0531536477574482</v>
      </c>
      <c r="P180" s="8" t="n">
        <f aca="true">NORMINV(RAND(),Assumptions!$B$14,Assumptions!$B$15)</f>
        <v>0.0914807627398317</v>
      </c>
      <c r="Q180" s="8" t="n">
        <f aca="true">NORMINV(RAND(),Assumptions!$B$14,Assumptions!$B$15)</f>
        <v>0.065811535323629</v>
      </c>
      <c r="R180" s="8" t="n">
        <f aca="true">NORMINV(RAND(),Assumptions!$B$14,Assumptions!$B$15)</f>
        <v>0.0380704534848398</v>
      </c>
      <c r="S180" s="8" t="n">
        <f aca="true">NORMINV(RAND(),Assumptions!$B$14,Assumptions!$B$15)</f>
        <v>0.094948911437866</v>
      </c>
      <c r="T180" s="8" t="n">
        <f aca="false">Assumptions!$B$19*H180+(1-Assumptions!$B$19)*N180</f>
        <v>0.176228996066141</v>
      </c>
      <c r="U180" s="8" t="n">
        <f aca="false">Assumptions!$B$20*I180+(1-Assumptions!$B$20)*O180</f>
        <v>0.232371821876781</v>
      </c>
      <c r="V180" s="8" t="n">
        <f aca="false">Assumptions!$B$21*J180+(1-Assumptions!$B$21)*P180</f>
        <v>0.236997115976802</v>
      </c>
      <c r="W180" s="8" t="n">
        <f aca="false">Assumptions!$B$22*K180+(1-Assumptions!$B$22)*Q180</f>
        <v>0.210605304612885</v>
      </c>
      <c r="X180" s="8" t="n">
        <f aca="false">Assumptions!$B$23*L180+(1-Assumptions!$B$23)*R180</f>
        <v>0.102589179470483</v>
      </c>
      <c r="Y180" s="8" t="n">
        <f aca="false">Assumptions!$B$24*M180+(1-Assumptions!$B$24)*S180</f>
        <v>-0.16805009719573</v>
      </c>
      <c r="Z180" s="6" t="n">
        <f aca="false">Assumptions!$B$27*(1+T180)</f>
        <v>352868.698819842</v>
      </c>
      <c r="AA180" s="6" t="n">
        <f aca="false">(Z180+Assumptions!$B$28)*(1+U180)</f>
        <v>619721.214529415</v>
      </c>
      <c r="AB180" s="6" t="n">
        <f aca="false">AA180*(1+V180)</f>
        <v>766593.355082528</v>
      </c>
      <c r="AC180" s="6" t="n">
        <f aca="false">AB180*(1+W180)</f>
        <v>928041.982143897</v>
      </c>
      <c r="AD180" s="6" t="n">
        <f aca="false">AC180*(1+X180)</f>
        <v>1023249.0476062</v>
      </c>
      <c r="AE180" s="6" t="n">
        <f aca="false">AD180*(1+Y180)</f>
        <v>851291.94570054</v>
      </c>
      <c r="AF180" s="6" t="n">
        <f aca="false">Z180</f>
        <v>352868.698819842</v>
      </c>
      <c r="AG180" s="6" t="n">
        <f aca="false">MAX(AF180,AA180)</f>
        <v>619721.214529415</v>
      </c>
      <c r="AH180" s="6" t="n">
        <f aca="false">MAX(AG180,AB180)</f>
        <v>766593.355082528</v>
      </c>
      <c r="AI180" s="6" t="n">
        <f aca="false">MAX(AH180,AC180)</f>
        <v>928041.982143897</v>
      </c>
      <c r="AJ180" s="6" t="n">
        <f aca="false">MAX(AI180,AD180)</f>
        <v>1023249.0476062</v>
      </c>
      <c r="AK180" s="6" t="n">
        <f aca="false">MAX(AJ180,AE180)</f>
        <v>1023249.0476062</v>
      </c>
      <c r="AL180" s="8" t="n">
        <f aca="false">MIN(Z180/AF180-1,AA180/AG180-1,AB180/AH180-1,AC180/AI180-1,AD180/AJ180-1,AE180/AK180-1)</f>
        <v>-0.16805009719573</v>
      </c>
      <c r="AM180" s="6" t="n">
        <f aca="false">AE180-Assumptions!$B$35</f>
        <v>410027.949038037</v>
      </c>
    </row>
    <row r="181" customFormat="false" ht="15" hidden="false" customHeight="false" outlineLevel="0" collapsed="false">
      <c r="A181" s="0" t="n">
        <f aca="false">ROW()-1</f>
        <v>180</v>
      </c>
      <c r="B181" s="0" t="str">
        <f aca="true">IF(RAND()&lt;Assumptions!$B$11,"Bull","Bear")</f>
        <v>Bull</v>
      </c>
      <c r="C181" s="0" t="str">
        <f aca="true">IF(B181="Bull",IF(RAND()&lt;Assumptions!$B$7,"Bull","Bear"),IF(RAND()&lt;Assumptions!$B$10,"Bear","Bull"))</f>
        <v>Bull</v>
      </c>
      <c r="D181" s="0" t="str">
        <f aca="true">IF(C181="Bull",IF(RAND()&lt;Assumptions!$B$7,"Bull","Bear"),IF(RAND()&lt;Assumptions!$B$10,"Bear","Bull"))</f>
        <v>Bull</v>
      </c>
      <c r="E181" s="0" t="str">
        <f aca="true">IF(D181="Bull",IF(RAND()&lt;Assumptions!$B$7,"Bull","Bear"),IF(RAND()&lt;Assumptions!$B$10,"Bear","Bull"))</f>
        <v>Bull</v>
      </c>
      <c r="F181" s="0" t="str">
        <f aca="true">IF(E181="Bull",IF(RAND()&lt;Assumptions!$B$7,"Bull","Bear"),IF(RAND()&lt;Assumptions!$B$10,"Bear","Bull"))</f>
        <v>Bull</v>
      </c>
      <c r="G181" s="0" t="str">
        <f aca="true">IF(F181="Bull",IF(RAND()&lt;Assumptions!$B$7,"Bull","Bear"),IF(RAND()&lt;Assumptions!$B$10,"Bear","Bull"))</f>
        <v>Bull</v>
      </c>
      <c r="H181" s="8" t="n">
        <f aca="true">IF(B181="Bull",NORMINV(RAND(),Assumptions!$B$5,Assumptions!$B$6),NORMINV(RAND(),Assumptions!$B$8,Assumptions!$B$9))</f>
        <v>0.142255416643038</v>
      </c>
      <c r="I181" s="8" t="n">
        <f aca="true">IF(C181="Bull",NORMINV(RAND(),Assumptions!$B$5,Assumptions!$B$6),NORMINV(RAND(),Assumptions!$B$8,Assumptions!$B$9))</f>
        <v>0.279954933165067</v>
      </c>
      <c r="J181" s="8" t="n">
        <f aca="true">IF(D181="Bull",NORMINV(RAND(),Assumptions!$B$5,Assumptions!$B$6),NORMINV(RAND(),Assumptions!$B$8,Assumptions!$B$9))</f>
        <v>0.157704821132606</v>
      </c>
      <c r="K181" s="8" t="n">
        <f aca="true">IF(E181="Bull",NORMINV(RAND(),Assumptions!$B$5,Assumptions!$B$6),NORMINV(RAND(),Assumptions!$B$8,Assumptions!$B$9))</f>
        <v>0.26529184625535</v>
      </c>
      <c r="L181" s="8" t="n">
        <f aca="true">IF(F181="Bull",NORMINV(RAND(),Assumptions!$B$5,Assumptions!$B$6),NORMINV(RAND(),Assumptions!$B$8,Assumptions!$B$9))</f>
        <v>0.160084973173678</v>
      </c>
      <c r="M181" s="8" t="n">
        <f aca="true">IF(G181="Bull",NORMINV(RAND(),Assumptions!$B$5,Assumptions!$B$6),NORMINV(RAND(),Assumptions!$B$8,Assumptions!$B$9))</f>
        <v>0.0831448383236692</v>
      </c>
      <c r="N181" s="8" t="n">
        <f aca="true">NORMINV(RAND(),Assumptions!$B$14,Assumptions!$B$15)</f>
        <v>0.0494068271917909</v>
      </c>
      <c r="O181" s="8" t="n">
        <f aca="true">NORMINV(RAND(),Assumptions!$B$14,Assumptions!$B$15)</f>
        <v>0.0783335839041358</v>
      </c>
      <c r="P181" s="8" t="n">
        <f aca="true">NORMINV(RAND(),Assumptions!$B$14,Assumptions!$B$15)</f>
        <v>0.023089734427747</v>
      </c>
      <c r="Q181" s="8" t="n">
        <f aca="true">NORMINV(RAND(),Assumptions!$B$14,Assumptions!$B$15)</f>
        <v>0.0694765553729908</v>
      </c>
      <c r="R181" s="8" t="n">
        <f aca="true">NORMINV(RAND(),Assumptions!$B$14,Assumptions!$B$15)</f>
        <v>-0.0165377623030551</v>
      </c>
      <c r="S181" s="8" t="n">
        <f aca="true">NORMINV(RAND(),Assumptions!$B$14,Assumptions!$B$15)</f>
        <v>0.0244125689464019</v>
      </c>
      <c r="T181" s="8" t="n">
        <f aca="false">Assumptions!$B$19*H181+(1-Assumptions!$B$19)*N181</f>
        <v>0.142255416643038</v>
      </c>
      <c r="U181" s="8" t="n">
        <f aca="false">Assumptions!$B$20*I181+(1-Assumptions!$B$20)*O181</f>
        <v>0.279954933165067</v>
      </c>
      <c r="V181" s="8" t="n">
        <f aca="false">Assumptions!$B$21*J181+(1-Assumptions!$B$21)*P181</f>
        <v>0.157704821132606</v>
      </c>
      <c r="W181" s="8" t="n">
        <f aca="false">Assumptions!$B$22*K181+(1-Assumptions!$B$22)*Q181</f>
        <v>0.26529184625535</v>
      </c>
      <c r="X181" s="8" t="n">
        <f aca="false">Assumptions!$B$23*L181+(1-Assumptions!$B$23)*R181</f>
        <v>0.124760426078332</v>
      </c>
      <c r="Y181" s="8" t="n">
        <f aca="false">Assumptions!$B$24*M181+(1-Assumptions!$B$24)*S181</f>
        <v>0.0596519305727622</v>
      </c>
      <c r="Z181" s="6" t="n">
        <f aca="false">Assumptions!$B$27*(1+T181)</f>
        <v>342676.624992911</v>
      </c>
      <c r="AA181" s="6" t="n">
        <f aca="false">(Z181+Assumptions!$B$28)*(1+U181)</f>
        <v>630603.876614792</v>
      </c>
      <c r="AB181" s="6" t="n">
        <f aca="false">AA181*(1+V181)</f>
        <v>730053.148181856</v>
      </c>
      <c r="AC181" s="6" t="n">
        <f aca="false">AB181*(1+W181)</f>
        <v>923730.295727551</v>
      </c>
      <c r="AD181" s="6" t="n">
        <f aca="false">AC181*(1+X181)</f>
        <v>1038975.28100398</v>
      </c>
      <c r="AE181" s="6" t="n">
        <f aca="false">AD181*(1+Y181)</f>
        <v>1100952.16233325</v>
      </c>
      <c r="AF181" s="6" t="n">
        <f aca="false">Z181</f>
        <v>342676.624992911</v>
      </c>
      <c r="AG181" s="6" t="n">
        <f aca="false">MAX(AF181,AA181)</f>
        <v>630603.876614792</v>
      </c>
      <c r="AH181" s="6" t="n">
        <f aca="false">MAX(AG181,AB181)</f>
        <v>730053.148181856</v>
      </c>
      <c r="AI181" s="6" t="n">
        <f aca="false">MAX(AH181,AC181)</f>
        <v>923730.295727551</v>
      </c>
      <c r="AJ181" s="6" t="n">
        <f aca="false">MAX(AI181,AD181)</f>
        <v>1038975.28100398</v>
      </c>
      <c r="AK181" s="6" t="n">
        <f aca="false">MAX(AJ181,AE181)</f>
        <v>1100952.16233325</v>
      </c>
      <c r="AL181" s="8" t="n">
        <f aca="false">MIN(Z181/AF181-1,AA181/AG181-1,AB181/AH181-1,AC181/AI181-1,AD181/AJ181-1,AE181/AK181-1)</f>
        <v>0</v>
      </c>
      <c r="AM181" s="6" t="n">
        <f aca="false">AE181-Assumptions!$B$35</f>
        <v>659688.165670746</v>
      </c>
    </row>
    <row r="182" customFormat="false" ht="15" hidden="false" customHeight="false" outlineLevel="0" collapsed="false">
      <c r="A182" s="0" t="n">
        <f aca="false">ROW()-1</f>
        <v>181</v>
      </c>
      <c r="B182" s="0" t="str">
        <f aca="true">IF(RAND()&lt;Assumptions!$B$11,"Bull","Bear")</f>
        <v>Bull</v>
      </c>
      <c r="C182" s="0" t="str">
        <f aca="true">IF(B182="Bull",IF(RAND()&lt;Assumptions!$B$7,"Bull","Bear"),IF(RAND()&lt;Assumptions!$B$10,"Bear","Bull"))</f>
        <v>Bull</v>
      </c>
      <c r="D182" s="0" t="str">
        <f aca="true">IF(C182="Bull",IF(RAND()&lt;Assumptions!$B$7,"Bull","Bear"),IF(RAND()&lt;Assumptions!$B$10,"Bear","Bull"))</f>
        <v>Bull</v>
      </c>
      <c r="E182" s="0" t="str">
        <f aca="true">IF(D182="Bull",IF(RAND()&lt;Assumptions!$B$7,"Bull","Bear"),IF(RAND()&lt;Assumptions!$B$10,"Bear","Bull"))</f>
        <v>Bear</v>
      </c>
      <c r="F182" s="0" t="str">
        <f aca="true">IF(E182="Bull",IF(RAND()&lt;Assumptions!$B$7,"Bull","Bear"),IF(RAND()&lt;Assumptions!$B$10,"Bear","Bull"))</f>
        <v>Bear</v>
      </c>
      <c r="G182" s="0" t="str">
        <f aca="true">IF(F182="Bull",IF(RAND()&lt;Assumptions!$B$7,"Bull","Bear"),IF(RAND()&lt;Assumptions!$B$10,"Bear","Bull"))</f>
        <v>Bull</v>
      </c>
      <c r="H182" s="8" t="n">
        <f aca="true">IF(B182="Bull",NORMINV(RAND(),Assumptions!$B$5,Assumptions!$B$6),NORMINV(RAND(),Assumptions!$B$8,Assumptions!$B$9))</f>
        <v>0.316575505555</v>
      </c>
      <c r="I182" s="8" t="n">
        <f aca="true">IF(C182="Bull",NORMINV(RAND(),Assumptions!$B$5,Assumptions!$B$6),NORMINV(RAND(),Assumptions!$B$8,Assumptions!$B$9))</f>
        <v>0.00418222807543625</v>
      </c>
      <c r="J182" s="8" t="n">
        <f aca="true">IF(D182="Bull",NORMINV(RAND(),Assumptions!$B$5,Assumptions!$B$6),NORMINV(RAND(),Assumptions!$B$8,Assumptions!$B$9))</f>
        <v>0.287707421764755</v>
      </c>
      <c r="K182" s="8" t="n">
        <f aca="true">IF(E182="Bull",NORMINV(RAND(),Assumptions!$B$5,Assumptions!$B$6),NORMINV(RAND(),Assumptions!$B$8,Assumptions!$B$9))</f>
        <v>-0.353632228180588</v>
      </c>
      <c r="L182" s="8" t="n">
        <f aca="true">IF(F182="Bull",NORMINV(RAND(),Assumptions!$B$5,Assumptions!$B$6),NORMINV(RAND(),Assumptions!$B$8,Assumptions!$B$9))</f>
        <v>0.0155772287324251</v>
      </c>
      <c r="M182" s="8" t="n">
        <f aca="true">IF(G182="Bull",NORMINV(RAND(),Assumptions!$B$5,Assumptions!$B$6),NORMINV(RAND(),Assumptions!$B$8,Assumptions!$B$9))</f>
        <v>0.292589141525244</v>
      </c>
      <c r="N182" s="8" t="n">
        <f aca="true">NORMINV(RAND(),Assumptions!$B$14,Assumptions!$B$15)</f>
        <v>-0.00205044915852013</v>
      </c>
      <c r="O182" s="8" t="n">
        <f aca="true">NORMINV(RAND(),Assumptions!$B$14,Assumptions!$B$15)</f>
        <v>0.0201486000753207</v>
      </c>
      <c r="P182" s="8" t="n">
        <f aca="true">NORMINV(RAND(),Assumptions!$B$14,Assumptions!$B$15)</f>
        <v>0.0328480197404965</v>
      </c>
      <c r="Q182" s="8" t="n">
        <f aca="true">NORMINV(RAND(),Assumptions!$B$14,Assumptions!$B$15)</f>
        <v>0.0357712300846133</v>
      </c>
      <c r="R182" s="8" t="n">
        <f aca="true">NORMINV(RAND(),Assumptions!$B$14,Assumptions!$B$15)</f>
        <v>0.0347318500963854</v>
      </c>
      <c r="S182" s="8" t="n">
        <f aca="true">NORMINV(RAND(),Assumptions!$B$14,Assumptions!$B$15)</f>
        <v>0.0422073463149855</v>
      </c>
      <c r="T182" s="8" t="n">
        <f aca="false">Assumptions!$B$19*H182+(1-Assumptions!$B$19)*N182</f>
        <v>0.316575505555</v>
      </c>
      <c r="U182" s="8" t="n">
        <f aca="false">Assumptions!$B$20*I182+(1-Assumptions!$B$20)*O182</f>
        <v>0.00418222807543625</v>
      </c>
      <c r="V182" s="8" t="n">
        <f aca="false">Assumptions!$B$21*J182+(1-Assumptions!$B$21)*P182</f>
        <v>0.287707421764755</v>
      </c>
      <c r="W182" s="8" t="n">
        <f aca="false">Assumptions!$B$22*K182+(1-Assumptions!$B$22)*Q182</f>
        <v>-0.353632228180588</v>
      </c>
      <c r="X182" s="8" t="n">
        <f aca="false">Assumptions!$B$23*L182+(1-Assumptions!$B$23)*R182</f>
        <v>0.0194081530052172</v>
      </c>
      <c r="Y182" s="8" t="n">
        <f aca="false">Assumptions!$B$24*M182+(1-Assumptions!$B$24)*S182</f>
        <v>0.192436423441141</v>
      </c>
      <c r="Z182" s="6" t="n">
        <f aca="false">Assumptions!$B$27*(1+T182)</f>
        <v>394972.6516665</v>
      </c>
      <c r="AA182" s="6" t="n">
        <f aca="false">(Z182+Assumptions!$B$28)*(1+U182)</f>
        <v>547251.851590645</v>
      </c>
      <c r="AB182" s="6" t="n">
        <f aca="false">AA182*(1+V182)</f>
        <v>704700.270867777</v>
      </c>
      <c r="AC182" s="6" t="n">
        <f aca="false">AB182*(1+W182)</f>
        <v>455495.543881341</v>
      </c>
      <c r="AD182" s="6" t="n">
        <f aca="false">AC182*(1+X182)</f>
        <v>464335.871090185</v>
      </c>
      <c r="AE182" s="6" t="n">
        <f aca="false">AD182*(1+Y182)</f>
        <v>553691.005398207</v>
      </c>
      <c r="AF182" s="6" t="n">
        <f aca="false">Z182</f>
        <v>394972.6516665</v>
      </c>
      <c r="AG182" s="6" t="n">
        <f aca="false">MAX(AF182,AA182)</f>
        <v>547251.851590645</v>
      </c>
      <c r="AH182" s="6" t="n">
        <f aca="false">MAX(AG182,AB182)</f>
        <v>704700.270867777</v>
      </c>
      <c r="AI182" s="6" t="n">
        <f aca="false">MAX(AH182,AC182)</f>
        <v>704700.270867777</v>
      </c>
      <c r="AJ182" s="6" t="n">
        <f aca="false">MAX(AI182,AD182)</f>
        <v>704700.270867777</v>
      </c>
      <c r="AK182" s="6" t="n">
        <f aca="false">MAX(AJ182,AE182)</f>
        <v>704700.270867777</v>
      </c>
      <c r="AL182" s="8" t="n">
        <f aca="false">MIN(Z182/AF182-1,AA182/AG182-1,AB182/AH182-1,AC182/AI182-1,AD182/AJ182-1,AE182/AK182-1)</f>
        <v>-0.353632228180588</v>
      </c>
      <c r="AM182" s="6" t="n">
        <f aca="false">AE182-Assumptions!$B$35</f>
        <v>112427.008735703</v>
      </c>
    </row>
    <row r="183" customFormat="false" ht="15" hidden="false" customHeight="false" outlineLevel="0" collapsed="false">
      <c r="A183" s="0" t="n">
        <f aca="false">ROW()-1</f>
        <v>182</v>
      </c>
      <c r="B183" s="0" t="str">
        <f aca="true">IF(RAND()&lt;Assumptions!$B$11,"Bull","Bear")</f>
        <v>Bull</v>
      </c>
      <c r="C183" s="0" t="str">
        <f aca="true">IF(B183="Bull",IF(RAND()&lt;Assumptions!$B$7,"Bull","Bear"),IF(RAND()&lt;Assumptions!$B$10,"Bear","Bull"))</f>
        <v>Bear</v>
      </c>
      <c r="D183" s="0" t="str">
        <f aca="true">IF(C183="Bull",IF(RAND()&lt;Assumptions!$B$7,"Bull","Bear"),IF(RAND()&lt;Assumptions!$B$10,"Bear","Bull"))</f>
        <v>Bull</v>
      </c>
      <c r="E183" s="0" t="str">
        <f aca="true">IF(D183="Bull",IF(RAND()&lt;Assumptions!$B$7,"Bull","Bear"),IF(RAND()&lt;Assumptions!$B$10,"Bear","Bull"))</f>
        <v>Bull</v>
      </c>
      <c r="F183" s="0" t="str">
        <f aca="true">IF(E183="Bull",IF(RAND()&lt;Assumptions!$B$7,"Bull","Bear"),IF(RAND()&lt;Assumptions!$B$10,"Bear","Bull"))</f>
        <v>Bull</v>
      </c>
      <c r="G183" s="0" t="str">
        <f aca="true">IF(F183="Bull",IF(RAND()&lt;Assumptions!$B$7,"Bull","Bear"),IF(RAND()&lt;Assumptions!$B$10,"Bear","Bull"))</f>
        <v>Bull</v>
      </c>
      <c r="H183" s="8" t="n">
        <f aca="true">IF(B183="Bull",NORMINV(RAND(),Assumptions!$B$5,Assumptions!$B$6),NORMINV(RAND(),Assumptions!$B$8,Assumptions!$B$9))</f>
        <v>0.238921511433078</v>
      </c>
      <c r="I183" s="8" t="n">
        <f aca="true">IF(C183="Bull",NORMINV(RAND(),Assumptions!$B$5,Assumptions!$B$6),NORMINV(RAND(),Assumptions!$B$8,Assumptions!$B$9))</f>
        <v>-0.0415473779635631</v>
      </c>
      <c r="J183" s="8" t="n">
        <f aca="true">IF(D183="Bull",NORMINV(RAND(),Assumptions!$B$5,Assumptions!$B$6),NORMINV(RAND(),Assumptions!$B$8,Assumptions!$B$9))</f>
        <v>0.08941439179459</v>
      </c>
      <c r="K183" s="8" t="n">
        <f aca="true">IF(E183="Bull",NORMINV(RAND(),Assumptions!$B$5,Assumptions!$B$6),NORMINV(RAND(),Assumptions!$B$8,Assumptions!$B$9))</f>
        <v>0.0572746877978371</v>
      </c>
      <c r="L183" s="8" t="n">
        <f aca="true">IF(F183="Bull",NORMINV(RAND(),Assumptions!$B$5,Assumptions!$B$6),NORMINV(RAND(),Assumptions!$B$8,Assumptions!$B$9))</f>
        <v>0.0652837904410488</v>
      </c>
      <c r="M183" s="8" t="n">
        <f aca="true">IF(G183="Bull",NORMINV(RAND(),Assumptions!$B$5,Assumptions!$B$6),NORMINV(RAND(),Assumptions!$B$8,Assumptions!$B$9))</f>
        <v>0.345909778710817</v>
      </c>
      <c r="N183" s="8" t="n">
        <f aca="true">NORMINV(RAND(),Assumptions!$B$14,Assumptions!$B$15)</f>
        <v>0.0985079305035612</v>
      </c>
      <c r="O183" s="8" t="n">
        <f aca="true">NORMINV(RAND(),Assumptions!$B$14,Assumptions!$B$15)</f>
        <v>0.0730840461390682</v>
      </c>
      <c r="P183" s="8" t="n">
        <f aca="true">NORMINV(RAND(),Assumptions!$B$14,Assumptions!$B$15)</f>
        <v>0.0281624062276287</v>
      </c>
      <c r="Q183" s="8" t="n">
        <f aca="true">NORMINV(RAND(),Assumptions!$B$14,Assumptions!$B$15)</f>
        <v>0.0538397081640089</v>
      </c>
      <c r="R183" s="8" t="n">
        <f aca="true">NORMINV(RAND(),Assumptions!$B$14,Assumptions!$B$15)</f>
        <v>0.0651880067516579</v>
      </c>
      <c r="S183" s="8" t="n">
        <f aca="true">NORMINV(RAND(),Assumptions!$B$14,Assumptions!$B$15)</f>
        <v>0.0382172727445601</v>
      </c>
      <c r="T183" s="8" t="n">
        <f aca="false">Assumptions!$B$19*H183+(1-Assumptions!$B$19)*N183</f>
        <v>0.238921511433078</v>
      </c>
      <c r="U183" s="8" t="n">
        <f aca="false">Assumptions!$B$20*I183+(1-Assumptions!$B$20)*O183</f>
        <v>-0.0415473779635631</v>
      </c>
      <c r="V183" s="8" t="n">
        <f aca="false">Assumptions!$B$21*J183+(1-Assumptions!$B$21)*P183</f>
        <v>0.08941439179459</v>
      </c>
      <c r="W183" s="8" t="n">
        <f aca="false">Assumptions!$B$22*K183+(1-Assumptions!$B$22)*Q183</f>
        <v>0.0572746877978371</v>
      </c>
      <c r="X183" s="8" t="n">
        <f aca="false">Assumptions!$B$23*L183+(1-Assumptions!$B$23)*R183</f>
        <v>0.0652646337031706</v>
      </c>
      <c r="Y183" s="8" t="n">
        <f aca="false">Assumptions!$B$24*M183+(1-Assumptions!$B$24)*S183</f>
        <v>0.222832776324314</v>
      </c>
      <c r="Z183" s="6" t="n">
        <f aca="false">Assumptions!$B$27*(1+T183)</f>
        <v>371676.453429923</v>
      </c>
      <c r="AA183" s="6" t="n">
        <f aca="false">(Z183+Assumptions!$B$28)*(1+U183)</f>
        <v>500002.164644579</v>
      </c>
      <c r="AB183" s="6" t="n">
        <f aca="false">AA183*(1+V183)</f>
        <v>544709.554092253</v>
      </c>
      <c r="AC183" s="6" t="n">
        <f aca="false">AB183*(1+W183)</f>
        <v>575907.623743386</v>
      </c>
      <c r="AD183" s="6" t="n">
        <f aca="false">AC183*(1+X183)</f>
        <v>613494.023853861</v>
      </c>
      <c r="AE183" s="6" t="n">
        <f aca="false">AD183*(1+Y183)</f>
        <v>750200.600447592</v>
      </c>
      <c r="AF183" s="6" t="n">
        <f aca="false">Z183</f>
        <v>371676.453429923</v>
      </c>
      <c r="AG183" s="6" t="n">
        <f aca="false">MAX(AF183,AA183)</f>
        <v>500002.164644579</v>
      </c>
      <c r="AH183" s="6" t="n">
        <f aca="false">MAX(AG183,AB183)</f>
        <v>544709.554092253</v>
      </c>
      <c r="AI183" s="6" t="n">
        <f aca="false">MAX(AH183,AC183)</f>
        <v>575907.623743386</v>
      </c>
      <c r="AJ183" s="6" t="n">
        <f aca="false">MAX(AI183,AD183)</f>
        <v>613494.023853861</v>
      </c>
      <c r="AK183" s="6" t="n">
        <f aca="false">MAX(AJ183,AE183)</f>
        <v>750200.600447592</v>
      </c>
      <c r="AL183" s="8" t="n">
        <f aca="false">MIN(Z183/AF183-1,AA183/AG183-1,AB183/AH183-1,AC183/AI183-1,AD183/AJ183-1,AE183/AK183-1)</f>
        <v>0</v>
      </c>
      <c r="AM183" s="6" t="n">
        <f aca="false">AE183-Assumptions!$B$35</f>
        <v>308936.603785088</v>
      </c>
    </row>
    <row r="184" customFormat="false" ht="15" hidden="false" customHeight="false" outlineLevel="0" collapsed="false">
      <c r="A184" s="0" t="n">
        <f aca="false">ROW()-1</f>
        <v>183</v>
      </c>
      <c r="B184" s="0" t="str">
        <f aca="true">IF(RAND()&lt;Assumptions!$B$11,"Bull","Bear")</f>
        <v>Bear</v>
      </c>
      <c r="C184" s="0" t="str">
        <f aca="true">IF(B184="Bull",IF(RAND()&lt;Assumptions!$B$7,"Bull","Bear"),IF(RAND()&lt;Assumptions!$B$10,"Bear","Bull"))</f>
        <v>Bull</v>
      </c>
      <c r="D184" s="0" t="str">
        <f aca="true">IF(C184="Bull",IF(RAND()&lt;Assumptions!$B$7,"Bull","Bear"),IF(RAND()&lt;Assumptions!$B$10,"Bear","Bull"))</f>
        <v>Bull</v>
      </c>
      <c r="E184" s="0" t="str">
        <f aca="true">IF(D184="Bull",IF(RAND()&lt;Assumptions!$B$7,"Bull","Bear"),IF(RAND()&lt;Assumptions!$B$10,"Bear","Bull"))</f>
        <v>Bear</v>
      </c>
      <c r="F184" s="0" t="str">
        <f aca="true">IF(E184="Bull",IF(RAND()&lt;Assumptions!$B$7,"Bull","Bear"),IF(RAND()&lt;Assumptions!$B$10,"Bear","Bull"))</f>
        <v>Bull</v>
      </c>
      <c r="G184" s="0" t="str">
        <f aca="true">IF(F184="Bull",IF(RAND()&lt;Assumptions!$B$7,"Bull","Bear"),IF(RAND()&lt;Assumptions!$B$10,"Bear","Bull"))</f>
        <v>Bear</v>
      </c>
      <c r="H184" s="8" t="n">
        <f aca="true">IF(B184="Bull",NORMINV(RAND(),Assumptions!$B$5,Assumptions!$B$6),NORMINV(RAND(),Assumptions!$B$8,Assumptions!$B$9))</f>
        <v>-0.0615497710284613</v>
      </c>
      <c r="I184" s="8" t="n">
        <f aca="true">IF(C184="Bull",NORMINV(RAND(),Assumptions!$B$5,Assumptions!$B$6),NORMINV(RAND(),Assumptions!$B$8,Assumptions!$B$9))</f>
        <v>0.299283965663362</v>
      </c>
      <c r="J184" s="8" t="n">
        <f aca="true">IF(D184="Bull",NORMINV(RAND(),Assumptions!$B$5,Assumptions!$B$6),NORMINV(RAND(),Assumptions!$B$8,Assumptions!$B$9))</f>
        <v>0.162013624416776</v>
      </c>
      <c r="K184" s="8" t="n">
        <f aca="true">IF(E184="Bull",NORMINV(RAND(),Assumptions!$B$5,Assumptions!$B$6),NORMINV(RAND(),Assumptions!$B$8,Assumptions!$B$9))</f>
        <v>-0.419886676406739</v>
      </c>
      <c r="L184" s="8" t="n">
        <f aca="true">IF(F184="Bull",NORMINV(RAND(),Assumptions!$B$5,Assumptions!$B$6),NORMINV(RAND(),Assumptions!$B$8,Assumptions!$B$9))</f>
        <v>0.341633736475622</v>
      </c>
      <c r="M184" s="8" t="n">
        <f aca="true">IF(G184="Bull",NORMINV(RAND(),Assumptions!$B$5,Assumptions!$B$6),NORMINV(RAND(),Assumptions!$B$8,Assumptions!$B$9))</f>
        <v>-0.0219471555086587</v>
      </c>
      <c r="N184" s="8" t="n">
        <f aca="true">NORMINV(RAND(),Assumptions!$B$14,Assumptions!$B$15)</f>
        <v>0.0255921857774452</v>
      </c>
      <c r="O184" s="8" t="n">
        <f aca="true">NORMINV(RAND(),Assumptions!$B$14,Assumptions!$B$15)</f>
        <v>0.0717941855421703</v>
      </c>
      <c r="P184" s="8" t="n">
        <f aca="true">NORMINV(RAND(),Assumptions!$B$14,Assumptions!$B$15)</f>
        <v>0.026523177601838</v>
      </c>
      <c r="Q184" s="8" t="n">
        <f aca="true">NORMINV(RAND(),Assumptions!$B$14,Assumptions!$B$15)</f>
        <v>0.00595873748382501</v>
      </c>
      <c r="R184" s="8" t="n">
        <f aca="true">NORMINV(RAND(),Assumptions!$B$14,Assumptions!$B$15)</f>
        <v>0.0692246967364446</v>
      </c>
      <c r="S184" s="8" t="n">
        <f aca="true">NORMINV(RAND(),Assumptions!$B$14,Assumptions!$B$15)</f>
        <v>0.0218807122386141</v>
      </c>
      <c r="T184" s="8" t="n">
        <f aca="false">Assumptions!$B$19*H184+(1-Assumptions!$B$19)*N184</f>
        <v>-0.0615497710284613</v>
      </c>
      <c r="U184" s="8" t="n">
        <f aca="false">Assumptions!$B$20*I184+(1-Assumptions!$B$20)*O184</f>
        <v>0.299283965663362</v>
      </c>
      <c r="V184" s="8" t="n">
        <f aca="false">Assumptions!$B$21*J184+(1-Assumptions!$B$21)*P184</f>
        <v>0.162013624416776</v>
      </c>
      <c r="W184" s="8" t="n">
        <f aca="false">Assumptions!$B$22*K184+(1-Assumptions!$B$22)*Q184</f>
        <v>-0.419886676406739</v>
      </c>
      <c r="X184" s="8" t="n">
        <f aca="false">Assumptions!$B$23*L184+(1-Assumptions!$B$23)*R184</f>
        <v>0.287151928527787</v>
      </c>
      <c r="Y184" s="8" t="n">
        <f aca="false">Assumptions!$B$24*M184+(1-Assumptions!$B$24)*S184</f>
        <v>-0.00441600840974954</v>
      </c>
      <c r="Z184" s="6" t="n">
        <f aca="false">Assumptions!$B$27*(1+T184)</f>
        <v>281535.068691462</v>
      </c>
      <c r="AA184" s="6" t="n">
        <f aca="false">(Z184+Assumptions!$B$28)*(1+U184)</f>
        <v>560686.595372254</v>
      </c>
      <c r="AB184" s="6" t="n">
        <f aca="false">AA184*(1+V184)</f>
        <v>651525.462850415</v>
      </c>
      <c r="AC184" s="6" t="n">
        <f aca="false">AB184*(1+W184)</f>
        <v>377958.601659792</v>
      </c>
      <c r="AD184" s="6" t="n">
        <f aca="false">AC184*(1+X184)</f>
        <v>486490.143030066</v>
      </c>
      <c r="AE184" s="6" t="n">
        <f aca="false">AD184*(1+Y184)</f>
        <v>484341.798467185</v>
      </c>
      <c r="AF184" s="6" t="n">
        <f aca="false">Z184</f>
        <v>281535.068691462</v>
      </c>
      <c r="AG184" s="6" t="n">
        <f aca="false">MAX(AF184,AA184)</f>
        <v>560686.595372254</v>
      </c>
      <c r="AH184" s="6" t="n">
        <f aca="false">MAX(AG184,AB184)</f>
        <v>651525.462850415</v>
      </c>
      <c r="AI184" s="6" t="n">
        <f aca="false">MAX(AH184,AC184)</f>
        <v>651525.462850415</v>
      </c>
      <c r="AJ184" s="6" t="n">
        <f aca="false">MAX(AI184,AD184)</f>
        <v>651525.462850415</v>
      </c>
      <c r="AK184" s="6" t="n">
        <f aca="false">MAX(AJ184,AE184)</f>
        <v>651525.462850415</v>
      </c>
      <c r="AL184" s="8" t="n">
        <f aca="false">MIN(Z184/AF184-1,AA184/AG184-1,AB184/AH184-1,AC184/AI184-1,AD184/AJ184-1,AE184/AK184-1)</f>
        <v>-0.419886676406739</v>
      </c>
      <c r="AM184" s="6" t="n">
        <f aca="false">AE184-Assumptions!$B$35</f>
        <v>43077.8018046816</v>
      </c>
    </row>
    <row r="185" customFormat="false" ht="15" hidden="false" customHeight="false" outlineLevel="0" collapsed="false">
      <c r="A185" s="0" t="n">
        <f aca="false">ROW()-1</f>
        <v>184</v>
      </c>
      <c r="B185" s="0" t="str">
        <f aca="true">IF(RAND()&lt;Assumptions!$B$11,"Bull","Bear")</f>
        <v>Bear</v>
      </c>
      <c r="C185" s="0" t="str">
        <f aca="true">IF(B185="Bull",IF(RAND()&lt;Assumptions!$B$7,"Bull","Bear"),IF(RAND()&lt;Assumptions!$B$10,"Bear","Bull"))</f>
        <v>Bear</v>
      </c>
      <c r="D185" s="0" t="str">
        <f aca="true">IF(C185="Bull",IF(RAND()&lt;Assumptions!$B$7,"Bull","Bear"),IF(RAND()&lt;Assumptions!$B$10,"Bear","Bull"))</f>
        <v>Bear</v>
      </c>
      <c r="E185" s="0" t="str">
        <f aca="true">IF(D185="Bull",IF(RAND()&lt;Assumptions!$B$7,"Bull","Bear"),IF(RAND()&lt;Assumptions!$B$10,"Bear","Bull"))</f>
        <v>Bear</v>
      </c>
      <c r="F185" s="0" t="str">
        <f aca="true">IF(E185="Bull",IF(RAND()&lt;Assumptions!$B$7,"Bull","Bear"),IF(RAND()&lt;Assumptions!$B$10,"Bear","Bull"))</f>
        <v>Bear</v>
      </c>
      <c r="G185" s="0" t="str">
        <f aca="true">IF(F185="Bull",IF(RAND()&lt;Assumptions!$B$7,"Bull","Bear"),IF(RAND()&lt;Assumptions!$B$10,"Bear","Bull"))</f>
        <v>Bull</v>
      </c>
      <c r="H185" s="8" t="n">
        <f aca="true">IF(B185="Bull",NORMINV(RAND(),Assumptions!$B$5,Assumptions!$B$6),NORMINV(RAND(),Assumptions!$B$8,Assumptions!$B$9))</f>
        <v>-0.378500327132858</v>
      </c>
      <c r="I185" s="8" t="n">
        <f aca="true">IF(C185="Bull",NORMINV(RAND(),Assumptions!$B$5,Assumptions!$B$6),NORMINV(RAND(),Assumptions!$B$8,Assumptions!$B$9))</f>
        <v>-0.288624536961859</v>
      </c>
      <c r="J185" s="8" t="n">
        <f aca="true">IF(D185="Bull",NORMINV(RAND(),Assumptions!$B$5,Assumptions!$B$6),NORMINV(RAND(),Assumptions!$B$8,Assumptions!$B$9))</f>
        <v>-0.112546456602735</v>
      </c>
      <c r="K185" s="8" t="n">
        <f aca="true">IF(E185="Bull",NORMINV(RAND(),Assumptions!$B$5,Assumptions!$B$6),NORMINV(RAND(),Assumptions!$B$8,Assumptions!$B$9))</f>
        <v>-0.0452149628184562</v>
      </c>
      <c r="L185" s="8" t="n">
        <f aca="true">IF(F185="Bull",NORMINV(RAND(),Assumptions!$B$5,Assumptions!$B$6),NORMINV(RAND(),Assumptions!$B$8,Assumptions!$B$9))</f>
        <v>-0.237535979195563</v>
      </c>
      <c r="M185" s="8" t="n">
        <f aca="true">IF(G185="Bull",NORMINV(RAND(),Assumptions!$B$5,Assumptions!$B$6),NORMINV(RAND(),Assumptions!$B$8,Assumptions!$B$9))</f>
        <v>0.182040537219706</v>
      </c>
      <c r="N185" s="8" t="n">
        <f aca="true">NORMINV(RAND(),Assumptions!$B$14,Assumptions!$B$15)</f>
        <v>0.0339386824864836</v>
      </c>
      <c r="O185" s="8" t="n">
        <f aca="true">NORMINV(RAND(),Assumptions!$B$14,Assumptions!$B$15)</f>
        <v>0.0107440440579339</v>
      </c>
      <c r="P185" s="8" t="n">
        <f aca="true">NORMINV(RAND(),Assumptions!$B$14,Assumptions!$B$15)</f>
        <v>0.038717779925973</v>
      </c>
      <c r="Q185" s="8" t="n">
        <f aca="true">NORMINV(RAND(),Assumptions!$B$14,Assumptions!$B$15)</f>
        <v>-0.00279697572495852</v>
      </c>
      <c r="R185" s="8" t="n">
        <f aca="true">NORMINV(RAND(),Assumptions!$B$14,Assumptions!$B$15)</f>
        <v>0.036519739934591</v>
      </c>
      <c r="S185" s="8" t="n">
        <f aca="true">NORMINV(RAND(),Assumptions!$B$14,Assumptions!$B$15)</f>
        <v>0.0249361842063182</v>
      </c>
      <c r="T185" s="8" t="n">
        <f aca="false">Assumptions!$B$19*H185+(1-Assumptions!$B$19)*N185</f>
        <v>-0.378500327132858</v>
      </c>
      <c r="U185" s="8" t="n">
        <f aca="false">Assumptions!$B$20*I185+(1-Assumptions!$B$20)*O185</f>
        <v>-0.288624536961859</v>
      </c>
      <c r="V185" s="8" t="n">
        <f aca="false">Assumptions!$B$21*J185+(1-Assumptions!$B$21)*P185</f>
        <v>-0.112546456602735</v>
      </c>
      <c r="W185" s="8" t="n">
        <f aca="false">Assumptions!$B$22*K185+(1-Assumptions!$B$22)*Q185</f>
        <v>-0.0452149628184562</v>
      </c>
      <c r="X185" s="8" t="n">
        <f aca="false">Assumptions!$B$23*L185+(1-Assumptions!$B$23)*R185</f>
        <v>-0.182724835369532</v>
      </c>
      <c r="Y185" s="8" t="n">
        <f aca="false">Assumptions!$B$24*M185+(1-Assumptions!$B$24)*S185</f>
        <v>0.119198796014351</v>
      </c>
      <c r="Z185" s="6" t="n">
        <f aca="false">Assumptions!$B$27*(1+T185)</f>
        <v>186449.901860143</v>
      </c>
      <c r="AA185" s="6" t="n">
        <f aca="false">(Z185+Assumptions!$B$28)*(1+U185)</f>
        <v>239342.204724896</v>
      </c>
      <c r="AB185" s="6" t="n">
        <f aca="false">AA185*(1+V185)</f>
        <v>212405.087667623</v>
      </c>
      <c r="AC185" s="6" t="n">
        <f aca="false">AB185*(1+W185)</f>
        <v>202801.19952628</v>
      </c>
      <c r="AD185" s="6" t="n">
        <f aca="false">AC185*(1+X185)</f>
        <v>165744.383730097</v>
      </c>
      <c r="AE185" s="6" t="n">
        <f aca="false">AD185*(1+Y185)</f>
        <v>185500.914716865</v>
      </c>
      <c r="AF185" s="6" t="n">
        <f aca="false">Z185</f>
        <v>186449.901860143</v>
      </c>
      <c r="AG185" s="6" t="n">
        <f aca="false">MAX(AF185,AA185)</f>
        <v>239342.204724896</v>
      </c>
      <c r="AH185" s="6" t="n">
        <f aca="false">MAX(AG185,AB185)</f>
        <v>239342.204724896</v>
      </c>
      <c r="AI185" s="6" t="n">
        <f aca="false">MAX(AH185,AC185)</f>
        <v>239342.204724896</v>
      </c>
      <c r="AJ185" s="6" t="n">
        <f aca="false">MAX(AI185,AD185)</f>
        <v>239342.204724896</v>
      </c>
      <c r="AK185" s="6" t="n">
        <f aca="false">MAX(AJ185,AE185)</f>
        <v>239342.204724896</v>
      </c>
      <c r="AL185" s="8" t="n">
        <f aca="false">MIN(Z185/AF185-1,AA185/AG185-1,AB185/AH185-1,AC185/AI185-1,AD185/AJ185-1,AE185/AK185-1)</f>
        <v>-0.30750038874002</v>
      </c>
      <c r="AM185" s="6" t="n">
        <f aca="false">AE185-Assumptions!$B$35</f>
        <v>-255763.081945638</v>
      </c>
    </row>
    <row r="186" customFormat="false" ht="15" hidden="false" customHeight="false" outlineLevel="0" collapsed="false">
      <c r="A186" s="0" t="n">
        <f aca="false">ROW()-1</f>
        <v>185</v>
      </c>
      <c r="B186" s="0" t="str">
        <f aca="true">IF(RAND()&lt;Assumptions!$B$11,"Bull","Bear")</f>
        <v>Bull</v>
      </c>
      <c r="C186" s="0" t="str">
        <f aca="true">IF(B186="Bull",IF(RAND()&lt;Assumptions!$B$7,"Bull","Bear"),IF(RAND()&lt;Assumptions!$B$10,"Bear","Bull"))</f>
        <v>Bull</v>
      </c>
      <c r="D186" s="0" t="str">
        <f aca="true">IF(C186="Bull",IF(RAND()&lt;Assumptions!$B$7,"Bull","Bear"),IF(RAND()&lt;Assumptions!$B$10,"Bear","Bull"))</f>
        <v>Bull</v>
      </c>
      <c r="E186" s="0" t="str">
        <f aca="true">IF(D186="Bull",IF(RAND()&lt;Assumptions!$B$7,"Bull","Bear"),IF(RAND()&lt;Assumptions!$B$10,"Bear","Bull"))</f>
        <v>Bull</v>
      </c>
      <c r="F186" s="0" t="str">
        <f aca="true">IF(E186="Bull",IF(RAND()&lt;Assumptions!$B$7,"Bull","Bear"),IF(RAND()&lt;Assumptions!$B$10,"Bear","Bull"))</f>
        <v>Bull</v>
      </c>
      <c r="G186" s="0" t="str">
        <f aca="true">IF(F186="Bull",IF(RAND()&lt;Assumptions!$B$7,"Bull","Bear"),IF(RAND()&lt;Assumptions!$B$10,"Bear","Bull"))</f>
        <v>Bull</v>
      </c>
      <c r="H186" s="8" t="n">
        <f aca="true">IF(B186="Bull",NORMINV(RAND(),Assumptions!$B$5,Assumptions!$B$6),NORMINV(RAND(),Assumptions!$B$8,Assumptions!$B$9))</f>
        <v>0.174090643485</v>
      </c>
      <c r="I186" s="8" t="n">
        <f aca="true">IF(C186="Bull",NORMINV(RAND(),Assumptions!$B$5,Assumptions!$B$6),NORMINV(RAND(),Assumptions!$B$8,Assumptions!$B$9))</f>
        <v>0.140605210803182</v>
      </c>
      <c r="J186" s="8" t="n">
        <f aca="true">IF(D186="Bull",NORMINV(RAND(),Assumptions!$B$5,Assumptions!$B$6),NORMINV(RAND(),Assumptions!$B$8,Assumptions!$B$9))</f>
        <v>0.128958340499773</v>
      </c>
      <c r="K186" s="8" t="n">
        <f aca="true">IF(E186="Bull",NORMINV(RAND(),Assumptions!$B$5,Assumptions!$B$6),NORMINV(RAND(),Assumptions!$B$8,Assumptions!$B$9))</f>
        <v>0.0967508213199675</v>
      </c>
      <c r="L186" s="8" t="n">
        <f aca="true">IF(F186="Bull",NORMINV(RAND(),Assumptions!$B$5,Assumptions!$B$6),NORMINV(RAND(),Assumptions!$B$8,Assumptions!$B$9))</f>
        <v>-0.0556505965107909</v>
      </c>
      <c r="M186" s="8" t="n">
        <f aca="true">IF(G186="Bull",NORMINV(RAND(),Assumptions!$B$5,Assumptions!$B$6),NORMINV(RAND(),Assumptions!$B$8,Assumptions!$B$9))</f>
        <v>0.316607376244543</v>
      </c>
      <c r="N186" s="8" t="n">
        <f aca="true">NORMINV(RAND(),Assumptions!$B$14,Assumptions!$B$15)</f>
        <v>0.0246712516335771</v>
      </c>
      <c r="O186" s="8" t="n">
        <f aca="true">NORMINV(RAND(),Assumptions!$B$14,Assumptions!$B$15)</f>
        <v>0.046930173565522</v>
      </c>
      <c r="P186" s="8" t="n">
        <f aca="true">NORMINV(RAND(),Assumptions!$B$14,Assumptions!$B$15)</f>
        <v>0.0439566849479329</v>
      </c>
      <c r="Q186" s="8" t="n">
        <f aca="true">NORMINV(RAND(),Assumptions!$B$14,Assumptions!$B$15)</f>
        <v>0.0250454205587654</v>
      </c>
      <c r="R186" s="8" t="n">
        <f aca="true">NORMINV(RAND(),Assumptions!$B$14,Assumptions!$B$15)</f>
        <v>0.00267075560041865</v>
      </c>
      <c r="S186" s="8" t="n">
        <f aca="true">NORMINV(RAND(),Assumptions!$B$14,Assumptions!$B$15)</f>
        <v>0.089172412322245</v>
      </c>
      <c r="T186" s="8" t="n">
        <f aca="false">Assumptions!$B$19*H186+(1-Assumptions!$B$19)*N186</f>
        <v>0.174090643485</v>
      </c>
      <c r="U186" s="8" t="n">
        <f aca="false">Assumptions!$B$20*I186+(1-Assumptions!$B$20)*O186</f>
        <v>0.140605210803182</v>
      </c>
      <c r="V186" s="8" t="n">
        <f aca="false">Assumptions!$B$21*J186+(1-Assumptions!$B$21)*P186</f>
        <v>0.128958340499773</v>
      </c>
      <c r="W186" s="8" t="n">
        <f aca="false">Assumptions!$B$22*K186+(1-Assumptions!$B$22)*Q186</f>
        <v>0.0967508213199675</v>
      </c>
      <c r="X186" s="8" t="n">
        <f aca="false">Assumptions!$B$23*L186+(1-Assumptions!$B$23)*R186</f>
        <v>-0.043986326088549</v>
      </c>
      <c r="Y186" s="8" t="n">
        <f aca="false">Assumptions!$B$24*M186+(1-Assumptions!$B$24)*S186</f>
        <v>0.225633390675624</v>
      </c>
      <c r="Z186" s="6" t="n">
        <f aca="false">Assumptions!$B$27*(1+T186)</f>
        <v>352227.1930455</v>
      </c>
      <c r="AA186" s="6" t="n">
        <f aca="false">(Z186+Assumptions!$B$28)*(1+U186)</f>
        <v>572842.953394753</v>
      </c>
      <c r="AB186" s="6" t="n">
        <f aca="false">AA186*(1+V186)</f>
        <v>646715.830031529</v>
      </c>
      <c r="AC186" s="6" t="n">
        <f aca="false">AB186*(1+W186)</f>
        <v>709286.117747704</v>
      </c>
      <c r="AD186" s="6" t="n">
        <f aca="false">AC186*(1+X186)</f>
        <v>678087.227282373</v>
      </c>
      <c r="AE186" s="6" t="n">
        <f aca="false">AD186*(1+Y186)</f>
        <v>831086.347547927</v>
      </c>
      <c r="AF186" s="6" t="n">
        <f aca="false">Z186</f>
        <v>352227.1930455</v>
      </c>
      <c r="AG186" s="6" t="n">
        <f aca="false">MAX(AF186,AA186)</f>
        <v>572842.953394753</v>
      </c>
      <c r="AH186" s="6" t="n">
        <f aca="false">MAX(AG186,AB186)</f>
        <v>646715.830031529</v>
      </c>
      <c r="AI186" s="6" t="n">
        <f aca="false">MAX(AH186,AC186)</f>
        <v>709286.117747704</v>
      </c>
      <c r="AJ186" s="6" t="n">
        <f aca="false">MAX(AI186,AD186)</f>
        <v>709286.117747704</v>
      </c>
      <c r="AK186" s="6" t="n">
        <f aca="false">MAX(AJ186,AE186)</f>
        <v>831086.347547927</v>
      </c>
      <c r="AL186" s="8" t="n">
        <f aca="false">MIN(Z186/AF186-1,AA186/AG186-1,AB186/AH186-1,AC186/AI186-1,AD186/AJ186-1,AE186/AK186-1)</f>
        <v>-0.0439863260885489</v>
      </c>
      <c r="AM186" s="6" t="n">
        <f aca="false">AE186-Assumptions!$B$35</f>
        <v>389822.350885423</v>
      </c>
    </row>
    <row r="187" customFormat="false" ht="15" hidden="false" customHeight="false" outlineLevel="0" collapsed="false">
      <c r="A187" s="0" t="n">
        <f aca="false">ROW()-1</f>
        <v>186</v>
      </c>
      <c r="B187" s="0" t="str">
        <f aca="true">IF(RAND()&lt;Assumptions!$B$11,"Bull","Bear")</f>
        <v>Bull</v>
      </c>
      <c r="C187" s="0" t="str">
        <f aca="true">IF(B187="Bull",IF(RAND()&lt;Assumptions!$B$7,"Bull","Bear"),IF(RAND()&lt;Assumptions!$B$10,"Bear","Bull"))</f>
        <v>Bull</v>
      </c>
      <c r="D187" s="0" t="str">
        <f aca="true">IF(C187="Bull",IF(RAND()&lt;Assumptions!$B$7,"Bull","Bear"),IF(RAND()&lt;Assumptions!$B$10,"Bear","Bull"))</f>
        <v>Bear</v>
      </c>
      <c r="E187" s="0" t="str">
        <f aca="true">IF(D187="Bull",IF(RAND()&lt;Assumptions!$B$7,"Bull","Bear"),IF(RAND()&lt;Assumptions!$B$10,"Bear","Bull"))</f>
        <v>Bear</v>
      </c>
      <c r="F187" s="0" t="str">
        <f aca="true">IF(E187="Bull",IF(RAND()&lt;Assumptions!$B$7,"Bull","Bear"),IF(RAND()&lt;Assumptions!$B$10,"Bear","Bull"))</f>
        <v>Bull</v>
      </c>
      <c r="G187" s="0" t="str">
        <f aca="true">IF(F187="Bull",IF(RAND()&lt;Assumptions!$B$7,"Bull","Bear"),IF(RAND()&lt;Assumptions!$B$10,"Bear","Bull"))</f>
        <v>Bull</v>
      </c>
      <c r="H187" s="8" t="n">
        <f aca="true">IF(B187="Bull",NORMINV(RAND(),Assumptions!$B$5,Assumptions!$B$6),NORMINV(RAND(),Assumptions!$B$8,Assumptions!$B$9))</f>
        <v>0.265229083435268</v>
      </c>
      <c r="I187" s="8" t="n">
        <f aca="true">IF(C187="Bull",NORMINV(RAND(),Assumptions!$B$5,Assumptions!$B$6),NORMINV(RAND(),Assumptions!$B$8,Assumptions!$B$9))</f>
        <v>0.140821700283246</v>
      </c>
      <c r="J187" s="8" t="n">
        <f aca="true">IF(D187="Bull",NORMINV(RAND(),Assumptions!$B$5,Assumptions!$B$6),NORMINV(RAND(),Assumptions!$B$8,Assumptions!$B$9))</f>
        <v>-0.239216314427689</v>
      </c>
      <c r="K187" s="8" t="n">
        <f aca="true">IF(E187="Bull",NORMINV(RAND(),Assumptions!$B$5,Assumptions!$B$6),NORMINV(RAND(),Assumptions!$B$8,Assumptions!$B$9))</f>
        <v>-0.192676925142011</v>
      </c>
      <c r="L187" s="8" t="n">
        <f aca="true">IF(F187="Bull",NORMINV(RAND(),Assumptions!$B$5,Assumptions!$B$6),NORMINV(RAND(),Assumptions!$B$8,Assumptions!$B$9))</f>
        <v>0.296615415650172</v>
      </c>
      <c r="M187" s="8" t="n">
        <f aca="true">IF(G187="Bull",NORMINV(RAND(),Assumptions!$B$5,Assumptions!$B$6),NORMINV(RAND(),Assumptions!$B$8,Assumptions!$B$9))</f>
        <v>0.18022564305911</v>
      </c>
      <c r="N187" s="8" t="n">
        <f aca="true">NORMINV(RAND(),Assumptions!$B$14,Assumptions!$B$15)</f>
        <v>0.0660444914229208</v>
      </c>
      <c r="O187" s="8" t="n">
        <f aca="true">NORMINV(RAND(),Assumptions!$B$14,Assumptions!$B$15)</f>
        <v>0.0294712228806432</v>
      </c>
      <c r="P187" s="8" t="n">
        <f aca="true">NORMINV(RAND(),Assumptions!$B$14,Assumptions!$B$15)</f>
        <v>0.0500742138420633</v>
      </c>
      <c r="Q187" s="8" t="n">
        <f aca="true">NORMINV(RAND(),Assumptions!$B$14,Assumptions!$B$15)</f>
        <v>-0.00369950734211104</v>
      </c>
      <c r="R187" s="8" t="n">
        <f aca="true">NORMINV(RAND(),Assumptions!$B$14,Assumptions!$B$15)</f>
        <v>0.0550442227826677</v>
      </c>
      <c r="S187" s="8" t="n">
        <f aca="true">NORMINV(RAND(),Assumptions!$B$14,Assumptions!$B$15)</f>
        <v>0.0396130033423712</v>
      </c>
      <c r="T187" s="8" t="n">
        <f aca="false">Assumptions!$B$19*H187+(1-Assumptions!$B$19)*N187</f>
        <v>0.265229083435268</v>
      </c>
      <c r="U187" s="8" t="n">
        <f aca="false">Assumptions!$B$20*I187+(1-Assumptions!$B$20)*O187</f>
        <v>0.140821700283246</v>
      </c>
      <c r="V187" s="8" t="n">
        <f aca="false">Assumptions!$B$21*J187+(1-Assumptions!$B$21)*P187</f>
        <v>-0.239216314427689</v>
      </c>
      <c r="W187" s="8" t="n">
        <f aca="false">Assumptions!$B$22*K187+(1-Assumptions!$B$22)*Q187</f>
        <v>-0.192676925142011</v>
      </c>
      <c r="X187" s="8" t="n">
        <f aca="false">Assumptions!$B$23*L187+(1-Assumptions!$B$23)*R187</f>
        <v>0.248301177076671</v>
      </c>
      <c r="Y187" s="8" t="n">
        <f aca="false">Assumptions!$B$24*M187+(1-Assumptions!$B$24)*S187</f>
        <v>0.123980587172415</v>
      </c>
      <c r="Z187" s="6" t="n">
        <f aca="false">Assumptions!$B$27*(1+T187)</f>
        <v>379568.72503058</v>
      </c>
      <c r="AA187" s="6" t="n">
        <f aca="false">(Z187+Assumptions!$B$28)*(1+U187)</f>
        <v>604143.493306218</v>
      </c>
      <c r="AB187" s="6" t="n">
        <f aca="false">AA187*(1+V187)</f>
        <v>459622.513452035</v>
      </c>
      <c r="AC187" s="6" t="n">
        <f aca="false">AB187*(1+W187)</f>
        <v>371063.860834055</v>
      </c>
      <c r="AD187" s="6" t="n">
        <f aca="false">AC187*(1+X187)</f>
        <v>463199.454249764</v>
      </c>
      <c r="AE187" s="6" t="n">
        <f aca="false">AD187*(1+Y187)</f>
        <v>520627.194565592</v>
      </c>
      <c r="AF187" s="6" t="n">
        <f aca="false">Z187</f>
        <v>379568.72503058</v>
      </c>
      <c r="AG187" s="6" t="n">
        <f aca="false">MAX(AF187,AA187)</f>
        <v>604143.493306218</v>
      </c>
      <c r="AH187" s="6" t="n">
        <f aca="false">MAX(AG187,AB187)</f>
        <v>604143.493306218</v>
      </c>
      <c r="AI187" s="6" t="n">
        <f aca="false">MAX(AH187,AC187)</f>
        <v>604143.493306218</v>
      </c>
      <c r="AJ187" s="6" t="n">
        <f aca="false">MAX(AI187,AD187)</f>
        <v>604143.493306218</v>
      </c>
      <c r="AK187" s="6" t="n">
        <f aca="false">MAX(AJ187,AE187)</f>
        <v>604143.493306218</v>
      </c>
      <c r="AL187" s="8" t="n">
        <f aca="false">MIN(Z187/AF187-1,AA187/AG187-1,AB187/AH187-1,AC187/AI187-1,AD187/AJ187-1,AE187/AK187-1)</f>
        <v>-0.385801775661968</v>
      </c>
      <c r="AM187" s="6" t="n">
        <f aca="false">AE187-Assumptions!$B$35</f>
        <v>79363.1979030885</v>
      </c>
    </row>
    <row r="188" customFormat="false" ht="15" hidden="false" customHeight="false" outlineLevel="0" collapsed="false">
      <c r="A188" s="0" t="n">
        <f aca="false">ROW()-1</f>
        <v>187</v>
      </c>
      <c r="B188" s="0" t="str">
        <f aca="true">IF(RAND()&lt;Assumptions!$B$11,"Bull","Bear")</f>
        <v>Bear</v>
      </c>
      <c r="C188" s="0" t="str">
        <f aca="true">IF(B188="Bull",IF(RAND()&lt;Assumptions!$B$7,"Bull","Bear"),IF(RAND()&lt;Assumptions!$B$10,"Bear","Bull"))</f>
        <v>Bull</v>
      </c>
      <c r="D188" s="0" t="str">
        <f aca="true">IF(C188="Bull",IF(RAND()&lt;Assumptions!$B$7,"Bull","Bear"),IF(RAND()&lt;Assumptions!$B$10,"Bear","Bull"))</f>
        <v>Bull</v>
      </c>
      <c r="E188" s="0" t="str">
        <f aca="true">IF(D188="Bull",IF(RAND()&lt;Assumptions!$B$7,"Bull","Bear"),IF(RAND()&lt;Assumptions!$B$10,"Bear","Bull"))</f>
        <v>Bull</v>
      </c>
      <c r="F188" s="0" t="str">
        <f aca="true">IF(E188="Bull",IF(RAND()&lt;Assumptions!$B$7,"Bull","Bear"),IF(RAND()&lt;Assumptions!$B$10,"Bear","Bull"))</f>
        <v>Bear</v>
      </c>
      <c r="G188" s="0" t="str">
        <f aca="true">IF(F188="Bull",IF(RAND()&lt;Assumptions!$B$7,"Bull","Bear"),IF(RAND()&lt;Assumptions!$B$10,"Bear","Bull"))</f>
        <v>Bull</v>
      </c>
      <c r="H188" s="8" t="n">
        <f aca="true">IF(B188="Bull",NORMINV(RAND(),Assumptions!$B$5,Assumptions!$B$6),NORMINV(RAND(),Assumptions!$B$8,Assumptions!$B$9))</f>
        <v>-0.109172944378893</v>
      </c>
      <c r="I188" s="8" t="n">
        <f aca="true">IF(C188="Bull",NORMINV(RAND(),Assumptions!$B$5,Assumptions!$B$6),NORMINV(RAND(),Assumptions!$B$8,Assumptions!$B$9))</f>
        <v>0.232073860588708</v>
      </c>
      <c r="J188" s="8" t="n">
        <f aca="true">IF(D188="Bull",NORMINV(RAND(),Assumptions!$B$5,Assumptions!$B$6),NORMINV(RAND(),Assumptions!$B$8,Assumptions!$B$9))</f>
        <v>0.231049887663552</v>
      </c>
      <c r="K188" s="8" t="n">
        <f aca="true">IF(E188="Bull",NORMINV(RAND(),Assumptions!$B$5,Assumptions!$B$6),NORMINV(RAND(),Assumptions!$B$8,Assumptions!$B$9))</f>
        <v>0.0747985970453805</v>
      </c>
      <c r="L188" s="8" t="n">
        <f aca="true">IF(F188="Bull",NORMINV(RAND(),Assumptions!$B$5,Assumptions!$B$6),NORMINV(RAND(),Assumptions!$B$8,Assumptions!$B$9))</f>
        <v>-0.369484465271536</v>
      </c>
      <c r="M188" s="8" t="n">
        <f aca="true">IF(G188="Bull",NORMINV(RAND(),Assumptions!$B$5,Assumptions!$B$6),NORMINV(RAND(),Assumptions!$B$8,Assumptions!$B$9))</f>
        <v>0.0629235007252948</v>
      </c>
      <c r="N188" s="8" t="n">
        <f aca="true">NORMINV(RAND(),Assumptions!$B$14,Assumptions!$B$15)</f>
        <v>0.0239725114684726</v>
      </c>
      <c r="O188" s="8" t="n">
        <f aca="true">NORMINV(RAND(),Assumptions!$B$14,Assumptions!$B$15)</f>
        <v>0.084670185638869</v>
      </c>
      <c r="P188" s="8" t="n">
        <f aca="true">NORMINV(RAND(),Assumptions!$B$14,Assumptions!$B$15)</f>
        <v>0.133564396101299</v>
      </c>
      <c r="Q188" s="8" t="n">
        <f aca="true">NORMINV(RAND(),Assumptions!$B$14,Assumptions!$B$15)</f>
        <v>0.074124729693703</v>
      </c>
      <c r="R188" s="8" t="n">
        <f aca="true">NORMINV(RAND(),Assumptions!$B$14,Assumptions!$B$15)</f>
        <v>0.0537306529507424</v>
      </c>
      <c r="S188" s="8" t="n">
        <f aca="true">NORMINV(RAND(),Assumptions!$B$14,Assumptions!$B$15)</f>
        <v>0.0975412407727766</v>
      </c>
      <c r="T188" s="8" t="n">
        <f aca="false">Assumptions!$B$19*H188+(1-Assumptions!$B$19)*N188</f>
        <v>-0.109172944378893</v>
      </c>
      <c r="U188" s="8" t="n">
        <f aca="false">Assumptions!$B$20*I188+(1-Assumptions!$B$20)*O188</f>
        <v>0.232073860588708</v>
      </c>
      <c r="V188" s="8" t="n">
        <f aca="false">Assumptions!$B$21*J188+(1-Assumptions!$B$21)*P188</f>
        <v>0.231049887663552</v>
      </c>
      <c r="W188" s="8" t="n">
        <f aca="false">Assumptions!$B$22*K188+(1-Assumptions!$B$22)*Q188</f>
        <v>0.0747985970453805</v>
      </c>
      <c r="X188" s="8" t="n">
        <f aca="false">Assumptions!$B$23*L188+(1-Assumptions!$B$23)*R188</f>
        <v>-0.28484144162708</v>
      </c>
      <c r="Y188" s="8" t="n">
        <f aca="false">Assumptions!$B$24*M188+(1-Assumptions!$B$24)*S188</f>
        <v>0.0767705967442875</v>
      </c>
      <c r="Z188" s="6" t="n">
        <f aca="false">Assumptions!$B$27*(1+T188)</f>
        <v>267248.116686332</v>
      </c>
      <c r="AA188" s="6" t="n">
        <f aca="false">(Z188+Assumptions!$B$28)*(1+U188)</f>
        <v>514080.497949097</v>
      </c>
      <c r="AB188" s="6" t="n">
        <f aca="false">AA188*(1+V188)</f>
        <v>632858.739250259</v>
      </c>
      <c r="AC188" s="6" t="n">
        <f aca="false">AB188*(1+W188)</f>
        <v>680195.685074086</v>
      </c>
      <c r="AD188" s="6" t="n">
        <f aca="false">AC188*(1+X188)</f>
        <v>486447.765549064</v>
      </c>
      <c r="AE188" s="6" t="n">
        <f aca="false">AD188*(1+Y188)</f>
        <v>523792.650795191</v>
      </c>
      <c r="AF188" s="6" t="n">
        <f aca="false">Z188</f>
        <v>267248.116686332</v>
      </c>
      <c r="AG188" s="6" t="n">
        <f aca="false">MAX(AF188,AA188)</f>
        <v>514080.497949097</v>
      </c>
      <c r="AH188" s="6" t="n">
        <f aca="false">MAX(AG188,AB188)</f>
        <v>632858.739250259</v>
      </c>
      <c r="AI188" s="6" t="n">
        <f aca="false">MAX(AH188,AC188)</f>
        <v>680195.685074086</v>
      </c>
      <c r="AJ188" s="6" t="n">
        <f aca="false">MAX(AI188,AD188)</f>
        <v>680195.685074086</v>
      </c>
      <c r="AK188" s="6" t="n">
        <f aca="false">MAX(AJ188,AE188)</f>
        <v>680195.685074086</v>
      </c>
      <c r="AL188" s="8" t="n">
        <f aca="false">MIN(Z188/AF188-1,AA188/AG188-1,AB188/AH188-1,AC188/AI188-1,AD188/AJ188-1,AE188/AK188-1)</f>
        <v>-0.28484144162708</v>
      </c>
      <c r="AM188" s="6" t="n">
        <f aca="false">AE188-Assumptions!$B$35</f>
        <v>82528.6541326875</v>
      </c>
    </row>
    <row r="189" customFormat="false" ht="15" hidden="false" customHeight="false" outlineLevel="0" collapsed="false">
      <c r="A189" s="0" t="n">
        <f aca="false">ROW()-1</f>
        <v>188</v>
      </c>
      <c r="B189" s="0" t="str">
        <f aca="true">IF(RAND()&lt;Assumptions!$B$11,"Bull","Bear")</f>
        <v>Bull</v>
      </c>
      <c r="C189" s="0" t="str">
        <f aca="true">IF(B189="Bull",IF(RAND()&lt;Assumptions!$B$7,"Bull","Bear"),IF(RAND()&lt;Assumptions!$B$10,"Bear","Bull"))</f>
        <v>Bear</v>
      </c>
      <c r="D189" s="0" t="str">
        <f aca="true">IF(C189="Bull",IF(RAND()&lt;Assumptions!$B$7,"Bull","Bear"),IF(RAND()&lt;Assumptions!$B$10,"Bear","Bull"))</f>
        <v>Bear</v>
      </c>
      <c r="E189" s="0" t="str">
        <f aca="true">IF(D189="Bull",IF(RAND()&lt;Assumptions!$B$7,"Bull","Bear"),IF(RAND()&lt;Assumptions!$B$10,"Bear","Bull"))</f>
        <v>Bull</v>
      </c>
      <c r="F189" s="0" t="str">
        <f aca="true">IF(E189="Bull",IF(RAND()&lt;Assumptions!$B$7,"Bull","Bear"),IF(RAND()&lt;Assumptions!$B$10,"Bear","Bull"))</f>
        <v>Bull</v>
      </c>
      <c r="G189" s="0" t="str">
        <f aca="true">IF(F189="Bull",IF(RAND()&lt;Assumptions!$B$7,"Bull","Bear"),IF(RAND()&lt;Assumptions!$B$10,"Bear","Bull"))</f>
        <v>Bear</v>
      </c>
      <c r="H189" s="8" t="n">
        <f aca="true">IF(B189="Bull",NORMINV(RAND(),Assumptions!$B$5,Assumptions!$B$6),NORMINV(RAND(),Assumptions!$B$8,Assumptions!$B$9))</f>
        <v>0.121839494842276</v>
      </c>
      <c r="I189" s="8" t="n">
        <f aca="true">IF(C189="Bull",NORMINV(RAND(),Assumptions!$B$5,Assumptions!$B$6),NORMINV(RAND(),Assumptions!$B$8,Assumptions!$B$9))</f>
        <v>-0.362500117945778</v>
      </c>
      <c r="J189" s="8" t="n">
        <f aca="true">IF(D189="Bull",NORMINV(RAND(),Assumptions!$B$5,Assumptions!$B$6),NORMINV(RAND(),Assumptions!$B$8,Assumptions!$B$9))</f>
        <v>-0.448134146581335</v>
      </c>
      <c r="K189" s="8" t="n">
        <f aca="true">IF(E189="Bull",NORMINV(RAND(),Assumptions!$B$5,Assumptions!$B$6),NORMINV(RAND(),Assumptions!$B$8,Assumptions!$B$9))</f>
        <v>0.264016525472275</v>
      </c>
      <c r="L189" s="8" t="n">
        <f aca="true">IF(F189="Bull",NORMINV(RAND(),Assumptions!$B$5,Assumptions!$B$6),NORMINV(RAND(),Assumptions!$B$8,Assumptions!$B$9))</f>
        <v>0.255662024384189</v>
      </c>
      <c r="M189" s="8" t="n">
        <f aca="true">IF(G189="Bull",NORMINV(RAND(),Assumptions!$B$5,Assumptions!$B$6),NORMINV(RAND(),Assumptions!$B$8,Assumptions!$B$9))</f>
        <v>0.237631208015754</v>
      </c>
      <c r="N189" s="8" t="n">
        <f aca="true">NORMINV(RAND(),Assumptions!$B$14,Assumptions!$B$15)</f>
        <v>0.0161429118806134</v>
      </c>
      <c r="O189" s="8" t="n">
        <f aca="true">NORMINV(RAND(),Assumptions!$B$14,Assumptions!$B$15)</f>
        <v>0.0202097141580447</v>
      </c>
      <c r="P189" s="8" t="n">
        <f aca="true">NORMINV(RAND(),Assumptions!$B$14,Assumptions!$B$15)</f>
        <v>0.0188614300469047</v>
      </c>
      <c r="Q189" s="8" t="n">
        <f aca="true">NORMINV(RAND(),Assumptions!$B$14,Assumptions!$B$15)</f>
        <v>0.0513678035586348</v>
      </c>
      <c r="R189" s="8" t="n">
        <f aca="true">NORMINV(RAND(),Assumptions!$B$14,Assumptions!$B$15)</f>
        <v>0.0981804955809317</v>
      </c>
      <c r="S189" s="8" t="n">
        <f aca="true">NORMINV(RAND(),Assumptions!$B$14,Assumptions!$B$15)</f>
        <v>0.023117877269632</v>
      </c>
      <c r="T189" s="8" t="n">
        <f aca="false">Assumptions!$B$19*H189+(1-Assumptions!$B$19)*N189</f>
        <v>0.121839494842276</v>
      </c>
      <c r="U189" s="8" t="n">
        <f aca="false">Assumptions!$B$20*I189+(1-Assumptions!$B$20)*O189</f>
        <v>-0.362500117945778</v>
      </c>
      <c r="V189" s="8" t="n">
        <f aca="false">Assumptions!$B$21*J189+(1-Assumptions!$B$21)*P189</f>
        <v>-0.448134146581335</v>
      </c>
      <c r="W189" s="8" t="n">
        <f aca="false">Assumptions!$B$22*K189+(1-Assumptions!$B$22)*Q189</f>
        <v>0.264016525472275</v>
      </c>
      <c r="X189" s="8" t="n">
        <f aca="false">Assumptions!$B$23*L189+(1-Assumptions!$B$23)*R189</f>
        <v>0.224165718623537</v>
      </c>
      <c r="Y189" s="8" t="n">
        <f aca="false">Assumptions!$B$24*M189+(1-Assumptions!$B$24)*S189</f>
        <v>0.151825875717305</v>
      </c>
      <c r="Z189" s="6" t="n">
        <f aca="false">Assumptions!$B$27*(1+T189)</f>
        <v>336551.848452683</v>
      </c>
      <c r="AA189" s="6" t="n">
        <f aca="false">(Z189+Assumptions!$B$28)*(1+U189)</f>
        <v>310176.746001849</v>
      </c>
      <c r="AB189" s="6" t="n">
        <f aca="false">AA189*(1+V189)</f>
        <v>171175.954642935</v>
      </c>
      <c r="AC189" s="6" t="n">
        <f aca="false">AB189*(1+W189)</f>
        <v>216369.235432162</v>
      </c>
      <c r="AD189" s="6" t="n">
        <f aca="false">AC189*(1+X189)</f>
        <v>264871.800580838</v>
      </c>
      <c r="AE189" s="6" t="n">
        <f aca="false">AD189*(1+Y189)</f>
        <v>305086.193656844</v>
      </c>
      <c r="AF189" s="6" t="n">
        <f aca="false">Z189</f>
        <v>336551.848452683</v>
      </c>
      <c r="AG189" s="6" t="n">
        <f aca="false">MAX(AF189,AA189)</f>
        <v>336551.848452683</v>
      </c>
      <c r="AH189" s="6" t="n">
        <f aca="false">MAX(AG189,AB189)</f>
        <v>336551.848452683</v>
      </c>
      <c r="AI189" s="6" t="n">
        <f aca="false">MAX(AH189,AC189)</f>
        <v>336551.848452683</v>
      </c>
      <c r="AJ189" s="6" t="n">
        <f aca="false">MAX(AI189,AD189)</f>
        <v>336551.848452683</v>
      </c>
      <c r="AK189" s="6" t="n">
        <f aca="false">MAX(AJ189,AE189)</f>
        <v>336551.848452683</v>
      </c>
      <c r="AL189" s="8" t="n">
        <f aca="false">MIN(Z189/AF189-1,AA189/AG189-1,AB189/AH189-1,AC189/AI189-1,AD189/AJ189-1,AE189/AK189-1)</f>
        <v>-0.491383109527026</v>
      </c>
      <c r="AM189" s="6" t="n">
        <f aca="false">AE189-Assumptions!$B$35</f>
        <v>-136177.80300566</v>
      </c>
    </row>
    <row r="190" customFormat="false" ht="15" hidden="false" customHeight="false" outlineLevel="0" collapsed="false">
      <c r="A190" s="0" t="n">
        <f aca="false">ROW()-1</f>
        <v>189</v>
      </c>
      <c r="B190" s="0" t="str">
        <f aca="true">IF(RAND()&lt;Assumptions!$B$11,"Bull","Bear")</f>
        <v>Bear</v>
      </c>
      <c r="C190" s="0" t="str">
        <f aca="true">IF(B190="Bull",IF(RAND()&lt;Assumptions!$B$7,"Bull","Bear"),IF(RAND()&lt;Assumptions!$B$10,"Bear","Bull"))</f>
        <v>Bull</v>
      </c>
      <c r="D190" s="0" t="str">
        <f aca="true">IF(C190="Bull",IF(RAND()&lt;Assumptions!$B$7,"Bull","Bear"),IF(RAND()&lt;Assumptions!$B$10,"Bear","Bull"))</f>
        <v>Bull</v>
      </c>
      <c r="E190" s="0" t="str">
        <f aca="true">IF(D190="Bull",IF(RAND()&lt;Assumptions!$B$7,"Bull","Bear"),IF(RAND()&lt;Assumptions!$B$10,"Bear","Bull"))</f>
        <v>Bull</v>
      </c>
      <c r="F190" s="0" t="str">
        <f aca="true">IF(E190="Bull",IF(RAND()&lt;Assumptions!$B$7,"Bull","Bear"),IF(RAND()&lt;Assumptions!$B$10,"Bear","Bull"))</f>
        <v>Bull</v>
      </c>
      <c r="G190" s="0" t="str">
        <f aca="true">IF(F190="Bull",IF(RAND()&lt;Assumptions!$B$7,"Bull","Bear"),IF(RAND()&lt;Assumptions!$B$10,"Bear","Bull"))</f>
        <v>Bull</v>
      </c>
      <c r="H190" s="8" t="n">
        <f aca="true">IF(B190="Bull",NORMINV(RAND(),Assumptions!$B$5,Assumptions!$B$6),NORMINV(RAND(),Assumptions!$B$8,Assumptions!$B$9))</f>
        <v>-0.366573641730584</v>
      </c>
      <c r="I190" s="8" t="n">
        <f aca="true">IF(C190="Bull",NORMINV(RAND(),Assumptions!$B$5,Assumptions!$B$6),NORMINV(RAND(),Assumptions!$B$8,Assumptions!$B$9))</f>
        <v>0.223244374713703</v>
      </c>
      <c r="J190" s="8" t="n">
        <f aca="true">IF(D190="Bull",NORMINV(RAND(),Assumptions!$B$5,Assumptions!$B$6),NORMINV(RAND(),Assumptions!$B$8,Assumptions!$B$9))</f>
        <v>0.332356388908026</v>
      </c>
      <c r="K190" s="8" t="n">
        <f aca="true">IF(E190="Bull",NORMINV(RAND(),Assumptions!$B$5,Assumptions!$B$6),NORMINV(RAND(),Assumptions!$B$8,Assumptions!$B$9))</f>
        <v>0.167061543762282</v>
      </c>
      <c r="L190" s="8" t="n">
        <f aca="true">IF(F190="Bull",NORMINV(RAND(),Assumptions!$B$5,Assumptions!$B$6),NORMINV(RAND(),Assumptions!$B$8,Assumptions!$B$9))</f>
        <v>0.119110706524028</v>
      </c>
      <c r="M190" s="8" t="n">
        <f aca="true">IF(G190="Bull",NORMINV(RAND(),Assumptions!$B$5,Assumptions!$B$6),NORMINV(RAND(),Assumptions!$B$8,Assumptions!$B$9))</f>
        <v>0.286871824221204</v>
      </c>
      <c r="N190" s="8" t="n">
        <f aca="true">NORMINV(RAND(),Assumptions!$B$14,Assumptions!$B$15)</f>
        <v>0.0159221918117004</v>
      </c>
      <c r="O190" s="8" t="n">
        <f aca="true">NORMINV(RAND(),Assumptions!$B$14,Assumptions!$B$15)</f>
        <v>-0.00195530610654</v>
      </c>
      <c r="P190" s="8" t="n">
        <f aca="true">NORMINV(RAND(),Assumptions!$B$14,Assumptions!$B$15)</f>
        <v>-0.00368817173411078</v>
      </c>
      <c r="Q190" s="8" t="n">
        <f aca="true">NORMINV(RAND(),Assumptions!$B$14,Assumptions!$B$15)</f>
        <v>0.0775173721605195</v>
      </c>
      <c r="R190" s="8" t="n">
        <f aca="true">NORMINV(RAND(),Assumptions!$B$14,Assumptions!$B$15)</f>
        <v>0.0975123844081964</v>
      </c>
      <c r="S190" s="8" t="n">
        <f aca="true">NORMINV(RAND(),Assumptions!$B$14,Assumptions!$B$15)</f>
        <v>0.00530757849985979</v>
      </c>
      <c r="T190" s="8" t="n">
        <f aca="false">Assumptions!$B$19*H190+(1-Assumptions!$B$19)*N190</f>
        <v>-0.366573641730584</v>
      </c>
      <c r="U190" s="8" t="n">
        <f aca="false">Assumptions!$B$20*I190+(1-Assumptions!$B$20)*O190</f>
        <v>0.223244374713703</v>
      </c>
      <c r="V190" s="8" t="n">
        <f aca="false">Assumptions!$B$21*J190+(1-Assumptions!$B$21)*P190</f>
        <v>0.332356388908026</v>
      </c>
      <c r="W190" s="8" t="n">
        <f aca="false">Assumptions!$B$22*K190+(1-Assumptions!$B$22)*Q190</f>
        <v>0.167061543762282</v>
      </c>
      <c r="X190" s="8" t="n">
        <f aca="false">Assumptions!$B$23*L190+(1-Assumptions!$B$23)*R190</f>
        <v>0.114791042100861</v>
      </c>
      <c r="Y190" s="8" t="n">
        <f aca="false">Assumptions!$B$24*M190+(1-Assumptions!$B$24)*S190</f>
        <v>0.174246125932666</v>
      </c>
      <c r="Z190" s="6" t="n">
        <f aca="false">Assumptions!$B$27*(1+T190)</f>
        <v>190027.907480825</v>
      </c>
      <c r="AA190" s="6" t="n">
        <f aca="false">(Z190+Assumptions!$B$28)*(1+U190)</f>
        <v>415937.225071591</v>
      </c>
      <c r="AB190" s="6" t="n">
        <f aca="false">AA190*(1+V190)</f>
        <v>554176.619208809</v>
      </c>
      <c r="AC190" s="6" t="n">
        <f aca="false">AB190*(1+W190)</f>
        <v>646758.220730795</v>
      </c>
      <c r="AD190" s="6" t="n">
        <f aca="false">AC190*(1+X190)</f>
        <v>721000.270875782</v>
      </c>
      <c r="AE190" s="6" t="n">
        <f aca="false">AD190*(1+Y190)</f>
        <v>846631.77487229</v>
      </c>
      <c r="AF190" s="6" t="n">
        <f aca="false">Z190</f>
        <v>190027.907480825</v>
      </c>
      <c r="AG190" s="6" t="n">
        <f aca="false">MAX(AF190,AA190)</f>
        <v>415937.225071591</v>
      </c>
      <c r="AH190" s="6" t="n">
        <f aca="false">MAX(AG190,AB190)</f>
        <v>554176.619208809</v>
      </c>
      <c r="AI190" s="6" t="n">
        <f aca="false">MAX(AH190,AC190)</f>
        <v>646758.220730795</v>
      </c>
      <c r="AJ190" s="6" t="n">
        <f aca="false">MAX(AI190,AD190)</f>
        <v>721000.270875782</v>
      </c>
      <c r="AK190" s="6" t="n">
        <f aca="false">MAX(AJ190,AE190)</f>
        <v>846631.77487229</v>
      </c>
      <c r="AL190" s="8" t="n">
        <f aca="false">MIN(Z190/AF190-1,AA190/AG190-1,AB190/AH190-1,AC190/AI190-1,AD190/AJ190-1,AE190/AK190-1)</f>
        <v>0</v>
      </c>
      <c r="AM190" s="6" t="n">
        <f aca="false">AE190-Assumptions!$B$35</f>
        <v>405367.778209786</v>
      </c>
    </row>
    <row r="191" customFormat="false" ht="15" hidden="false" customHeight="false" outlineLevel="0" collapsed="false">
      <c r="A191" s="0" t="n">
        <f aca="false">ROW()-1</f>
        <v>190</v>
      </c>
      <c r="B191" s="0" t="str">
        <f aca="true">IF(RAND()&lt;Assumptions!$B$11,"Bull","Bear")</f>
        <v>Bull</v>
      </c>
      <c r="C191" s="0" t="str">
        <f aca="true">IF(B191="Bull",IF(RAND()&lt;Assumptions!$B$7,"Bull","Bear"),IF(RAND()&lt;Assumptions!$B$10,"Bear","Bull"))</f>
        <v>Bull</v>
      </c>
      <c r="D191" s="0" t="str">
        <f aca="true">IF(C191="Bull",IF(RAND()&lt;Assumptions!$B$7,"Bull","Bear"),IF(RAND()&lt;Assumptions!$B$10,"Bear","Bull"))</f>
        <v>Bull</v>
      </c>
      <c r="E191" s="0" t="str">
        <f aca="true">IF(D191="Bull",IF(RAND()&lt;Assumptions!$B$7,"Bull","Bear"),IF(RAND()&lt;Assumptions!$B$10,"Bear","Bull"))</f>
        <v>Bull</v>
      </c>
      <c r="F191" s="0" t="str">
        <f aca="true">IF(E191="Bull",IF(RAND()&lt;Assumptions!$B$7,"Bull","Bear"),IF(RAND()&lt;Assumptions!$B$10,"Bear","Bull"))</f>
        <v>Bull</v>
      </c>
      <c r="G191" s="0" t="str">
        <f aca="true">IF(F191="Bull",IF(RAND()&lt;Assumptions!$B$7,"Bull","Bear"),IF(RAND()&lt;Assumptions!$B$10,"Bear","Bull"))</f>
        <v>Bull</v>
      </c>
      <c r="H191" s="8" t="n">
        <f aca="true">IF(B191="Bull",NORMINV(RAND(),Assumptions!$B$5,Assumptions!$B$6),NORMINV(RAND(),Assumptions!$B$8,Assumptions!$B$9))</f>
        <v>0.0205414858031993</v>
      </c>
      <c r="I191" s="8" t="n">
        <f aca="true">IF(C191="Bull",NORMINV(RAND(),Assumptions!$B$5,Assumptions!$B$6),NORMINV(RAND(),Assumptions!$B$8,Assumptions!$B$9))</f>
        <v>0.195135726158242</v>
      </c>
      <c r="J191" s="8" t="n">
        <f aca="true">IF(D191="Bull",NORMINV(RAND(),Assumptions!$B$5,Assumptions!$B$6),NORMINV(RAND(),Assumptions!$B$8,Assumptions!$B$9))</f>
        <v>0.0638504819378983</v>
      </c>
      <c r="K191" s="8" t="n">
        <f aca="true">IF(E191="Bull",NORMINV(RAND(),Assumptions!$B$5,Assumptions!$B$6),NORMINV(RAND(),Assumptions!$B$8,Assumptions!$B$9))</f>
        <v>0.170554014212967</v>
      </c>
      <c r="L191" s="8" t="n">
        <f aca="true">IF(F191="Bull",NORMINV(RAND(),Assumptions!$B$5,Assumptions!$B$6),NORMINV(RAND(),Assumptions!$B$8,Assumptions!$B$9))</f>
        <v>0.13939214087361</v>
      </c>
      <c r="M191" s="8" t="n">
        <f aca="true">IF(G191="Bull",NORMINV(RAND(),Assumptions!$B$5,Assumptions!$B$6),NORMINV(RAND(),Assumptions!$B$8,Assumptions!$B$9))</f>
        <v>0.0590838504669064</v>
      </c>
      <c r="N191" s="8" t="n">
        <f aca="true">NORMINV(RAND(),Assumptions!$B$14,Assumptions!$B$15)</f>
        <v>0.0752696743749334</v>
      </c>
      <c r="O191" s="8" t="n">
        <f aca="true">NORMINV(RAND(),Assumptions!$B$14,Assumptions!$B$15)</f>
        <v>0.0237417685669963</v>
      </c>
      <c r="P191" s="8" t="n">
        <f aca="true">NORMINV(RAND(),Assumptions!$B$14,Assumptions!$B$15)</f>
        <v>0.068476042006988</v>
      </c>
      <c r="Q191" s="8" t="n">
        <f aca="true">NORMINV(RAND(),Assumptions!$B$14,Assumptions!$B$15)</f>
        <v>-0.0201012121042035</v>
      </c>
      <c r="R191" s="8" t="n">
        <f aca="true">NORMINV(RAND(),Assumptions!$B$14,Assumptions!$B$15)</f>
        <v>0.0712326840990767</v>
      </c>
      <c r="S191" s="8" t="n">
        <f aca="true">NORMINV(RAND(),Assumptions!$B$14,Assumptions!$B$15)</f>
        <v>0.0477066841730966</v>
      </c>
      <c r="T191" s="8" t="n">
        <f aca="false">Assumptions!$B$19*H191+(1-Assumptions!$B$19)*N191</f>
        <v>0.0205414858031993</v>
      </c>
      <c r="U191" s="8" t="n">
        <f aca="false">Assumptions!$B$20*I191+(1-Assumptions!$B$20)*O191</f>
        <v>0.195135726158242</v>
      </c>
      <c r="V191" s="8" t="n">
        <f aca="false">Assumptions!$B$21*J191+(1-Assumptions!$B$21)*P191</f>
        <v>0.0638504819378983</v>
      </c>
      <c r="W191" s="8" t="n">
        <f aca="false">Assumptions!$B$22*K191+(1-Assumptions!$B$22)*Q191</f>
        <v>0.170554014212967</v>
      </c>
      <c r="X191" s="8" t="n">
        <f aca="false">Assumptions!$B$23*L191+(1-Assumptions!$B$23)*R191</f>
        <v>0.125760249518703</v>
      </c>
      <c r="Y191" s="8" t="n">
        <f aca="false">Assumptions!$B$24*M191+(1-Assumptions!$B$24)*S191</f>
        <v>0.0545329839493825</v>
      </c>
      <c r="Z191" s="6" t="n">
        <f aca="false">Assumptions!$B$27*(1+T191)</f>
        <v>306162.44574096</v>
      </c>
      <c r="AA191" s="6" t="n">
        <f aca="false">(Z191+Assumptions!$B$28)*(1+U191)</f>
        <v>545176.035836741</v>
      </c>
      <c r="AB191" s="6" t="n">
        <f aca="false">AA191*(1+V191)</f>
        <v>579985.78846591</v>
      </c>
      <c r="AC191" s="6" t="n">
        <f aca="false">AB191*(1+W191)</f>
        <v>678904.692875244</v>
      </c>
      <c r="AD191" s="6" t="n">
        <f aca="false">AC191*(1+X191)</f>
        <v>764283.916450653</v>
      </c>
      <c r="AE191" s="6" t="n">
        <f aca="false">AD191*(1+Y191)</f>
        <v>805962.598999228</v>
      </c>
      <c r="AF191" s="6" t="n">
        <f aca="false">Z191</f>
        <v>306162.44574096</v>
      </c>
      <c r="AG191" s="6" t="n">
        <f aca="false">MAX(AF191,AA191)</f>
        <v>545176.035836741</v>
      </c>
      <c r="AH191" s="6" t="n">
        <f aca="false">MAX(AG191,AB191)</f>
        <v>579985.78846591</v>
      </c>
      <c r="AI191" s="6" t="n">
        <f aca="false">MAX(AH191,AC191)</f>
        <v>678904.692875244</v>
      </c>
      <c r="AJ191" s="6" t="n">
        <f aca="false">MAX(AI191,AD191)</f>
        <v>764283.916450653</v>
      </c>
      <c r="AK191" s="6" t="n">
        <f aca="false">MAX(AJ191,AE191)</f>
        <v>805962.598999228</v>
      </c>
      <c r="AL191" s="8" t="n">
        <f aca="false">MIN(Z191/AF191-1,AA191/AG191-1,AB191/AH191-1,AC191/AI191-1,AD191/AJ191-1,AE191/AK191-1)</f>
        <v>0</v>
      </c>
      <c r="AM191" s="6" t="n">
        <f aca="false">AE191-Assumptions!$B$35</f>
        <v>364698.602336724</v>
      </c>
    </row>
    <row r="192" customFormat="false" ht="15" hidden="false" customHeight="false" outlineLevel="0" collapsed="false">
      <c r="A192" s="0" t="n">
        <f aca="false">ROW()-1</f>
        <v>191</v>
      </c>
      <c r="B192" s="0" t="str">
        <f aca="true">IF(RAND()&lt;Assumptions!$B$11,"Bull","Bear")</f>
        <v>Bull</v>
      </c>
      <c r="C192" s="0" t="str">
        <f aca="true">IF(B192="Bull",IF(RAND()&lt;Assumptions!$B$7,"Bull","Bear"),IF(RAND()&lt;Assumptions!$B$10,"Bear","Bull"))</f>
        <v>Bull</v>
      </c>
      <c r="D192" s="0" t="str">
        <f aca="true">IF(C192="Bull",IF(RAND()&lt;Assumptions!$B$7,"Bull","Bear"),IF(RAND()&lt;Assumptions!$B$10,"Bear","Bull"))</f>
        <v>Bear</v>
      </c>
      <c r="E192" s="0" t="str">
        <f aca="true">IF(D192="Bull",IF(RAND()&lt;Assumptions!$B$7,"Bull","Bear"),IF(RAND()&lt;Assumptions!$B$10,"Bear","Bull"))</f>
        <v>Bull</v>
      </c>
      <c r="F192" s="0" t="str">
        <f aca="true">IF(E192="Bull",IF(RAND()&lt;Assumptions!$B$7,"Bull","Bear"),IF(RAND()&lt;Assumptions!$B$10,"Bear","Bull"))</f>
        <v>Bear</v>
      </c>
      <c r="G192" s="0" t="str">
        <f aca="true">IF(F192="Bull",IF(RAND()&lt;Assumptions!$B$7,"Bull","Bear"),IF(RAND()&lt;Assumptions!$B$10,"Bear","Bull"))</f>
        <v>Bear</v>
      </c>
      <c r="H192" s="8" t="n">
        <f aca="true">IF(B192="Bull",NORMINV(RAND(),Assumptions!$B$5,Assumptions!$B$6),NORMINV(RAND(),Assumptions!$B$8,Assumptions!$B$9))</f>
        <v>0.249703545774463</v>
      </c>
      <c r="I192" s="8" t="n">
        <f aca="true">IF(C192="Bull",NORMINV(RAND(),Assumptions!$B$5,Assumptions!$B$6),NORMINV(RAND(),Assumptions!$B$8,Assumptions!$B$9))</f>
        <v>0.122784133984663</v>
      </c>
      <c r="J192" s="8" t="n">
        <f aca="true">IF(D192="Bull",NORMINV(RAND(),Assumptions!$B$5,Assumptions!$B$6),NORMINV(RAND(),Assumptions!$B$8,Assumptions!$B$9))</f>
        <v>-0.0330049499622272</v>
      </c>
      <c r="K192" s="8" t="n">
        <f aca="true">IF(E192="Bull",NORMINV(RAND(),Assumptions!$B$5,Assumptions!$B$6),NORMINV(RAND(),Assumptions!$B$8,Assumptions!$B$9))</f>
        <v>-0.0164794733392148</v>
      </c>
      <c r="L192" s="8" t="n">
        <f aca="true">IF(F192="Bull",NORMINV(RAND(),Assumptions!$B$5,Assumptions!$B$6),NORMINV(RAND(),Assumptions!$B$8,Assumptions!$B$9))</f>
        <v>-0.269485564921301</v>
      </c>
      <c r="M192" s="8" t="n">
        <f aca="true">IF(G192="Bull",NORMINV(RAND(),Assumptions!$B$5,Assumptions!$B$6),NORMINV(RAND(),Assumptions!$B$8,Assumptions!$B$9))</f>
        <v>-0.111517836597437</v>
      </c>
      <c r="N192" s="8" t="n">
        <f aca="true">NORMINV(RAND(),Assumptions!$B$14,Assumptions!$B$15)</f>
        <v>0.0149855152856294</v>
      </c>
      <c r="O192" s="8" t="n">
        <f aca="true">NORMINV(RAND(),Assumptions!$B$14,Assumptions!$B$15)</f>
        <v>0.0488181797691357</v>
      </c>
      <c r="P192" s="8" t="n">
        <f aca="true">NORMINV(RAND(),Assumptions!$B$14,Assumptions!$B$15)</f>
        <v>0.0826044754058553</v>
      </c>
      <c r="Q192" s="8" t="n">
        <f aca="true">NORMINV(RAND(),Assumptions!$B$14,Assumptions!$B$15)</f>
        <v>0.0697427075868414</v>
      </c>
      <c r="R192" s="8" t="n">
        <f aca="true">NORMINV(RAND(),Assumptions!$B$14,Assumptions!$B$15)</f>
        <v>-0.00889294822667835</v>
      </c>
      <c r="S192" s="8" t="n">
        <f aca="true">NORMINV(RAND(),Assumptions!$B$14,Assumptions!$B$15)</f>
        <v>0.0460237787654705</v>
      </c>
      <c r="T192" s="8" t="n">
        <f aca="false">Assumptions!$B$19*H192+(1-Assumptions!$B$19)*N192</f>
        <v>0.249703545774463</v>
      </c>
      <c r="U192" s="8" t="n">
        <f aca="false">Assumptions!$B$20*I192+(1-Assumptions!$B$20)*O192</f>
        <v>0.122784133984663</v>
      </c>
      <c r="V192" s="8" t="n">
        <f aca="false">Assumptions!$B$21*J192+(1-Assumptions!$B$21)*P192</f>
        <v>-0.0330049499622272</v>
      </c>
      <c r="W192" s="8" t="n">
        <f aca="false">Assumptions!$B$22*K192+(1-Assumptions!$B$22)*Q192</f>
        <v>-0.0164794733392148</v>
      </c>
      <c r="X192" s="8" t="n">
        <f aca="false">Assumptions!$B$23*L192+(1-Assumptions!$B$23)*R192</f>
        <v>-0.217367041582376</v>
      </c>
      <c r="Y192" s="8" t="n">
        <f aca="false">Assumptions!$B$24*M192+(1-Assumptions!$B$24)*S192</f>
        <v>-0.048501190452274</v>
      </c>
      <c r="Z192" s="6" t="n">
        <f aca="false">Assumptions!$B$27*(1+T192)</f>
        <v>374911.063732339</v>
      </c>
      <c r="AA192" s="6" t="n">
        <f aca="false">(Z192+Assumptions!$B$28)*(1+U192)</f>
        <v>589361.814111682</v>
      </c>
      <c r="AB192" s="6" t="n">
        <f aca="false">AA192*(1+V192)</f>
        <v>569909.956927279</v>
      </c>
      <c r="AC192" s="6" t="n">
        <f aca="false">AB192*(1+W192)</f>
        <v>560518.140986343</v>
      </c>
      <c r="AD192" s="6" t="n">
        <f aca="false">AC192*(1+X192)</f>
        <v>438679.970926888</v>
      </c>
      <c r="AE192" s="6" t="n">
        <f aca="false">AD192*(1+Y192)</f>
        <v>417403.470109365</v>
      </c>
      <c r="AF192" s="6" t="n">
        <f aca="false">Z192</f>
        <v>374911.063732339</v>
      </c>
      <c r="AG192" s="6" t="n">
        <f aca="false">MAX(AF192,AA192)</f>
        <v>589361.814111682</v>
      </c>
      <c r="AH192" s="6" t="n">
        <f aca="false">MAX(AG192,AB192)</f>
        <v>589361.814111682</v>
      </c>
      <c r="AI192" s="6" t="n">
        <f aca="false">MAX(AH192,AC192)</f>
        <v>589361.814111682</v>
      </c>
      <c r="AJ192" s="6" t="n">
        <f aca="false">MAX(AI192,AD192)</f>
        <v>589361.814111682</v>
      </c>
      <c r="AK192" s="6" t="n">
        <f aca="false">MAX(AJ192,AE192)</f>
        <v>589361.814111682</v>
      </c>
      <c r="AL192" s="8" t="n">
        <f aca="false">MIN(Z192/AF192-1,AA192/AG192-1,AB192/AH192-1,AC192/AI192-1,AD192/AJ192-1,AE192/AK192-1)</f>
        <v>-0.29177041994399</v>
      </c>
      <c r="AM192" s="6" t="n">
        <f aca="false">AE192-Assumptions!$B$35</f>
        <v>-23860.5265531385</v>
      </c>
    </row>
    <row r="193" customFormat="false" ht="15" hidden="false" customHeight="false" outlineLevel="0" collapsed="false">
      <c r="A193" s="0" t="n">
        <f aca="false">ROW()-1</f>
        <v>192</v>
      </c>
      <c r="B193" s="0" t="str">
        <f aca="true">IF(RAND()&lt;Assumptions!$B$11,"Bull","Bear")</f>
        <v>Bull</v>
      </c>
      <c r="C193" s="0" t="str">
        <f aca="true">IF(B193="Bull",IF(RAND()&lt;Assumptions!$B$7,"Bull","Bear"),IF(RAND()&lt;Assumptions!$B$10,"Bear","Bull"))</f>
        <v>Bull</v>
      </c>
      <c r="D193" s="0" t="str">
        <f aca="true">IF(C193="Bull",IF(RAND()&lt;Assumptions!$B$7,"Bull","Bear"),IF(RAND()&lt;Assumptions!$B$10,"Bear","Bull"))</f>
        <v>Bear</v>
      </c>
      <c r="E193" s="0" t="str">
        <f aca="true">IF(D193="Bull",IF(RAND()&lt;Assumptions!$B$7,"Bull","Bear"),IF(RAND()&lt;Assumptions!$B$10,"Bear","Bull"))</f>
        <v>Bear</v>
      </c>
      <c r="F193" s="0" t="str">
        <f aca="true">IF(E193="Bull",IF(RAND()&lt;Assumptions!$B$7,"Bull","Bear"),IF(RAND()&lt;Assumptions!$B$10,"Bear","Bull"))</f>
        <v>Bear</v>
      </c>
      <c r="G193" s="0" t="str">
        <f aca="true">IF(F193="Bull",IF(RAND()&lt;Assumptions!$B$7,"Bull","Bear"),IF(RAND()&lt;Assumptions!$B$10,"Bear","Bull"))</f>
        <v>Bear</v>
      </c>
      <c r="H193" s="8" t="n">
        <f aca="true">IF(B193="Bull",NORMINV(RAND(),Assumptions!$B$5,Assumptions!$B$6),NORMINV(RAND(),Assumptions!$B$8,Assumptions!$B$9))</f>
        <v>0.220490268215356</v>
      </c>
      <c r="I193" s="8" t="n">
        <f aca="true">IF(C193="Bull",NORMINV(RAND(),Assumptions!$B$5,Assumptions!$B$6),NORMINV(RAND(),Assumptions!$B$8,Assumptions!$B$9))</f>
        <v>0.300203788079836</v>
      </c>
      <c r="J193" s="8" t="n">
        <f aca="true">IF(D193="Bull",NORMINV(RAND(),Assumptions!$B$5,Assumptions!$B$6),NORMINV(RAND(),Assumptions!$B$8,Assumptions!$B$9))</f>
        <v>-0.164014719105101</v>
      </c>
      <c r="K193" s="8" t="n">
        <f aca="true">IF(E193="Bull",NORMINV(RAND(),Assumptions!$B$5,Assumptions!$B$6),NORMINV(RAND(),Assumptions!$B$8,Assumptions!$B$9))</f>
        <v>-0.279615012874556</v>
      </c>
      <c r="L193" s="8" t="n">
        <f aca="true">IF(F193="Bull",NORMINV(RAND(),Assumptions!$B$5,Assumptions!$B$6),NORMINV(RAND(),Assumptions!$B$8,Assumptions!$B$9))</f>
        <v>-0.40701330093189</v>
      </c>
      <c r="M193" s="8" t="n">
        <f aca="true">IF(G193="Bull",NORMINV(RAND(),Assumptions!$B$5,Assumptions!$B$6),NORMINV(RAND(),Assumptions!$B$8,Assumptions!$B$9))</f>
        <v>-0.0735508778212234</v>
      </c>
      <c r="N193" s="8" t="n">
        <f aca="true">NORMINV(RAND(),Assumptions!$B$14,Assumptions!$B$15)</f>
        <v>0.072343739669395</v>
      </c>
      <c r="O193" s="8" t="n">
        <f aca="true">NORMINV(RAND(),Assumptions!$B$14,Assumptions!$B$15)</f>
        <v>0.060910225632579</v>
      </c>
      <c r="P193" s="8" t="n">
        <f aca="true">NORMINV(RAND(),Assumptions!$B$14,Assumptions!$B$15)</f>
        <v>0.120298492531386</v>
      </c>
      <c r="Q193" s="8" t="n">
        <f aca="true">NORMINV(RAND(),Assumptions!$B$14,Assumptions!$B$15)</f>
        <v>0.0437116491004558</v>
      </c>
      <c r="R193" s="8" t="n">
        <f aca="true">NORMINV(RAND(),Assumptions!$B$14,Assumptions!$B$15)</f>
        <v>0.00572068046924462</v>
      </c>
      <c r="S193" s="8" t="n">
        <f aca="true">NORMINV(RAND(),Assumptions!$B$14,Assumptions!$B$15)</f>
        <v>0.0145655251863036</v>
      </c>
      <c r="T193" s="8" t="n">
        <f aca="false">Assumptions!$B$19*H193+(1-Assumptions!$B$19)*N193</f>
        <v>0.220490268215356</v>
      </c>
      <c r="U193" s="8" t="n">
        <f aca="false">Assumptions!$B$20*I193+(1-Assumptions!$B$20)*O193</f>
        <v>0.300203788079836</v>
      </c>
      <c r="V193" s="8" t="n">
        <f aca="false">Assumptions!$B$21*J193+(1-Assumptions!$B$21)*P193</f>
        <v>-0.164014719105101</v>
      </c>
      <c r="W193" s="8" t="n">
        <f aca="false">Assumptions!$B$22*K193+(1-Assumptions!$B$22)*Q193</f>
        <v>-0.279615012874556</v>
      </c>
      <c r="X193" s="8" t="n">
        <f aca="false">Assumptions!$B$23*L193+(1-Assumptions!$B$23)*R193</f>
        <v>-0.324466504651663</v>
      </c>
      <c r="Y193" s="8" t="n">
        <f aca="false">Assumptions!$B$24*M193+(1-Assumptions!$B$24)*S193</f>
        <v>-0.0383043166182126</v>
      </c>
      <c r="Z193" s="6" t="n">
        <f aca="false">Assumptions!$B$27*(1+T193)</f>
        <v>366147.080464607</v>
      </c>
      <c r="AA193" s="6" t="n">
        <f aca="false">(Z193+Assumptions!$B$28)*(1+U193)</f>
        <v>671096.38922643</v>
      </c>
      <c r="AB193" s="6" t="n">
        <f aca="false">AA193*(1+V193)</f>
        <v>561026.703455009</v>
      </c>
      <c r="AC193" s="6" t="n">
        <f aca="false">AB193*(1+W193)</f>
        <v>404155.214545467</v>
      </c>
      <c r="AD193" s="6" t="n">
        <f aca="false">AC193*(1+X193)</f>
        <v>273020.384745157</v>
      </c>
      <c r="AE193" s="6" t="n">
        <f aca="false">AD193*(1+Y193)</f>
        <v>262562.525484652</v>
      </c>
      <c r="AF193" s="6" t="n">
        <f aca="false">Z193</f>
        <v>366147.080464607</v>
      </c>
      <c r="AG193" s="6" t="n">
        <f aca="false">MAX(AF193,AA193)</f>
        <v>671096.38922643</v>
      </c>
      <c r="AH193" s="6" t="n">
        <f aca="false">MAX(AG193,AB193)</f>
        <v>671096.38922643</v>
      </c>
      <c r="AI193" s="6" t="n">
        <f aca="false">MAX(AH193,AC193)</f>
        <v>671096.38922643</v>
      </c>
      <c r="AJ193" s="6" t="n">
        <f aca="false">MAX(AI193,AD193)</f>
        <v>671096.38922643</v>
      </c>
      <c r="AK193" s="6" t="n">
        <f aca="false">MAX(AJ193,AE193)</f>
        <v>671096.38922643</v>
      </c>
      <c r="AL193" s="8" t="n">
        <f aca="false">MIN(Z193/AF193-1,AA193/AG193-1,AB193/AH193-1,AC193/AI193-1,AD193/AJ193-1,AE193/AK193-1)</f>
        <v>-0.608755866221681</v>
      </c>
      <c r="AM193" s="6" t="n">
        <f aca="false">AE193-Assumptions!$B$35</f>
        <v>-178701.471177852</v>
      </c>
    </row>
    <row r="194" customFormat="false" ht="15" hidden="false" customHeight="false" outlineLevel="0" collapsed="false">
      <c r="A194" s="0" t="n">
        <f aca="false">ROW()-1</f>
        <v>193</v>
      </c>
      <c r="B194" s="0" t="str">
        <f aca="true">IF(RAND()&lt;Assumptions!$B$11,"Bull","Bear")</f>
        <v>Bear</v>
      </c>
      <c r="C194" s="0" t="str">
        <f aca="true">IF(B194="Bull",IF(RAND()&lt;Assumptions!$B$7,"Bull","Bear"),IF(RAND()&lt;Assumptions!$B$10,"Bear","Bull"))</f>
        <v>Bull</v>
      </c>
      <c r="D194" s="0" t="str">
        <f aca="true">IF(C194="Bull",IF(RAND()&lt;Assumptions!$B$7,"Bull","Bear"),IF(RAND()&lt;Assumptions!$B$10,"Bear","Bull"))</f>
        <v>Bull</v>
      </c>
      <c r="E194" s="0" t="str">
        <f aca="true">IF(D194="Bull",IF(RAND()&lt;Assumptions!$B$7,"Bull","Bear"),IF(RAND()&lt;Assumptions!$B$10,"Bear","Bull"))</f>
        <v>Bull</v>
      </c>
      <c r="F194" s="0" t="str">
        <f aca="true">IF(E194="Bull",IF(RAND()&lt;Assumptions!$B$7,"Bull","Bear"),IF(RAND()&lt;Assumptions!$B$10,"Bear","Bull"))</f>
        <v>Bull</v>
      </c>
      <c r="G194" s="0" t="str">
        <f aca="true">IF(F194="Bull",IF(RAND()&lt;Assumptions!$B$7,"Bull","Bear"),IF(RAND()&lt;Assumptions!$B$10,"Bear","Bull"))</f>
        <v>Bear</v>
      </c>
      <c r="H194" s="8" t="n">
        <f aca="true">IF(B194="Bull",NORMINV(RAND(),Assumptions!$B$5,Assumptions!$B$6),NORMINV(RAND(),Assumptions!$B$8,Assumptions!$B$9))</f>
        <v>0.107993392919631</v>
      </c>
      <c r="I194" s="8" t="n">
        <f aca="true">IF(C194="Bull",NORMINV(RAND(),Assumptions!$B$5,Assumptions!$B$6),NORMINV(RAND(),Assumptions!$B$8,Assumptions!$B$9))</f>
        <v>0.259108093760448</v>
      </c>
      <c r="J194" s="8" t="n">
        <f aca="true">IF(D194="Bull",NORMINV(RAND(),Assumptions!$B$5,Assumptions!$B$6),NORMINV(RAND(),Assumptions!$B$8,Assumptions!$B$9))</f>
        <v>0.116533313099765</v>
      </c>
      <c r="K194" s="8" t="n">
        <f aca="true">IF(E194="Bull",NORMINV(RAND(),Assumptions!$B$5,Assumptions!$B$6),NORMINV(RAND(),Assumptions!$B$8,Assumptions!$B$9))</f>
        <v>0.12573364989303</v>
      </c>
      <c r="L194" s="8" t="n">
        <f aca="true">IF(F194="Bull",NORMINV(RAND(),Assumptions!$B$5,Assumptions!$B$6),NORMINV(RAND(),Assumptions!$B$8,Assumptions!$B$9))</f>
        <v>0.0900484739537356</v>
      </c>
      <c r="M194" s="8" t="n">
        <f aca="true">IF(G194="Bull",NORMINV(RAND(),Assumptions!$B$5,Assumptions!$B$6),NORMINV(RAND(),Assumptions!$B$8,Assumptions!$B$9))</f>
        <v>0.0653856764589129</v>
      </c>
      <c r="N194" s="8" t="n">
        <f aca="true">NORMINV(RAND(),Assumptions!$B$14,Assumptions!$B$15)</f>
        <v>0.036132248748961</v>
      </c>
      <c r="O194" s="8" t="n">
        <f aca="true">NORMINV(RAND(),Assumptions!$B$14,Assumptions!$B$15)</f>
        <v>0.0616871227796745</v>
      </c>
      <c r="P194" s="8" t="n">
        <f aca="true">NORMINV(RAND(),Assumptions!$B$14,Assumptions!$B$15)</f>
        <v>0.0258438339955484</v>
      </c>
      <c r="Q194" s="8" t="n">
        <f aca="true">NORMINV(RAND(),Assumptions!$B$14,Assumptions!$B$15)</f>
        <v>0.0499538365247702</v>
      </c>
      <c r="R194" s="8" t="n">
        <f aca="true">NORMINV(RAND(),Assumptions!$B$14,Assumptions!$B$15)</f>
        <v>0.0614992504570842</v>
      </c>
      <c r="S194" s="8" t="n">
        <f aca="true">NORMINV(RAND(),Assumptions!$B$14,Assumptions!$B$15)</f>
        <v>0.088765673602457</v>
      </c>
      <c r="T194" s="8" t="n">
        <f aca="false">Assumptions!$B$19*H194+(1-Assumptions!$B$19)*N194</f>
        <v>0.107993392919631</v>
      </c>
      <c r="U194" s="8" t="n">
        <f aca="false">Assumptions!$B$20*I194+(1-Assumptions!$B$20)*O194</f>
        <v>0.259108093760448</v>
      </c>
      <c r="V194" s="8" t="n">
        <f aca="false">Assumptions!$B$21*J194+(1-Assumptions!$B$21)*P194</f>
        <v>0.116533313099765</v>
      </c>
      <c r="W194" s="8" t="n">
        <f aca="false">Assumptions!$B$22*K194+(1-Assumptions!$B$22)*Q194</f>
        <v>0.12573364989303</v>
      </c>
      <c r="X194" s="8" t="n">
        <f aca="false">Assumptions!$B$23*L194+(1-Assumptions!$B$23)*R194</f>
        <v>0.0843386292544053</v>
      </c>
      <c r="Y194" s="8" t="n">
        <f aca="false">Assumptions!$B$24*M194+(1-Assumptions!$B$24)*S194</f>
        <v>0.0747376753163305</v>
      </c>
      <c r="Z194" s="6" t="n">
        <f aca="false">Assumptions!$B$27*(1+T194)</f>
        <v>332398.017875889</v>
      </c>
      <c r="AA194" s="6" t="n">
        <f aca="false">(Z194+Assumptions!$B$28)*(1+U194)</f>
        <v>607391.24872153</v>
      </c>
      <c r="AB194" s="6" t="n">
        <f aca="false">AA194*(1+V194)</f>
        <v>678172.563282853</v>
      </c>
      <c r="AC194" s="6" t="n">
        <f aca="false">AB194*(1+W194)</f>
        <v>763441.674921718</v>
      </c>
      <c r="AD194" s="6" t="n">
        <f aca="false">AC194*(1+X194)</f>
        <v>827829.299300303</v>
      </c>
      <c r="AE194" s="6" t="n">
        <f aca="false">AD194*(1+Y194)</f>
        <v>889699.336688754</v>
      </c>
      <c r="AF194" s="6" t="n">
        <f aca="false">Z194</f>
        <v>332398.017875889</v>
      </c>
      <c r="AG194" s="6" t="n">
        <f aca="false">MAX(AF194,AA194)</f>
        <v>607391.24872153</v>
      </c>
      <c r="AH194" s="6" t="n">
        <f aca="false">MAX(AG194,AB194)</f>
        <v>678172.563282853</v>
      </c>
      <c r="AI194" s="6" t="n">
        <f aca="false">MAX(AH194,AC194)</f>
        <v>763441.674921718</v>
      </c>
      <c r="AJ194" s="6" t="n">
        <f aca="false">MAX(AI194,AD194)</f>
        <v>827829.299300303</v>
      </c>
      <c r="AK194" s="6" t="n">
        <f aca="false">MAX(AJ194,AE194)</f>
        <v>889699.336688754</v>
      </c>
      <c r="AL194" s="8" t="n">
        <f aca="false">MIN(Z194/AF194-1,AA194/AG194-1,AB194/AH194-1,AC194/AI194-1,AD194/AJ194-1,AE194/AK194-1)</f>
        <v>0</v>
      </c>
      <c r="AM194" s="6" t="n">
        <f aca="false">AE194-Assumptions!$B$35</f>
        <v>448435.340026251</v>
      </c>
    </row>
    <row r="195" customFormat="false" ht="15" hidden="false" customHeight="false" outlineLevel="0" collapsed="false">
      <c r="A195" s="0" t="n">
        <f aca="false">ROW()-1</f>
        <v>194</v>
      </c>
      <c r="B195" s="0" t="str">
        <f aca="true">IF(RAND()&lt;Assumptions!$B$11,"Bull","Bear")</f>
        <v>Bull</v>
      </c>
      <c r="C195" s="0" t="str">
        <f aca="true">IF(B195="Bull",IF(RAND()&lt;Assumptions!$B$7,"Bull","Bear"),IF(RAND()&lt;Assumptions!$B$10,"Bear","Bull"))</f>
        <v>Bear</v>
      </c>
      <c r="D195" s="0" t="str">
        <f aca="true">IF(C195="Bull",IF(RAND()&lt;Assumptions!$B$7,"Bull","Bear"),IF(RAND()&lt;Assumptions!$B$10,"Bear","Bull"))</f>
        <v>Bull</v>
      </c>
      <c r="E195" s="0" t="str">
        <f aca="true">IF(D195="Bull",IF(RAND()&lt;Assumptions!$B$7,"Bull","Bear"),IF(RAND()&lt;Assumptions!$B$10,"Bear","Bull"))</f>
        <v>Bull</v>
      </c>
      <c r="F195" s="0" t="str">
        <f aca="true">IF(E195="Bull",IF(RAND()&lt;Assumptions!$B$7,"Bull","Bear"),IF(RAND()&lt;Assumptions!$B$10,"Bear","Bull"))</f>
        <v>Bull</v>
      </c>
      <c r="G195" s="0" t="str">
        <f aca="true">IF(F195="Bull",IF(RAND()&lt;Assumptions!$B$7,"Bull","Bear"),IF(RAND()&lt;Assumptions!$B$10,"Bear","Bull"))</f>
        <v>Bull</v>
      </c>
      <c r="H195" s="8" t="n">
        <f aca="true">IF(B195="Bull",NORMINV(RAND(),Assumptions!$B$5,Assumptions!$B$6),NORMINV(RAND(),Assumptions!$B$8,Assumptions!$B$9))</f>
        <v>0.0131941787623808</v>
      </c>
      <c r="I195" s="8" t="n">
        <f aca="true">IF(C195="Bull",NORMINV(RAND(),Assumptions!$B$5,Assumptions!$B$6),NORMINV(RAND(),Assumptions!$B$8,Assumptions!$B$9))</f>
        <v>-0.0520435156922901</v>
      </c>
      <c r="J195" s="8" t="n">
        <f aca="true">IF(D195="Bull",NORMINV(RAND(),Assumptions!$B$5,Assumptions!$B$6),NORMINV(RAND(),Assumptions!$B$8,Assumptions!$B$9))</f>
        <v>0.25838378254134</v>
      </c>
      <c r="K195" s="8" t="n">
        <f aca="true">IF(E195="Bull",NORMINV(RAND(),Assumptions!$B$5,Assumptions!$B$6),NORMINV(RAND(),Assumptions!$B$8,Assumptions!$B$9))</f>
        <v>0.129283221113422</v>
      </c>
      <c r="L195" s="8" t="n">
        <f aca="true">IF(F195="Bull",NORMINV(RAND(),Assumptions!$B$5,Assumptions!$B$6),NORMINV(RAND(),Assumptions!$B$8,Assumptions!$B$9))</f>
        <v>0.233805082933618</v>
      </c>
      <c r="M195" s="8" t="n">
        <f aca="true">IF(G195="Bull",NORMINV(RAND(),Assumptions!$B$5,Assumptions!$B$6),NORMINV(RAND(),Assumptions!$B$8,Assumptions!$B$9))</f>
        <v>0.150198459836178</v>
      </c>
      <c r="N195" s="8" t="n">
        <f aca="true">NORMINV(RAND(),Assumptions!$B$14,Assumptions!$B$15)</f>
        <v>0.0561855168455227</v>
      </c>
      <c r="O195" s="8" t="n">
        <f aca="true">NORMINV(RAND(),Assumptions!$B$14,Assumptions!$B$15)</f>
        <v>-0.0213994131579773</v>
      </c>
      <c r="P195" s="8" t="n">
        <f aca="true">NORMINV(RAND(),Assumptions!$B$14,Assumptions!$B$15)</f>
        <v>0.0610392881506167</v>
      </c>
      <c r="Q195" s="8" t="n">
        <f aca="true">NORMINV(RAND(),Assumptions!$B$14,Assumptions!$B$15)</f>
        <v>0.0863026793857226</v>
      </c>
      <c r="R195" s="8" t="n">
        <f aca="true">NORMINV(RAND(),Assumptions!$B$14,Assumptions!$B$15)</f>
        <v>0.0224000540287503</v>
      </c>
      <c r="S195" s="8" t="n">
        <f aca="true">NORMINV(RAND(),Assumptions!$B$14,Assumptions!$B$15)</f>
        <v>0.0683729617344624</v>
      </c>
      <c r="T195" s="8" t="n">
        <f aca="false">Assumptions!$B$19*H195+(1-Assumptions!$B$19)*N195</f>
        <v>0.0131941787623808</v>
      </c>
      <c r="U195" s="8" t="n">
        <f aca="false">Assumptions!$B$20*I195+(1-Assumptions!$B$20)*O195</f>
        <v>-0.0520435156922901</v>
      </c>
      <c r="V195" s="8" t="n">
        <f aca="false">Assumptions!$B$21*J195+(1-Assumptions!$B$21)*P195</f>
        <v>0.25838378254134</v>
      </c>
      <c r="W195" s="8" t="n">
        <f aca="false">Assumptions!$B$22*K195+(1-Assumptions!$B$22)*Q195</f>
        <v>0.129283221113422</v>
      </c>
      <c r="X195" s="8" t="n">
        <f aca="false">Assumptions!$B$23*L195+(1-Assumptions!$B$23)*R195</f>
        <v>0.191524077152644</v>
      </c>
      <c r="Y195" s="8" t="n">
        <f aca="false">Assumptions!$B$24*M195+(1-Assumptions!$B$24)*S195</f>
        <v>0.117468260595492</v>
      </c>
      <c r="Z195" s="6" t="n">
        <f aca="false">Assumptions!$B$27*(1+T195)</f>
        <v>303958.253628714</v>
      </c>
      <c r="AA195" s="6" t="n">
        <f aca="false">(Z195+Assumptions!$B$28)*(1+U195)</f>
        <v>430332.670132344</v>
      </c>
      <c r="AB195" s="6" t="n">
        <f aca="false">AA195*(1+V195)</f>
        <v>541523.653192253</v>
      </c>
      <c r="AC195" s="6" t="n">
        <f aca="false">AB195*(1+W195)</f>
        <v>611533.575386055</v>
      </c>
      <c r="AD195" s="6" t="n">
        <f aca="false">AC195*(1+X195)</f>
        <v>728656.979059727</v>
      </c>
      <c r="AE195" s="6" t="n">
        <f aca="false">AD195*(1+Y195)</f>
        <v>814251.046960639</v>
      </c>
      <c r="AF195" s="6" t="n">
        <f aca="false">Z195</f>
        <v>303958.253628714</v>
      </c>
      <c r="AG195" s="6" t="n">
        <f aca="false">MAX(AF195,AA195)</f>
        <v>430332.670132344</v>
      </c>
      <c r="AH195" s="6" t="n">
        <f aca="false">MAX(AG195,AB195)</f>
        <v>541523.653192253</v>
      </c>
      <c r="AI195" s="6" t="n">
        <f aca="false">MAX(AH195,AC195)</f>
        <v>611533.575386055</v>
      </c>
      <c r="AJ195" s="6" t="n">
        <f aca="false">MAX(AI195,AD195)</f>
        <v>728656.979059727</v>
      </c>
      <c r="AK195" s="6" t="n">
        <f aca="false">MAX(AJ195,AE195)</f>
        <v>814251.046960639</v>
      </c>
      <c r="AL195" s="8" t="n">
        <f aca="false">MIN(Z195/AF195-1,AA195/AG195-1,AB195/AH195-1,AC195/AI195-1,AD195/AJ195-1,AE195/AK195-1)</f>
        <v>0</v>
      </c>
      <c r="AM195" s="6" t="n">
        <f aca="false">AE195-Assumptions!$B$35</f>
        <v>372987.050298135</v>
      </c>
    </row>
    <row r="196" customFormat="false" ht="15" hidden="false" customHeight="false" outlineLevel="0" collapsed="false">
      <c r="A196" s="0" t="n">
        <f aca="false">ROW()-1</f>
        <v>195</v>
      </c>
      <c r="B196" s="0" t="str">
        <f aca="true">IF(RAND()&lt;Assumptions!$B$11,"Bull","Bear")</f>
        <v>Bull</v>
      </c>
      <c r="C196" s="0" t="str">
        <f aca="true">IF(B196="Bull",IF(RAND()&lt;Assumptions!$B$7,"Bull","Bear"),IF(RAND()&lt;Assumptions!$B$10,"Bear","Bull"))</f>
        <v>Bear</v>
      </c>
      <c r="D196" s="0" t="str">
        <f aca="true">IF(C196="Bull",IF(RAND()&lt;Assumptions!$B$7,"Bull","Bear"),IF(RAND()&lt;Assumptions!$B$10,"Bear","Bull"))</f>
        <v>Bear</v>
      </c>
      <c r="E196" s="0" t="str">
        <f aca="true">IF(D196="Bull",IF(RAND()&lt;Assumptions!$B$7,"Bull","Bear"),IF(RAND()&lt;Assumptions!$B$10,"Bear","Bull"))</f>
        <v>Bear</v>
      </c>
      <c r="F196" s="0" t="str">
        <f aca="true">IF(E196="Bull",IF(RAND()&lt;Assumptions!$B$7,"Bull","Bear"),IF(RAND()&lt;Assumptions!$B$10,"Bear","Bull"))</f>
        <v>Bear</v>
      </c>
      <c r="G196" s="0" t="str">
        <f aca="true">IF(F196="Bull",IF(RAND()&lt;Assumptions!$B$7,"Bull","Bear"),IF(RAND()&lt;Assumptions!$B$10,"Bear","Bull"))</f>
        <v>Bear</v>
      </c>
      <c r="H196" s="8" t="n">
        <f aca="true">IF(B196="Bull",NORMINV(RAND(),Assumptions!$B$5,Assumptions!$B$6),NORMINV(RAND(),Assumptions!$B$8,Assumptions!$B$9))</f>
        <v>0.0263066221683123</v>
      </c>
      <c r="I196" s="8" t="n">
        <f aca="true">IF(C196="Bull",NORMINV(RAND(),Assumptions!$B$5,Assumptions!$B$6),NORMINV(RAND(),Assumptions!$B$8,Assumptions!$B$9))</f>
        <v>-0.539726758126416</v>
      </c>
      <c r="J196" s="8" t="n">
        <f aca="true">IF(D196="Bull",NORMINV(RAND(),Assumptions!$B$5,Assumptions!$B$6),NORMINV(RAND(),Assumptions!$B$8,Assumptions!$B$9))</f>
        <v>-0.191642031833126</v>
      </c>
      <c r="K196" s="8" t="n">
        <f aca="true">IF(E196="Bull",NORMINV(RAND(),Assumptions!$B$5,Assumptions!$B$6),NORMINV(RAND(),Assumptions!$B$8,Assumptions!$B$9))</f>
        <v>0.246016075965039</v>
      </c>
      <c r="L196" s="8" t="n">
        <f aca="true">IF(F196="Bull",NORMINV(RAND(),Assumptions!$B$5,Assumptions!$B$6),NORMINV(RAND(),Assumptions!$B$8,Assumptions!$B$9))</f>
        <v>0.0613113467380054</v>
      </c>
      <c r="M196" s="8" t="n">
        <f aca="true">IF(G196="Bull",NORMINV(RAND(),Assumptions!$B$5,Assumptions!$B$6),NORMINV(RAND(),Assumptions!$B$8,Assumptions!$B$9))</f>
        <v>-0.519815321992158</v>
      </c>
      <c r="N196" s="8" t="n">
        <f aca="true">NORMINV(RAND(),Assumptions!$B$14,Assumptions!$B$15)</f>
        <v>0.00235097009269831</v>
      </c>
      <c r="O196" s="8" t="n">
        <f aca="true">NORMINV(RAND(),Assumptions!$B$14,Assumptions!$B$15)</f>
        <v>0.0336541125038131</v>
      </c>
      <c r="P196" s="8" t="n">
        <f aca="true">NORMINV(RAND(),Assumptions!$B$14,Assumptions!$B$15)</f>
        <v>0.0508868081772865</v>
      </c>
      <c r="Q196" s="8" t="n">
        <f aca="true">NORMINV(RAND(),Assumptions!$B$14,Assumptions!$B$15)</f>
        <v>0.0849337156104796</v>
      </c>
      <c r="R196" s="8" t="n">
        <f aca="true">NORMINV(RAND(),Assumptions!$B$14,Assumptions!$B$15)</f>
        <v>0.0429721344424891</v>
      </c>
      <c r="S196" s="8" t="n">
        <f aca="true">NORMINV(RAND(),Assumptions!$B$14,Assumptions!$B$15)</f>
        <v>0.00320750628084138</v>
      </c>
      <c r="T196" s="8" t="n">
        <f aca="false">Assumptions!$B$19*H196+(1-Assumptions!$B$19)*N196</f>
        <v>0.0263066221683123</v>
      </c>
      <c r="U196" s="8" t="n">
        <f aca="false">Assumptions!$B$20*I196+(1-Assumptions!$B$20)*O196</f>
        <v>-0.539726758126416</v>
      </c>
      <c r="V196" s="8" t="n">
        <f aca="false">Assumptions!$B$21*J196+(1-Assumptions!$B$21)*P196</f>
        <v>-0.191642031833126</v>
      </c>
      <c r="W196" s="8" t="n">
        <f aca="false">Assumptions!$B$22*K196+(1-Assumptions!$B$22)*Q196</f>
        <v>0.246016075965039</v>
      </c>
      <c r="X196" s="8" t="n">
        <f aca="false">Assumptions!$B$23*L196+(1-Assumptions!$B$23)*R196</f>
        <v>0.0576435042789022</v>
      </c>
      <c r="Y196" s="8" t="n">
        <f aca="false">Assumptions!$B$24*M196+(1-Assumptions!$B$24)*S196</f>
        <v>-0.310606190682958</v>
      </c>
      <c r="Z196" s="6" t="n">
        <f aca="false">Assumptions!$B$27*(1+T196)</f>
        <v>307891.986650494</v>
      </c>
      <c r="AA196" s="6" t="n">
        <f aca="false">(Z196+Assumptions!$B$28)*(1+U196)</f>
        <v>210755.429123559</v>
      </c>
      <c r="AB196" s="6" t="n">
        <f aca="false">AA196*(1+V196)</f>
        <v>170365.830466458</v>
      </c>
      <c r="AC196" s="6" t="n">
        <f aca="false">AB196*(1+W196)</f>
        <v>212278.563556341</v>
      </c>
      <c r="AD196" s="6" t="n">
        <f aca="false">AC196*(1+X196)</f>
        <v>224515.04384302</v>
      </c>
      <c r="AE196" s="6" t="n">
        <f aca="false">AD196*(1+Y196)</f>
        <v>154779.281323922</v>
      </c>
      <c r="AF196" s="6" t="n">
        <f aca="false">Z196</f>
        <v>307891.986650494</v>
      </c>
      <c r="AG196" s="6" t="n">
        <f aca="false">MAX(AF196,AA196)</f>
        <v>307891.986650494</v>
      </c>
      <c r="AH196" s="6" t="n">
        <f aca="false">MAX(AG196,AB196)</f>
        <v>307891.986650494</v>
      </c>
      <c r="AI196" s="6" t="n">
        <f aca="false">MAX(AH196,AC196)</f>
        <v>307891.986650494</v>
      </c>
      <c r="AJ196" s="6" t="n">
        <f aca="false">MAX(AI196,AD196)</f>
        <v>307891.986650494</v>
      </c>
      <c r="AK196" s="6" t="n">
        <f aca="false">MAX(AJ196,AE196)</f>
        <v>307891.986650494</v>
      </c>
      <c r="AL196" s="8" t="n">
        <f aca="false">MIN(Z196/AF196-1,AA196/AG196-1,AB196/AH196-1,AC196/AI196-1,AD196/AJ196-1,AE196/AK196-1)</f>
        <v>-0.497293570359721</v>
      </c>
      <c r="AM196" s="6" t="n">
        <f aca="false">AE196-Assumptions!$B$35</f>
        <v>-286484.715338582</v>
      </c>
    </row>
    <row r="197" customFormat="false" ht="15" hidden="false" customHeight="false" outlineLevel="0" collapsed="false">
      <c r="A197" s="0" t="n">
        <f aca="false">ROW()-1</f>
        <v>196</v>
      </c>
      <c r="B197" s="0" t="str">
        <f aca="true">IF(RAND()&lt;Assumptions!$B$11,"Bull","Bear")</f>
        <v>Bull</v>
      </c>
      <c r="C197" s="0" t="str">
        <f aca="true">IF(B197="Bull",IF(RAND()&lt;Assumptions!$B$7,"Bull","Bear"),IF(RAND()&lt;Assumptions!$B$10,"Bear","Bull"))</f>
        <v>Bull</v>
      </c>
      <c r="D197" s="0" t="str">
        <f aca="true">IF(C197="Bull",IF(RAND()&lt;Assumptions!$B$7,"Bull","Bear"),IF(RAND()&lt;Assumptions!$B$10,"Bear","Bull"))</f>
        <v>Bull</v>
      </c>
      <c r="E197" s="0" t="str">
        <f aca="true">IF(D197="Bull",IF(RAND()&lt;Assumptions!$B$7,"Bull","Bear"),IF(RAND()&lt;Assumptions!$B$10,"Bear","Bull"))</f>
        <v>Bull</v>
      </c>
      <c r="F197" s="0" t="str">
        <f aca="true">IF(E197="Bull",IF(RAND()&lt;Assumptions!$B$7,"Bull","Bear"),IF(RAND()&lt;Assumptions!$B$10,"Bear","Bull"))</f>
        <v>Bull</v>
      </c>
      <c r="G197" s="0" t="str">
        <f aca="true">IF(F197="Bull",IF(RAND()&lt;Assumptions!$B$7,"Bull","Bear"),IF(RAND()&lt;Assumptions!$B$10,"Bear","Bull"))</f>
        <v>Bull</v>
      </c>
      <c r="H197" s="8" t="n">
        <f aca="true">IF(B197="Bull",NORMINV(RAND(),Assumptions!$B$5,Assumptions!$B$6),NORMINV(RAND(),Assumptions!$B$8,Assumptions!$B$9))</f>
        <v>0.166382207110376</v>
      </c>
      <c r="I197" s="8" t="n">
        <f aca="true">IF(C197="Bull",NORMINV(RAND(),Assumptions!$B$5,Assumptions!$B$6),NORMINV(RAND(),Assumptions!$B$8,Assumptions!$B$9))</f>
        <v>0.119971940324405</v>
      </c>
      <c r="J197" s="8" t="n">
        <f aca="true">IF(D197="Bull",NORMINV(RAND(),Assumptions!$B$5,Assumptions!$B$6),NORMINV(RAND(),Assumptions!$B$8,Assumptions!$B$9))</f>
        <v>0.0851452215433646</v>
      </c>
      <c r="K197" s="8" t="n">
        <f aca="true">IF(E197="Bull",NORMINV(RAND(),Assumptions!$B$5,Assumptions!$B$6),NORMINV(RAND(),Assumptions!$B$8,Assumptions!$B$9))</f>
        <v>0.0891879938201805</v>
      </c>
      <c r="L197" s="8" t="n">
        <f aca="true">IF(F197="Bull",NORMINV(RAND(),Assumptions!$B$5,Assumptions!$B$6),NORMINV(RAND(),Assumptions!$B$8,Assumptions!$B$9))</f>
        <v>0.248822060553907</v>
      </c>
      <c r="M197" s="8" t="n">
        <f aca="true">IF(G197="Bull",NORMINV(RAND(),Assumptions!$B$5,Assumptions!$B$6),NORMINV(RAND(),Assumptions!$B$8,Assumptions!$B$9))</f>
        <v>0.1308450644262</v>
      </c>
      <c r="N197" s="8" t="n">
        <f aca="true">NORMINV(RAND(),Assumptions!$B$14,Assumptions!$B$15)</f>
        <v>0.0663875995151495</v>
      </c>
      <c r="O197" s="8" t="n">
        <f aca="true">NORMINV(RAND(),Assumptions!$B$14,Assumptions!$B$15)</f>
        <v>0.0142491965979321</v>
      </c>
      <c r="P197" s="8" t="n">
        <f aca="true">NORMINV(RAND(),Assumptions!$B$14,Assumptions!$B$15)</f>
        <v>0.0996448076597024</v>
      </c>
      <c r="Q197" s="8" t="n">
        <f aca="true">NORMINV(RAND(),Assumptions!$B$14,Assumptions!$B$15)</f>
        <v>0.0982227493164306</v>
      </c>
      <c r="R197" s="8" t="n">
        <f aca="true">NORMINV(RAND(),Assumptions!$B$14,Assumptions!$B$15)</f>
        <v>0.0787485551431389</v>
      </c>
      <c r="S197" s="8" t="n">
        <f aca="true">NORMINV(RAND(),Assumptions!$B$14,Assumptions!$B$15)</f>
        <v>0.049522551028804</v>
      </c>
      <c r="T197" s="8" t="n">
        <f aca="false">Assumptions!$B$19*H197+(1-Assumptions!$B$19)*N197</f>
        <v>0.166382207110376</v>
      </c>
      <c r="U197" s="8" t="n">
        <f aca="false">Assumptions!$B$20*I197+(1-Assumptions!$B$20)*O197</f>
        <v>0.119971940324405</v>
      </c>
      <c r="V197" s="8" t="n">
        <f aca="false">Assumptions!$B$21*J197+(1-Assumptions!$B$21)*P197</f>
        <v>0.0851452215433646</v>
      </c>
      <c r="W197" s="8" t="n">
        <f aca="false">Assumptions!$B$22*K197+(1-Assumptions!$B$22)*Q197</f>
        <v>0.0891879938201805</v>
      </c>
      <c r="X197" s="8" t="n">
        <f aca="false">Assumptions!$B$23*L197+(1-Assumptions!$B$23)*R197</f>
        <v>0.214807359471754</v>
      </c>
      <c r="Y197" s="8" t="n">
        <f aca="false">Assumptions!$B$24*M197+(1-Assumptions!$B$24)*S197</f>
        <v>0.0983160590672419</v>
      </c>
      <c r="Z197" s="6" t="n">
        <f aca="false">Assumptions!$B$27*(1+T197)</f>
        <v>349914.662133113</v>
      </c>
      <c r="AA197" s="6" t="n">
        <f aca="false">(Z197+Assumptions!$B$28)*(1+U197)</f>
        <v>559890.394145842</v>
      </c>
      <c r="AB197" s="6" t="n">
        <f aca="false">AA197*(1+V197)</f>
        <v>607562.385795391</v>
      </c>
      <c r="AC197" s="6" t="n">
        <f aca="false">AB197*(1+W197)</f>
        <v>661749.656105085</v>
      </c>
      <c r="AD197" s="6" t="n">
        <f aca="false">AC197*(1+X197)</f>
        <v>803898.352364359</v>
      </c>
      <c r="AE197" s="6" t="n">
        <f aca="false">AD197*(1+Y197)</f>
        <v>882934.470259472</v>
      </c>
      <c r="AF197" s="6" t="n">
        <f aca="false">Z197</f>
        <v>349914.662133113</v>
      </c>
      <c r="AG197" s="6" t="n">
        <f aca="false">MAX(AF197,AA197)</f>
        <v>559890.394145842</v>
      </c>
      <c r="AH197" s="6" t="n">
        <f aca="false">MAX(AG197,AB197)</f>
        <v>607562.385795391</v>
      </c>
      <c r="AI197" s="6" t="n">
        <f aca="false">MAX(AH197,AC197)</f>
        <v>661749.656105085</v>
      </c>
      <c r="AJ197" s="6" t="n">
        <f aca="false">MAX(AI197,AD197)</f>
        <v>803898.352364359</v>
      </c>
      <c r="AK197" s="6" t="n">
        <f aca="false">MAX(AJ197,AE197)</f>
        <v>882934.470259472</v>
      </c>
      <c r="AL197" s="8" t="n">
        <f aca="false">MIN(Z197/AF197-1,AA197/AG197-1,AB197/AH197-1,AC197/AI197-1,AD197/AJ197-1,AE197/AK197-1)</f>
        <v>0</v>
      </c>
      <c r="AM197" s="6" t="n">
        <f aca="false">AE197-Assumptions!$B$35</f>
        <v>441670.473596968</v>
      </c>
    </row>
    <row r="198" customFormat="false" ht="15" hidden="false" customHeight="false" outlineLevel="0" collapsed="false">
      <c r="A198" s="0" t="n">
        <f aca="false">ROW()-1</f>
        <v>197</v>
      </c>
      <c r="B198" s="0" t="str">
        <f aca="true">IF(RAND()&lt;Assumptions!$B$11,"Bull","Bear")</f>
        <v>Bull</v>
      </c>
      <c r="C198" s="0" t="str">
        <f aca="true">IF(B198="Bull",IF(RAND()&lt;Assumptions!$B$7,"Bull","Bear"),IF(RAND()&lt;Assumptions!$B$10,"Bear","Bull"))</f>
        <v>Bull</v>
      </c>
      <c r="D198" s="0" t="str">
        <f aca="true">IF(C198="Bull",IF(RAND()&lt;Assumptions!$B$7,"Bull","Bear"),IF(RAND()&lt;Assumptions!$B$10,"Bear","Bull"))</f>
        <v>Bull</v>
      </c>
      <c r="E198" s="0" t="str">
        <f aca="true">IF(D198="Bull",IF(RAND()&lt;Assumptions!$B$7,"Bull","Bear"),IF(RAND()&lt;Assumptions!$B$10,"Bear","Bull"))</f>
        <v>Bear</v>
      </c>
      <c r="F198" s="0" t="str">
        <f aca="true">IF(E198="Bull",IF(RAND()&lt;Assumptions!$B$7,"Bull","Bear"),IF(RAND()&lt;Assumptions!$B$10,"Bear","Bull"))</f>
        <v>Bear</v>
      </c>
      <c r="G198" s="0" t="str">
        <f aca="true">IF(F198="Bull",IF(RAND()&lt;Assumptions!$B$7,"Bull","Bear"),IF(RAND()&lt;Assumptions!$B$10,"Bear","Bull"))</f>
        <v>Bull</v>
      </c>
      <c r="H198" s="8" t="n">
        <f aca="true">IF(B198="Bull",NORMINV(RAND(),Assumptions!$B$5,Assumptions!$B$6),NORMINV(RAND(),Assumptions!$B$8,Assumptions!$B$9))</f>
        <v>0.208192855364752</v>
      </c>
      <c r="I198" s="8" t="n">
        <f aca="true">IF(C198="Bull",NORMINV(RAND(),Assumptions!$B$5,Assumptions!$B$6),NORMINV(RAND(),Assumptions!$B$8,Assumptions!$B$9))</f>
        <v>0.009729815667295</v>
      </c>
      <c r="J198" s="8" t="n">
        <f aca="true">IF(D198="Bull",NORMINV(RAND(),Assumptions!$B$5,Assumptions!$B$6),NORMINV(RAND(),Assumptions!$B$8,Assumptions!$B$9))</f>
        <v>0.262676258563062</v>
      </c>
      <c r="K198" s="8" t="n">
        <f aca="true">IF(E198="Bull",NORMINV(RAND(),Assumptions!$B$5,Assumptions!$B$6),NORMINV(RAND(),Assumptions!$B$8,Assumptions!$B$9))</f>
        <v>0.00612364859271494</v>
      </c>
      <c r="L198" s="8" t="n">
        <f aca="true">IF(F198="Bull",NORMINV(RAND(),Assumptions!$B$5,Assumptions!$B$6),NORMINV(RAND(),Assumptions!$B$8,Assumptions!$B$9))</f>
        <v>0.102547076728329</v>
      </c>
      <c r="M198" s="8" t="n">
        <f aca="true">IF(G198="Bull",NORMINV(RAND(),Assumptions!$B$5,Assumptions!$B$6),NORMINV(RAND(),Assumptions!$B$8,Assumptions!$B$9))</f>
        <v>0.209524248872527</v>
      </c>
      <c r="N198" s="8" t="n">
        <f aca="true">NORMINV(RAND(),Assumptions!$B$14,Assumptions!$B$15)</f>
        <v>0.0693575123960792</v>
      </c>
      <c r="O198" s="8" t="n">
        <f aca="true">NORMINV(RAND(),Assumptions!$B$14,Assumptions!$B$15)</f>
        <v>0.0293383929464236</v>
      </c>
      <c r="P198" s="8" t="n">
        <f aca="true">NORMINV(RAND(),Assumptions!$B$14,Assumptions!$B$15)</f>
        <v>0.0145486174430433</v>
      </c>
      <c r="Q198" s="8" t="n">
        <f aca="true">NORMINV(RAND(),Assumptions!$B$14,Assumptions!$B$15)</f>
        <v>0.0899057410725729</v>
      </c>
      <c r="R198" s="8" t="n">
        <f aca="true">NORMINV(RAND(),Assumptions!$B$14,Assumptions!$B$15)</f>
        <v>0.0347924482874993</v>
      </c>
      <c r="S198" s="8" t="n">
        <f aca="true">NORMINV(RAND(),Assumptions!$B$14,Assumptions!$B$15)</f>
        <v>0.0326927770631337</v>
      </c>
      <c r="T198" s="8" t="n">
        <f aca="false">Assumptions!$B$19*H198+(1-Assumptions!$B$19)*N198</f>
        <v>0.208192855364752</v>
      </c>
      <c r="U198" s="8" t="n">
        <f aca="false">Assumptions!$B$20*I198+(1-Assumptions!$B$20)*O198</f>
        <v>0.009729815667295</v>
      </c>
      <c r="V198" s="8" t="n">
        <f aca="false">Assumptions!$B$21*J198+(1-Assumptions!$B$21)*P198</f>
        <v>0.262676258563062</v>
      </c>
      <c r="W198" s="8" t="n">
        <f aca="false">Assumptions!$B$22*K198+(1-Assumptions!$B$22)*Q198</f>
        <v>0.00612364859271494</v>
      </c>
      <c r="X198" s="8" t="n">
        <f aca="false">Assumptions!$B$23*L198+(1-Assumptions!$B$23)*R198</f>
        <v>0.0889961510401628</v>
      </c>
      <c r="Y198" s="8" t="n">
        <f aca="false">Assumptions!$B$24*M198+(1-Assumptions!$B$24)*S198</f>
        <v>0.13879166014877</v>
      </c>
      <c r="Z198" s="6" t="n">
        <f aca="false">Assumptions!$B$27*(1+T198)</f>
        <v>362457.856609425</v>
      </c>
      <c r="AA198" s="6" t="n">
        <f aca="false">(Z198+Assumptions!$B$28)*(1+U198)</f>
        <v>517443.977091492</v>
      </c>
      <c r="AB198" s="6" t="n">
        <f aca="false">AA198*(1+V198)</f>
        <v>653364.225009876</v>
      </c>
      <c r="AC198" s="6" t="n">
        <f aca="false">AB198*(1+W198)</f>
        <v>657365.197926888</v>
      </c>
      <c r="AD198" s="6" t="n">
        <f aca="false">AC198*(1+X198)</f>
        <v>715868.170370136</v>
      </c>
      <c r="AE198" s="6" t="n">
        <f aca="false">AD198*(1+Y198)</f>
        <v>815224.702183469</v>
      </c>
      <c r="AF198" s="6" t="n">
        <f aca="false">Z198</f>
        <v>362457.856609425</v>
      </c>
      <c r="AG198" s="6" t="n">
        <f aca="false">MAX(AF198,AA198)</f>
        <v>517443.977091492</v>
      </c>
      <c r="AH198" s="6" t="n">
        <f aca="false">MAX(AG198,AB198)</f>
        <v>653364.225009876</v>
      </c>
      <c r="AI198" s="6" t="n">
        <f aca="false">MAX(AH198,AC198)</f>
        <v>657365.197926888</v>
      </c>
      <c r="AJ198" s="6" t="n">
        <f aca="false">MAX(AI198,AD198)</f>
        <v>715868.170370136</v>
      </c>
      <c r="AK198" s="6" t="n">
        <f aca="false">MAX(AJ198,AE198)</f>
        <v>815224.702183469</v>
      </c>
      <c r="AL198" s="8" t="n">
        <f aca="false">MIN(Z198/AF198-1,AA198/AG198-1,AB198/AH198-1,AC198/AI198-1,AD198/AJ198-1,AE198/AK198-1)</f>
        <v>0</v>
      </c>
      <c r="AM198" s="6" t="n">
        <f aca="false">AE198-Assumptions!$B$35</f>
        <v>373960.705520966</v>
      </c>
    </row>
    <row r="199" customFormat="false" ht="15" hidden="false" customHeight="false" outlineLevel="0" collapsed="false">
      <c r="A199" s="0" t="n">
        <f aca="false">ROW()-1</f>
        <v>198</v>
      </c>
      <c r="B199" s="0" t="str">
        <f aca="true">IF(RAND()&lt;Assumptions!$B$11,"Bull","Bear")</f>
        <v>Bull</v>
      </c>
      <c r="C199" s="0" t="str">
        <f aca="true">IF(B199="Bull",IF(RAND()&lt;Assumptions!$B$7,"Bull","Bear"),IF(RAND()&lt;Assumptions!$B$10,"Bear","Bull"))</f>
        <v>Bull</v>
      </c>
      <c r="D199" s="0" t="str">
        <f aca="true">IF(C199="Bull",IF(RAND()&lt;Assumptions!$B$7,"Bull","Bear"),IF(RAND()&lt;Assumptions!$B$10,"Bear","Bull"))</f>
        <v>Bull</v>
      </c>
      <c r="E199" s="0" t="str">
        <f aca="true">IF(D199="Bull",IF(RAND()&lt;Assumptions!$B$7,"Bull","Bear"),IF(RAND()&lt;Assumptions!$B$10,"Bear","Bull"))</f>
        <v>Bull</v>
      </c>
      <c r="F199" s="0" t="str">
        <f aca="true">IF(E199="Bull",IF(RAND()&lt;Assumptions!$B$7,"Bull","Bear"),IF(RAND()&lt;Assumptions!$B$10,"Bear","Bull"))</f>
        <v>Bull</v>
      </c>
      <c r="G199" s="0" t="str">
        <f aca="true">IF(F199="Bull",IF(RAND()&lt;Assumptions!$B$7,"Bull","Bear"),IF(RAND()&lt;Assumptions!$B$10,"Bear","Bull"))</f>
        <v>Bull</v>
      </c>
      <c r="H199" s="8" t="n">
        <f aca="true">IF(B199="Bull",NORMINV(RAND(),Assumptions!$B$5,Assumptions!$B$6),NORMINV(RAND(),Assumptions!$B$8,Assumptions!$B$9))</f>
        <v>0.33203144233311</v>
      </c>
      <c r="I199" s="8" t="n">
        <f aca="true">IF(C199="Bull",NORMINV(RAND(),Assumptions!$B$5,Assumptions!$B$6),NORMINV(RAND(),Assumptions!$B$8,Assumptions!$B$9))</f>
        <v>0.0177204684067629</v>
      </c>
      <c r="J199" s="8" t="n">
        <f aca="true">IF(D199="Bull",NORMINV(RAND(),Assumptions!$B$5,Assumptions!$B$6),NORMINV(RAND(),Assumptions!$B$8,Assumptions!$B$9))</f>
        <v>0.0850522484458245</v>
      </c>
      <c r="K199" s="8" t="n">
        <f aca="true">IF(E199="Bull",NORMINV(RAND(),Assumptions!$B$5,Assumptions!$B$6),NORMINV(RAND(),Assumptions!$B$8,Assumptions!$B$9))</f>
        <v>0.119580338232164</v>
      </c>
      <c r="L199" s="8" t="n">
        <f aca="true">IF(F199="Bull",NORMINV(RAND(),Assumptions!$B$5,Assumptions!$B$6),NORMINV(RAND(),Assumptions!$B$8,Assumptions!$B$9))</f>
        <v>0.249177753862581</v>
      </c>
      <c r="M199" s="8" t="n">
        <f aca="true">IF(G199="Bull",NORMINV(RAND(),Assumptions!$B$5,Assumptions!$B$6),NORMINV(RAND(),Assumptions!$B$8,Assumptions!$B$9))</f>
        <v>0.224801236411322</v>
      </c>
      <c r="N199" s="8" t="n">
        <f aca="true">NORMINV(RAND(),Assumptions!$B$14,Assumptions!$B$15)</f>
        <v>0.0375318587572877</v>
      </c>
      <c r="O199" s="8" t="n">
        <f aca="true">NORMINV(RAND(),Assumptions!$B$14,Assumptions!$B$15)</f>
        <v>0.00464287083487969</v>
      </c>
      <c r="P199" s="8" t="n">
        <f aca="true">NORMINV(RAND(),Assumptions!$B$14,Assumptions!$B$15)</f>
        <v>0.0405202633490551</v>
      </c>
      <c r="Q199" s="8" t="n">
        <f aca="true">NORMINV(RAND(),Assumptions!$B$14,Assumptions!$B$15)</f>
        <v>-0.0355248484895609</v>
      </c>
      <c r="R199" s="8" t="n">
        <f aca="true">NORMINV(RAND(),Assumptions!$B$14,Assumptions!$B$15)</f>
        <v>0.0696368874545116</v>
      </c>
      <c r="S199" s="8" t="n">
        <f aca="true">NORMINV(RAND(),Assumptions!$B$14,Assumptions!$B$15)</f>
        <v>0.0912762092475675</v>
      </c>
      <c r="T199" s="8" t="n">
        <f aca="false">Assumptions!$B$19*H199+(1-Assumptions!$B$19)*N199</f>
        <v>0.33203144233311</v>
      </c>
      <c r="U199" s="8" t="n">
        <f aca="false">Assumptions!$B$20*I199+(1-Assumptions!$B$20)*O199</f>
        <v>0.0177204684067629</v>
      </c>
      <c r="V199" s="8" t="n">
        <f aca="false">Assumptions!$B$21*J199+(1-Assumptions!$B$21)*P199</f>
        <v>0.0850522484458245</v>
      </c>
      <c r="W199" s="8" t="n">
        <f aca="false">Assumptions!$B$22*K199+(1-Assumptions!$B$22)*Q199</f>
        <v>0.119580338232164</v>
      </c>
      <c r="X199" s="8" t="n">
        <f aca="false">Assumptions!$B$23*L199+(1-Assumptions!$B$23)*R199</f>
        <v>0.213269580580967</v>
      </c>
      <c r="Y199" s="8" t="n">
        <f aca="false">Assumptions!$B$24*M199+(1-Assumptions!$B$24)*S199</f>
        <v>0.17139122554582</v>
      </c>
      <c r="Z199" s="6" t="n">
        <f aca="false">Assumptions!$B$27*(1+T199)</f>
        <v>399609.432699933</v>
      </c>
      <c r="AA199" s="6" t="n">
        <f aca="false">(Z199+Assumptions!$B$28)*(1+U199)</f>
        <v>559348.769288151</v>
      </c>
      <c r="AB199" s="6" t="n">
        <f aca="false">AA199*(1+V199)</f>
        <v>606922.639781513</v>
      </c>
      <c r="AC199" s="6" t="n">
        <f aca="false">AB199*(1+W199)</f>
        <v>679498.654327344</v>
      </c>
      <c r="AD199" s="6" t="n">
        <f aca="false">AC199*(1+X199)</f>
        <v>824415.047341069</v>
      </c>
      <c r="AE199" s="6" t="n">
        <f aca="false">AD199*(1+Y199)</f>
        <v>965712.55266327</v>
      </c>
      <c r="AF199" s="6" t="n">
        <f aca="false">Z199</f>
        <v>399609.432699933</v>
      </c>
      <c r="AG199" s="6" t="n">
        <f aca="false">MAX(AF199,AA199)</f>
        <v>559348.769288151</v>
      </c>
      <c r="AH199" s="6" t="n">
        <f aca="false">MAX(AG199,AB199)</f>
        <v>606922.639781513</v>
      </c>
      <c r="AI199" s="6" t="n">
        <f aca="false">MAX(AH199,AC199)</f>
        <v>679498.654327344</v>
      </c>
      <c r="AJ199" s="6" t="n">
        <f aca="false">MAX(AI199,AD199)</f>
        <v>824415.047341069</v>
      </c>
      <c r="AK199" s="6" t="n">
        <f aca="false">MAX(AJ199,AE199)</f>
        <v>965712.55266327</v>
      </c>
      <c r="AL199" s="8" t="n">
        <f aca="false">MIN(Z199/AF199-1,AA199/AG199-1,AB199/AH199-1,AC199/AI199-1,AD199/AJ199-1,AE199/AK199-1)</f>
        <v>0</v>
      </c>
      <c r="AM199" s="6" t="n">
        <f aca="false">AE199-Assumptions!$B$35</f>
        <v>524448.556000766</v>
      </c>
    </row>
    <row r="200" customFormat="false" ht="15" hidden="false" customHeight="false" outlineLevel="0" collapsed="false">
      <c r="A200" s="0" t="n">
        <f aca="false">ROW()-1</f>
        <v>199</v>
      </c>
      <c r="B200" s="0" t="str">
        <f aca="true">IF(RAND()&lt;Assumptions!$B$11,"Bull","Bear")</f>
        <v>Bull</v>
      </c>
      <c r="C200" s="0" t="str">
        <f aca="true">IF(B200="Bull",IF(RAND()&lt;Assumptions!$B$7,"Bull","Bear"),IF(RAND()&lt;Assumptions!$B$10,"Bear","Bull"))</f>
        <v>Bull</v>
      </c>
      <c r="D200" s="0" t="str">
        <f aca="true">IF(C200="Bull",IF(RAND()&lt;Assumptions!$B$7,"Bull","Bear"),IF(RAND()&lt;Assumptions!$B$10,"Bear","Bull"))</f>
        <v>Bull</v>
      </c>
      <c r="E200" s="0" t="str">
        <f aca="true">IF(D200="Bull",IF(RAND()&lt;Assumptions!$B$7,"Bull","Bear"),IF(RAND()&lt;Assumptions!$B$10,"Bear","Bull"))</f>
        <v>Bull</v>
      </c>
      <c r="F200" s="0" t="str">
        <f aca="true">IF(E200="Bull",IF(RAND()&lt;Assumptions!$B$7,"Bull","Bear"),IF(RAND()&lt;Assumptions!$B$10,"Bear","Bull"))</f>
        <v>Bull</v>
      </c>
      <c r="G200" s="0" t="str">
        <f aca="true">IF(F200="Bull",IF(RAND()&lt;Assumptions!$B$7,"Bull","Bear"),IF(RAND()&lt;Assumptions!$B$10,"Bear","Bull"))</f>
        <v>Bull</v>
      </c>
      <c r="H200" s="8" t="n">
        <f aca="true">IF(B200="Bull",NORMINV(RAND(),Assumptions!$B$5,Assumptions!$B$6),NORMINV(RAND(),Assumptions!$B$8,Assumptions!$B$9))</f>
        <v>0.208119593316882</v>
      </c>
      <c r="I200" s="8" t="n">
        <f aca="true">IF(C200="Bull",NORMINV(RAND(),Assumptions!$B$5,Assumptions!$B$6),NORMINV(RAND(),Assumptions!$B$8,Assumptions!$B$9))</f>
        <v>0.104152498067044</v>
      </c>
      <c r="J200" s="8" t="n">
        <f aca="true">IF(D200="Bull",NORMINV(RAND(),Assumptions!$B$5,Assumptions!$B$6),NORMINV(RAND(),Assumptions!$B$8,Assumptions!$B$9))</f>
        <v>0.20550687109349</v>
      </c>
      <c r="K200" s="8" t="n">
        <f aca="true">IF(E200="Bull",NORMINV(RAND(),Assumptions!$B$5,Assumptions!$B$6),NORMINV(RAND(),Assumptions!$B$8,Assumptions!$B$9))</f>
        <v>0.0171954719961701</v>
      </c>
      <c r="L200" s="8" t="n">
        <f aca="true">IF(F200="Bull",NORMINV(RAND(),Assumptions!$B$5,Assumptions!$B$6),NORMINV(RAND(),Assumptions!$B$8,Assumptions!$B$9))</f>
        <v>0.149832110440929</v>
      </c>
      <c r="M200" s="8" t="n">
        <f aca="true">IF(G200="Bull",NORMINV(RAND(),Assumptions!$B$5,Assumptions!$B$6),NORMINV(RAND(),Assumptions!$B$8,Assumptions!$B$9))</f>
        <v>0.240594581953403</v>
      </c>
      <c r="N200" s="8" t="n">
        <f aca="true">NORMINV(RAND(),Assumptions!$B$14,Assumptions!$B$15)</f>
        <v>0.0208388496150056</v>
      </c>
      <c r="O200" s="8" t="n">
        <f aca="true">NORMINV(RAND(),Assumptions!$B$14,Assumptions!$B$15)</f>
        <v>0.0150601566391722</v>
      </c>
      <c r="P200" s="8" t="n">
        <f aca="true">NORMINV(RAND(),Assumptions!$B$14,Assumptions!$B$15)</f>
        <v>0.000341981263278411</v>
      </c>
      <c r="Q200" s="8" t="n">
        <f aca="true">NORMINV(RAND(),Assumptions!$B$14,Assumptions!$B$15)</f>
        <v>0.0808927868049206</v>
      </c>
      <c r="R200" s="8" t="n">
        <f aca="true">NORMINV(RAND(),Assumptions!$B$14,Assumptions!$B$15)</f>
        <v>-0.00937710828296405</v>
      </c>
      <c r="S200" s="8" t="n">
        <f aca="true">NORMINV(RAND(),Assumptions!$B$14,Assumptions!$B$15)</f>
        <v>0.0796612565039905</v>
      </c>
      <c r="T200" s="8" t="n">
        <f aca="false">Assumptions!$B$19*H200+(1-Assumptions!$B$19)*N200</f>
        <v>0.208119593316882</v>
      </c>
      <c r="U200" s="8" t="n">
        <f aca="false">Assumptions!$B$20*I200+(1-Assumptions!$B$20)*O200</f>
        <v>0.104152498067044</v>
      </c>
      <c r="V200" s="8" t="n">
        <f aca="false">Assumptions!$B$21*J200+(1-Assumptions!$B$21)*P200</f>
        <v>0.20550687109349</v>
      </c>
      <c r="W200" s="8" t="n">
        <f aca="false">Assumptions!$B$22*K200+(1-Assumptions!$B$22)*Q200</f>
        <v>0.0171954719961701</v>
      </c>
      <c r="X200" s="8" t="n">
        <f aca="false">Assumptions!$B$23*L200+(1-Assumptions!$B$23)*R200</f>
        <v>0.117990266696151</v>
      </c>
      <c r="Y200" s="8" t="n">
        <f aca="false">Assumptions!$B$24*M200+(1-Assumptions!$B$24)*S200</f>
        <v>0.176221251773638</v>
      </c>
      <c r="Z200" s="6" t="n">
        <f aca="false">Assumptions!$B$27*(1+T200)</f>
        <v>362435.877995065</v>
      </c>
      <c r="AA200" s="6" t="n">
        <f aca="false">(Z200+Assumptions!$B$28)*(1+U200)</f>
        <v>565807.35478743</v>
      </c>
      <c r="AB200" s="6" t="n">
        <f aca="false">AA200*(1+V200)</f>
        <v>682084.653911478</v>
      </c>
      <c r="AC200" s="6" t="n">
        <f aca="false">AB200*(1+W200)</f>
        <v>693813.421476831</v>
      </c>
      <c r="AD200" s="6" t="n">
        <f aca="false">AC200*(1+X200)</f>
        <v>775676.652114251</v>
      </c>
      <c r="AE200" s="6" t="n">
        <f aca="false">AD200*(1+Y200)</f>
        <v>912367.362721409</v>
      </c>
      <c r="AF200" s="6" t="n">
        <f aca="false">Z200</f>
        <v>362435.877995065</v>
      </c>
      <c r="AG200" s="6" t="n">
        <f aca="false">MAX(AF200,AA200)</f>
        <v>565807.35478743</v>
      </c>
      <c r="AH200" s="6" t="n">
        <f aca="false">MAX(AG200,AB200)</f>
        <v>682084.653911478</v>
      </c>
      <c r="AI200" s="6" t="n">
        <f aca="false">MAX(AH200,AC200)</f>
        <v>693813.421476831</v>
      </c>
      <c r="AJ200" s="6" t="n">
        <f aca="false">MAX(AI200,AD200)</f>
        <v>775676.652114251</v>
      </c>
      <c r="AK200" s="6" t="n">
        <f aca="false">MAX(AJ200,AE200)</f>
        <v>912367.362721409</v>
      </c>
      <c r="AL200" s="8" t="n">
        <f aca="false">MIN(Z200/AF200-1,AA200/AG200-1,AB200/AH200-1,AC200/AI200-1,AD200/AJ200-1,AE200/AK200-1)</f>
        <v>0</v>
      </c>
      <c r="AM200" s="6" t="n">
        <f aca="false">AE200-Assumptions!$B$35</f>
        <v>471103.366058905</v>
      </c>
    </row>
    <row r="201" customFormat="false" ht="15" hidden="false" customHeight="false" outlineLevel="0" collapsed="false">
      <c r="A201" s="0" t="n">
        <f aca="false">ROW()-1</f>
        <v>200</v>
      </c>
      <c r="B201" s="0" t="str">
        <f aca="true">IF(RAND()&lt;Assumptions!$B$11,"Bull","Bear")</f>
        <v>Bull</v>
      </c>
      <c r="C201" s="0" t="str">
        <f aca="true">IF(B201="Bull",IF(RAND()&lt;Assumptions!$B$7,"Bull","Bear"),IF(RAND()&lt;Assumptions!$B$10,"Bear","Bull"))</f>
        <v>Bull</v>
      </c>
      <c r="D201" s="0" t="str">
        <f aca="true">IF(C201="Bull",IF(RAND()&lt;Assumptions!$B$7,"Bull","Bear"),IF(RAND()&lt;Assumptions!$B$10,"Bear","Bull"))</f>
        <v>Bull</v>
      </c>
      <c r="E201" s="0" t="str">
        <f aca="true">IF(D201="Bull",IF(RAND()&lt;Assumptions!$B$7,"Bull","Bear"),IF(RAND()&lt;Assumptions!$B$10,"Bear","Bull"))</f>
        <v>Bull</v>
      </c>
      <c r="F201" s="0" t="str">
        <f aca="true">IF(E201="Bull",IF(RAND()&lt;Assumptions!$B$7,"Bull","Bear"),IF(RAND()&lt;Assumptions!$B$10,"Bear","Bull"))</f>
        <v>Bear</v>
      </c>
      <c r="G201" s="0" t="str">
        <f aca="true">IF(F201="Bull",IF(RAND()&lt;Assumptions!$B$7,"Bull","Bear"),IF(RAND()&lt;Assumptions!$B$10,"Bear","Bull"))</f>
        <v>Bear</v>
      </c>
      <c r="H201" s="8" t="n">
        <f aca="true">IF(B201="Bull",NORMINV(RAND(),Assumptions!$B$5,Assumptions!$B$6),NORMINV(RAND(),Assumptions!$B$8,Assumptions!$B$9))</f>
        <v>0.0517402332265282</v>
      </c>
      <c r="I201" s="8" t="n">
        <f aca="true">IF(C201="Bull",NORMINV(RAND(),Assumptions!$B$5,Assumptions!$B$6),NORMINV(RAND(),Assumptions!$B$8,Assumptions!$B$9))</f>
        <v>0.218147431427878</v>
      </c>
      <c r="J201" s="8" t="n">
        <f aca="true">IF(D201="Bull",NORMINV(RAND(),Assumptions!$B$5,Assumptions!$B$6),NORMINV(RAND(),Assumptions!$B$8,Assumptions!$B$9))</f>
        <v>0.173491704903881</v>
      </c>
      <c r="K201" s="8" t="n">
        <f aca="true">IF(E201="Bull",NORMINV(RAND(),Assumptions!$B$5,Assumptions!$B$6),NORMINV(RAND(),Assumptions!$B$8,Assumptions!$B$9))</f>
        <v>0.0919047012233988</v>
      </c>
      <c r="L201" s="8" t="n">
        <f aca="true">IF(F201="Bull",NORMINV(RAND(),Assumptions!$B$5,Assumptions!$B$6),NORMINV(RAND(),Assumptions!$B$8,Assumptions!$B$9))</f>
        <v>0.0571140777069061</v>
      </c>
      <c r="M201" s="8" t="n">
        <f aca="true">IF(G201="Bull",NORMINV(RAND(),Assumptions!$B$5,Assumptions!$B$6),NORMINV(RAND(),Assumptions!$B$8,Assumptions!$B$9))</f>
        <v>0.0671321150336439</v>
      </c>
      <c r="N201" s="8" t="n">
        <f aca="true">NORMINV(RAND(),Assumptions!$B$14,Assumptions!$B$15)</f>
        <v>-0.00417828599867858</v>
      </c>
      <c r="O201" s="8" t="n">
        <f aca="true">NORMINV(RAND(),Assumptions!$B$14,Assumptions!$B$15)</f>
        <v>0.018597729261358</v>
      </c>
      <c r="P201" s="8" t="n">
        <f aca="true">NORMINV(RAND(),Assumptions!$B$14,Assumptions!$B$15)</f>
        <v>0.092898458468843</v>
      </c>
      <c r="Q201" s="8" t="n">
        <f aca="true">NORMINV(RAND(),Assumptions!$B$14,Assumptions!$B$15)</f>
        <v>0.0800820143862897</v>
      </c>
      <c r="R201" s="8" t="n">
        <f aca="true">NORMINV(RAND(),Assumptions!$B$14,Assumptions!$B$15)</f>
        <v>0.0465729850470998</v>
      </c>
      <c r="S201" s="8" t="n">
        <f aca="true">NORMINV(RAND(),Assumptions!$B$14,Assumptions!$B$15)</f>
        <v>0.0235180446866035</v>
      </c>
      <c r="T201" s="8" t="n">
        <f aca="false">Assumptions!$B$19*H201+(1-Assumptions!$B$19)*N201</f>
        <v>0.0517402332265282</v>
      </c>
      <c r="U201" s="8" t="n">
        <f aca="false">Assumptions!$B$20*I201+(1-Assumptions!$B$20)*O201</f>
        <v>0.218147431427878</v>
      </c>
      <c r="V201" s="8" t="n">
        <f aca="false">Assumptions!$B$21*J201+(1-Assumptions!$B$21)*P201</f>
        <v>0.173491704903881</v>
      </c>
      <c r="W201" s="8" t="n">
        <f aca="false">Assumptions!$B$22*K201+(1-Assumptions!$B$22)*Q201</f>
        <v>0.0919047012233988</v>
      </c>
      <c r="X201" s="8" t="n">
        <f aca="false">Assumptions!$B$23*L201+(1-Assumptions!$B$23)*R201</f>
        <v>0.0550058591749448</v>
      </c>
      <c r="Y201" s="8" t="n">
        <f aca="false">Assumptions!$B$24*M201+(1-Assumptions!$B$24)*S201</f>
        <v>0.0496864868948277</v>
      </c>
      <c r="Z201" s="6" t="n">
        <f aca="false">Assumptions!$B$27*(1+T201)</f>
        <v>315522.069967958</v>
      </c>
      <c r="AA201" s="6" t="n">
        <f aca="false">(Z201+Assumptions!$B$28)*(1+U201)</f>
        <v>567074.513804458</v>
      </c>
      <c r="AB201" s="6" t="n">
        <f aca="false">AA201*(1+V201)</f>
        <v>665457.238011932</v>
      </c>
      <c r="AC201" s="6" t="n">
        <f aca="false">AB201*(1+W201)</f>
        <v>726615.886648367</v>
      </c>
      <c r="AD201" s="6" t="n">
        <f aca="false">AC201*(1+X201)</f>
        <v>766584.017783625</v>
      </c>
      <c r="AE201" s="6" t="n">
        <f aca="false">AD201*(1+Y201)</f>
        <v>804672.884537015</v>
      </c>
      <c r="AF201" s="6" t="n">
        <f aca="false">Z201</f>
        <v>315522.069967958</v>
      </c>
      <c r="AG201" s="6" t="n">
        <f aca="false">MAX(AF201,AA201)</f>
        <v>567074.513804458</v>
      </c>
      <c r="AH201" s="6" t="n">
        <f aca="false">MAX(AG201,AB201)</f>
        <v>665457.238011932</v>
      </c>
      <c r="AI201" s="6" t="n">
        <f aca="false">MAX(AH201,AC201)</f>
        <v>726615.886648367</v>
      </c>
      <c r="AJ201" s="6" t="n">
        <f aca="false">MAX(AI201,AD201)</f>
        <v>766584.017783625</v>
      </c>
      <c r="AK201" s="6" t="n">
        <f aca="false">MAX(AJ201,AE201)</f>
        <v>804672.884537015</v>
      </c>
      <c r="AL201" s="8" t="n">
        <f aca="false">MIN(Z201/AF201-1,AA201/AG201-1,AB201/AH201-1,AC201/AI201-1,AD201/AJ201-1,AE201/AK201-1)</f>
        <v>0</v>
      </c>
      <c r="AM201" s="6" t="n">
        <f aca="false">AE201-Assumptions!$B$35</f>
        <v>363408.887874511</v>
      </c>
    </row>
    <row r="202" customFormat="false" ht="15" hidden="false" customHeight="false" outlineLevel="0" collapsed="false">
      <c r="A202" s="0" t="n">
        <f aca="false">ROW()-1</f>
        <v>201</v>
      </c>
      <c r="B202" s="0" t="str">
        <f aca="true">IF(RAND()&lt;Assumptions!$B$11,"Bull","Bear")</f>
        <v>Bull</v>
      </c>
      <c r="C202" s="0" t="str">
        <f aca="true">IF(B202="Bull",IF(RAND()&lt;Assumptions!$B$7,"Bull","Bear"),IF(RAND()&lt;Assumptions!$B$10,"Bear","Bull"))</f>
        <v>Bull</v>
      </c>
      <c r="D202" s="0" t="str">
        <f aca="true">IF(C202="Bull",IF(RAND()&lt;Assumptions!$B$7,"Bull","Bear"),IF(RAND()&lt;Assumptions!$B$10,"Bear","Bull"))</f>
        <v>Bull</v>
      </c>
      <c r="E202" s="0" t="str">
        <f aca="true">IF(D202="Bull",IF(RAND()&lt;Assumptions!$B$7,"Bull","Bear"),IF(RAND()&lt;Assumptions!$B$10,"Bear","Bull"))</f>
        <v>Bull</v>
      </c>
      <c r="F202" s="0" t="str">
        <f aca="true">IF(E202="Bull",IF(RAND()&lt;Assumptions!$B$7,"Bull","Bear"),IF(RAND()&lt;Assumptions!$B$10,"Bear","Bull"))</f>
        <v>Bull</v>
      </c>
      <c r="G202" s="0" t="str">
        <f aca="true">IF(F202="Bull",IF(RAND()&lt;Assumptions!$B$7,"Bull","Bear"),IF(RAND()&lt;Assumptions!$B$10,"Bear","Bull"))</f>
        <v>Bull</v>
      </c>
      <c r="H202" s="8" t="n">
        <f aca="true">IF(B202="Bull",NORMINV(RAND(),Assumptions!$B$5,Assumptions!$B$6),NORMINV(RAND(),Assumptions!$B$8,Assumptions!$B$9))</f>
        <v>0.285356100791148</v>
      </c>
      <c r="I202" s="8" t="n">
        <f aca="true">IF(C202="Bull",NORMINV(RAND(),Assumptions!$B$5,Assumptions!$B$6),NORMINV(RAND(),Assumptions!$B$8,Assumptions!$B$9))</f>
        <v>0.198123918076661</v>
      </c>
      <c r="J202" s="8" t="n">
        <f aca="true">IF(D202="Bull",NORMINV(RAND(),Assumptions!$B$5,Assumptions!$B$6),NORMINV(RAND(),Assumptions!$B$8,Assumptions!$B$9))</f>
        <v>0.0312158379338324</v>
      </c>
      <c r="K202" s="8" t="n">
        <f aca="true">IF(E202="Bull",NORMINV(RAND(),Assumptions!$B$5,Assumptions!$B$6),NORMINV(RAND(),Assumptions!$B$8,Assumptions!$B$9))</f>
        <v>0.199807192691143</v>
      </c>
      <c r="L202" s="8" t="n">
        <f aca="true">IF(F202="Bull",NORMINV(RAND(),Assumptions!$B$5,Assumptions!$B$6),NORMINV(RAND(),Assumptions!$B$8,Assumptions!$B$9))</f>
        <v>0.282795811475132</v>
      </c>
      <c r="M202" s="8" t="n">
        <f aca="true">IF(G202="Bull",NORMINV(RAND(),Assumptions!$B$5,Assumptions!$B$6),NORMINV(RAND(),Assumptions!$B$8,Assumptions!$B$9))</f>
        <v>0.227142584882235</v>
      </c>
      <c r="N202" s="8" t="n">
        <f aca="true">NORMINV(RAND(),Assumptions!$B$14,Assumptions!$B$15)</f>
        <v>0.0350981038116203</v>
      </c>
      <c r="O202" s="8" t="n">
        <f aca="true">NORMINV(RAND(),Assumptions!$B$14,Assumptions!$B$15)</f>
        <v>0.063521952752453</v>
      </c>
      <c r="P202" s="8" t="n">
        <f aca="true">NORMINV(RAND(),Assumptions!$B$14,Assumptions!$B$15)</f>
        <v>0.0380804010155036</v>
      </c>
      <c r="Q202" s="8" t="n">
        <f aca="true">NORMINV(RAND(),Assumptions!$B$14,Assumptions!$B$15)</f>
        <v>0.0062343226544409</v>
      </c>
      <c r="R202" s="8" t="n">
        <f aca="true">NORMINV(RAND(),Assumptions!$B$14,Assumptions!$B$15)</f>
        <v>0.0744161920609296</v>
      </c>
      <c r="S202" s="8" t="n">
        <f aca="true">NORMINV(RAND(),Assumptions!$B$14,Assumptions!$B$15)</f>
        <v>0.0483539513523587</v>
      </c>
      <c r="T202" s="8" t="n">
        <f aca="false">Assumptions!$B$19*H202+(1-Assumptions!$B$19)*N202</f>
        <v>0.285356100791148</v>
      </c>
      <c r="U202" s="8" t="n">
        <f aca="false">Assumptions!$B$20*I202+(1-Assumptions!$B$20)*O202</f>
        <v>0.198123918076661</v>
      </c>
      <c r="V202" s="8" t="n">
        <f aca="false">Assumptions!$B$21*J202+(1-Assumptions!$B$21)*P202</f>
        <v>0.0312158379338324</v>
      </c>
      <c r="W202" s="8" t="n">
        <f aca="false">Assumptions!$B$22*K202+(1-Assumptions!$B$22)*Q202</f>
        <v>0.199807192691143</v>
      </c>
      <c r="X202" s="8" t="n">
        <f aca="false">Assumptions!$B$23*L202+(1-Assumptions!$B$23)*R202</f>
        <v>0.241119887592292</v>
      </c>
      <c r="Y202" s="8" t="n">
        <f aca="false">Assumptions!$B$24*M202+(1-Assumptions!$B$24)*S202</f>
        <v>0.155627131470285</v>
      </c>
      <c r="Z202" s="6" t="n">
        <f aca="false">Assumptions!$B$27*(1+T202)</f>
        <v>385606.830237345</v>
      </c>
      <c r="AA202" s="6" t="n">
        <f aca="false">(Z202+Assumptions!$B$28)*(1+U202)</f>
        <v>641723.353992589</v>
      </c>
      <c r="AB202" s="6" t="n">
        <f aca="false">AA202*(1+V202)</f>
        <v>661755.286209177</v>
      </c>
      <c r="AC202" s="6" t="n">
        <f aca="false">AB202*(1+W202)</f>
        <v>793978.752195156</v>
      </c>
      <c r="AD202" s="6" t="n">
        <f aca="false">AC202*(1+X202)</f>
        <v>985422.81967512</v>
      </c>
      <c r="AE202" s="6" t="n">
        <f aca="false">AD202*(1+Y202)</f>
        <v>1138781.34638652</v>
      </c>
      <c r="AF202" s="6" t="n">
        <f aca="false">Z202</f>
        <v>385606.830237345</v>
      </c>
      <c r="AG202" s="6" t="n">
        <f aca="false">MAX(AF202,AA202)</f>
        <v>641723.353992589</v>
      </c>
      <c r="AH202" s="6" t="n">
        <f aca="false">MAX(AG202,AB202)</f>
        <v>661755.286209177</v>
      </c>
      <c r="AI202" s="6" t="n">
        <f aca="false">MAX(AH202,AC202)</f>
        <v>793978.752195156</v>
      </c>
      <c r="AJ202" s="6" t="n">
        <f aca="false">MAX(AI202,AD202)</f>
        <v>985422.81967512</v>
      </c>
      <c r="AK202" s="6" t="n">
        <f aca="false">MAX(AJ202,AE202)</f>
        <v>1138781.34638652</v>
      </c>
      <c r="AL202" s="8" t="n">
        <f aca="false">MIN(Z202/AF202-1,AA202/AG202-1,AB202/AH202-1,AC202/AI202-1,AD202/AJ202-1,AE202/AK202-1)</f>
        <v>0</v>
      </c>
      <c r="AM202" s="6" t="n">
        <f aca="false">AE202-Assumptions!$B$35</f>
        <v>697517.349724015</v>
      </c>
    </row>
    <row r="203" customFormat="false" ht="15" hidden="false" customHeight="false" outlineLevel="0" collapsed="false">
      <c r="A203" s="0" t="n">
        <f aca="false">ROW()-1</f>
        <v>202</v>
      </c>
      <c r="B203" s="0" t="str">
        <f aca="true">IF(RAND()&lt;Assumptions!$B$11,"Bull","Bear")</f>
        <v>Bear</v>
      </c>
      <c r="C203" s="0" t="str">
        <f aca="true">IF(B203="Bull",IF(RAND()&lt;Assumptions!$B$7,"Bull","Bear"),IF(RAND()&lt;Assumptions!$B$10,"Bear","Bull"))</f>
        <v>Bull</v>
      </c>
      <c r="D203" s="0" t="str">
        <f aca="true">IF(C203="Bull",IF(RAND()&lt;Assumptions!$B$7,"Bull","Bear"),IF(RAND()&lt;Assumptions!$B$10,"Bear","Bull"))</f>
        <v>Bull</v>
      </c>
      <c r="E203" s="0" t="str">
        <f aca="true">IF(D203="Bull",IF(RAND()&lt;Assumptions!$B$7,"Bull","Bear"),IF(RAND()&lt;Assumptions!$B$10,"Bear","Bull"))</f>
        <v>Bull</v>
      </c>
      <c r="F203" s="0" t="str">
        <f aca="true">IF(E203="Bull",IF(RAND()&lt;Assumptions!$B$7,"Bull","Bear"),IF(RAND()&lt;Assumptions!$B$10,"Bear","Bull"))</f>
        <v>Bear</v>
      </c>
      <c r="G203" s="0" t="str">
        <f aca="true">IF(F203="Bull",IF(RAND()&lt;Assumptions!$B$7,"Bull","Bear"),IF(RAND()&lt;Assumptions!$B$10,"Bear","Bull"))</f>
        <v>Bull</v>
      </c>
      <c r="H203" s="8" t="n">
        <f aca="true">IF(B203="Bull",NORMINV(RAND(),Assumptions!$B$5,Assumptions!$B$6),NORMINV(RAND(),Assumptions!$B$8,Assumptions!$B$9))</f>
        <v>0.0863735834690398</v>
      </c>
      <c r="I203" s="8" t="n">
        <f aca="true">IF(C203="Bull",NORMINV(RAND(),Assumptions!$B$5,Assumptions!$B$6),NORMINV(RAND(),Assumptions!$B$8,Assumptions!$B$9))</f>
        <v>0.163816091731475</v>
      </c>
      <c r="J203" s="8" t="n">
        <f aca="true">IF(D203="Bull",NORMINV(RAND(),Assumptions!$B$5,Assumptions!$B$6),NORMINV(RAND(),Assumptions!$B$8,Assumptions!$B$9))</f>
        <v>0.222444842574591</v>
      </c>
      <c r="K203" s="8" t="n">
        <f aca="true">IF(E203="Bull",NORMINV(RAND(),Assumptions!$B$5,Assumptions!$B$6),NORMINV(RAND(),Assumptions!$B$8,Assumptions!$B$9))</f>
        <v>0.256741562023347</v>
      </c>
      <c r="L203" s="8" t="n">
        <f aca="true">IF(F203="Bull",NORMINV(RAND(),Assumptions!$B$5,Assumptions!$B$6),NORMINV(RAND(),Assumptions!$B$8,Assumptions!$B$9))</f>
        <v>-0.0868965696850038</v>
      </c>
      <c r="M203" s="8" t="n">
        <f aca="true">IF(G203="Bull",NORMINV(RAND(),Assumptions!$B$5,Assumptions!$B$6),NORMINV(RAND(),Assumptions!$B$8,Assumptions!$B$9))</f>
        <v>0.315496706580405</v>
      </c>
      <c r="N203" s="8" t="n">
        <f aca="true">NORMINV(RAND(),Assumptions!$B$14,Assumptions!$B$15)</f>
        <v>0.0916242292499403</v>
      </c>
      <c r="O203" s="8" t="n">
        <f aca="true">NORMINV(RAND(),Assumptions!$B$14,Assumptions!$B$15)</f>
        <v>0.0163789812747441</v>
      </c>
      <c r="P203" s="8" t="n">
        <f aca="true">NORMINV(RAND(),Assumptions!$B$14,Assumptions!$B$15)</f>
        <v>0.060589436855372</v>
      </c>
      <c r="Q203" s="8" t="n">
        <f aca="true">NORMINV(RAND(),Assumptions!$B$14,Assumptions!$B$15)</f>
        <v>0.057879693854779</v>
      </c>
      <c r="R203" s="8" t="n">
        <f aca="true">NORMINV(RAND(),Assumptions!$B$14,Assumptions!$B$15)</f>
        <v>0.0593293476593042</v>
      </c>
      <c r="S203" s="8" t="n">
        <f aca="true">NORMINV(RAND(),Assumptions!$B$14,Assumptions!$B$15)</f>
        <v>0.124675689657791</v>
      </c>
      <c r="T203" s="8" t="n">
        <f aca="false">Assumptions!$B$19*H203+(1-Assumptions!$B$19)*N203</f>
        <v>0.0863735834690398</v>
      </c>
      <c r="U203" s="8" t="n">
        <f aca="false">Assumptions!$B$20*I203+(1-Assumptions!$B$20)*O203</f>
        <v>0.163816091731475</v>
      </c>
      <c r="V203" s="8" t="n">
        <f aca="false">Assumptions!$B$21*J203+(1-Assumptions!$B$21)*P203</f>
        <v>0.222444842574591</v>
      </c>
      <c r="W203" s="8" t="n">
        <f aca="false">Assumptions!$B$22*K203+(1-Assumptions!$B$22)*Q203</f>
        <v>0.256741562023347</v>
      </c>
      <c r="X203" s="8" t="n">
        <f aca="false">Assumptions!$B$23*L203+(1-Assumptions!$B$23)*R203</f>
        <v>-0.0576513862161422</v>
      </c>
      <c r="Y203" s="8" t="n">
        <f aca="false">Assumptions!$B$24*M203+(1-Assumptions!$B$24)*S203</f>
        <v>0.239168299811359</v>
      </c>
      <c r="Z203" s="6" t="n">
        <f aca="false">Assumptions!$B$27*(1+T203)</f>
        <v>325912.075040712</v>
      </c>
      <c r="AA203" s="6" t="n">
        <f aca="false">(Z203+Assumptions!$B$28)*(1+U203)</f>
        <v>553874.131181698</v>
      </c>
      <c r="AB203" s="6" t="n">
        <f aca="false">AA203*(1+V203)</f>
        <v>677080.575098549</v>
      </c>
      <c r="AC203" s="6" t="n">
        <f aca="false">AB203*(1+W203)</f>
        <v>850915.299565017</v>
      </c>
      <c r="AD203" s="6" t="n">
        <f aca="false">AC203*(1+X203)</f>
        <v>801858.85299257</v>
      </c>
      <c r="AE203" s="6" t="n">
        <f aca="false">AD203*(1+Y203)</f>
        <v>993638.07155149</v>
      </c>
      <c r="AF203" s="6" t="n">
        <f aca="false">Z203</f>
        <v>325912.075040712</v>
      </c>
      <c r="AG203" s="6" t="n">
        <f aca="false">MAX(AF203,AA203)</f>
        <v>553874.131181698</v>
      </c>
      <c r="AH203" s="6" t="n">
        <f aca="false">MAX(AG203,AB203)</f>
        <v>677080.575098549</v>
      </c>
      <c r="AI203" s="6" t="n">
        <f aca="false">MAX(AH203,AC203)</f>
        <v>850915.299565017</v>
      </c>
      <c r="AJ203" s="6" t="n">
        <f aca="false">MAX(AI203,AD203)</f>
        <v>850915.299565017</v>
      </c>
      <c r="AK203" s="6" t="n">
        <f aca="false">MAX(AJ203,AE203)</f>
        <v>993638.07155149</v>
      </c>
      <c r="AL203" s="8" t="n">
        <f aca="false">MIN(Z203/AF203-1,AA203/AG203-1,AB203/AH203-1,AC203/AI203-1,AD203/AJ203-1,AE203/AK203-1)</f>
        <v>-0.0576513862161422</v>
      </c>
      <c r="AM203" s="6" t="n">
        <f aca="false">AE203-Assumptions!$B$35</f>
        <v>552374.074888986</v>
      </c>
    </row>
    <row r="204" customFormat="false" ht="15" hidden="false" customHeight="false" outlineLevel="0" collapsed="false">
      <c r="A204" s="0" t="n">
        <f aca="false">ROW()-1</f>
        <v>203</v>
      </c>
      <c r="B204" s="0" t="str">
        <f aca="true">IF(RAND()&lt;Assumptions!$B$11,"Bull","Bear")</f>
        <v>Bull</v>
      </c>
      <c r="C204" s="0" t="str">
        <f aca="true">IF(B204="Bull",IF(RAND()&lt;Assumptions!$B$7,"Bull","Bear"),IF(RAND()&lt;Assumptions!$B$10,"Bear","Bull"))</f>
        <v>Bull</v>
      </c>
      <c r="D204" s="0" t="str">
        <f aca="true">IF(C204="Bull",IF(RAND()&lt;Assumptions!$B$7,"Bull","Bear"),IF(RAND()&lt;Assumptions!$B$10,"Bear","Bull"))</f>
        <v>Bull</v>
      </c>
      <c r="E204" s="0" t="str">
        <f aca="true">IF(D204="Bull",IF(RAND()&lt;Assumptions!$B$7,"Bull","Bear"),IF(RAND()&lt;Assumptions!$B$10,"Bear","Bull"))</f>
        <v>Bull</v>
      </c>
      <c r="F204" s="0" t="str">
        <f aca="true">IF(E204="Bull",IF(RAND()&lt;Assumptions!$B$7,"Bull","Bear"),IF(RAND()&lt;Assumptions!$B$10,"Bear","Bull"))</f>
        <v>Bear</v>
      </c>
      <c r="G204" s="0" t="str">
        <f aca="true">IF(F204="Bull",IF(RAND()&lt;Assumptions!$B$7,"Bull","Bear"),IF(RAND()&lt;Assumptions!$B$10,"Bear","Bull"))</f>
        <v>Bear</v>
      </c>
      <c r="H204" s="8" t="n">
        <f aca="true">IF(B204="Bull",NORMINV(RAND(),Assumptions!$B$5,Assumptions!$B$6),NORMINV(RAND(),Assumptions!$B$8,Assumptions!$B$9))</f>
        <v>0.127701734048039</v>
      </c>
      <c r="I204" s="8" t="n">
        <f aca="true">IF(C204="Bull",NORMINV(RAND(),Assumptions!$B$5,Assumptions!$B$6),NORMINV(RAND(),Assumptions!$B$8,Assumptions!$B$9))</f>
        <v>0.36494728499387</v>
      </c>
      <c r="J204" s="8" t="n">
        <f aca="true">IF(D204="Bull",NORMINV(RAND(),Assumptions!$B$5,Assumptions!$B$6),NORMINV(RAND(),Assumptions!$B$8,Assumptions!$B$9))</f>
        <v>0.271845250546221</v>
      </c>
      <c r="K204" s="8" t="n">
        <f aca="true">IF(E204="Bull",NORMINV(RAND(),Assumptions!$B$5,Assumptions!$B$6),NORMINV(RAND(),Assumptions!$B$8,Assumptions!$B$9))</f>
        <v>0.131825133357805</v>
      </c>
      <c r="L204" s="8" t="n">
        <f aca="true">IF(F204="Bull",NORMINV(RAND(),Assumptions!$B$5,Assumptions!$B$6),NORMINV(RAND(),Assumptions!$B$8,Assumptions!$B$9))</f>
        <v>-0.421715871067469</v>
      </c>
      <c r="M204" s="8" t="n">
        <f aca="true">IF(G204="Bull",NORMINV(RAND(),Assumptions!$B$5,Assumptions!$B$6),NORMINV(RAND(),Assumptions!$B$8,Assumptions!$B$9))</f>
        <v>0.116108929704068</v>
      </c>
      <c r="N204" s="8" t="n">
        <f aca="true">NORMINV(RAND(),Assumptions!$B$14,Assumptions!$B$15)</f>
        <v>0.0710641654666587</v>
      </c>
      <c r="O204" s="8" t="n">
        <f aca="true">NORMINV(RAND(),Assumptions!$B$14,Assumptions!$B$15)</f>
        <v>0.0589393484568688</v>
      </c>
      <c r="P204" s="8" t="n">
        <f aca="true">NORMINV(RAND(),Assumptions!$B$14,Assumptions!$B$15)</f>
        <v>0.00499283715589931</v>
      </c>
      <c r="Q204" s="8" t="n">
        <f aca="true">NORMINV(RAND(),Assumptions!$B$14,Assumptions!$B$15)</f>
        <v>0.0679500331075574</v>
      </c>
      <c r="R204" s="8" t="n">
        <f aca="true">NORMINV(RAND(),Assumptions!$B$14,Assumptions!$B$15)</f>
        <v>0.0936230443262333</v>
      </c>
      <c r="S204" s="8" t="n">
        <f aca="true">NORMINV(RAND(),Assumptions!$B$14,Assumptions!$B$15)</f>
        <v>0.0704967251214025</v>
      </c>
      <c r="T204" s="8" t="n">
        <f aca="false">Assumptions!$B$19*H204+(1-Assumptions!$B$19)*N204</f>
        <v>0.127701734048039</v>
      </c>
      <c r="U204" s="8" t="n">
        <f aca="false">Assumptions!$B$20*I204+(1-Assumptions!$B$20)*O204</f>
        <v>0.36494728499387</v>
      </c>
      <c r="V204" s="8" t="n">
        <f aca="false">Assumptions!$B$21*J204+(1-Assumptions!$B$21)*P204</f>
        <v>0.271845250546221</v>
      </c>
      <c r="W204" s="8" t="n">
        <f aca="false">Assumptions!$B$22*K204+(1-Assumptions!$B$22)*Q204</f>
        <v>0.131825133357805</v>
      </c>
      <c r="X204" s="8" t="n">
        <f aca="false">Assumptions!$B$23*L204+(1-Assumptions!$B$23)*R204</f>
        <v>-0.318648087988728</v>
      </c>
      <c r="Y204" s="8" t="n">
        <f aca="false">Assumptions!$B$24*M204+(1-Assumptions!$B$24)*S204</f>
        <v>0.0978640478710016</v>
      </c>
      <c r="Z204" s="6" t="n">
        <f aca="false">Assumptions!$B$27*(1+T204)</f>
        <v>338310.520214412</v>
      </c>
      <c r="AA204" s="6" t="n">
        <f aca="false">(Z204+Assumptions!$B$28)*(1+U204)</f>
        <v>666518.118800605</v>
      </c>
      <c r="AB204" s="6" t="n">
        <f aca="false">AA204*(1+V204)</f>
        <v>847707.903799552</v>
      </c>
      <c r="AC204" s="6" t="n">
        <f aca="false">AB204*(1+W204)</f>
        <v>959457.111266394</v>
      </c>
      <c r="AD204" s="6" t="n">
        <f aca="false">AC204*(1+X204)</f>
        <v>653727.937254169</v>
      </c>
      <c r="AE204" s="6" t="n">
        <f aca="false">AD204*(1+Y204)</f>
        <v>717704.399400222</v>
      </c>
      <c r="AF204" s="6" t="n">
        <f aca="false">Z204</f>
        <v>338310.520214412</v>
      </c>
      <c r="AG204" s="6" t="n">
        <f aca="false">MAX(AF204,AA204)</f>
        <v>666518.118800605</v>
      </c>
      <c r="AH204" s="6" t="n">
        <f aca="false">MAX(AG204,AB204)</f>
        <v>847707.903799552</v>
      </c>
      <c r="AI204" s="6" t="n">
        <f aca="false">MAX(AH204,AC204)</f>
        <v>959457.111266394</v>
      </c>
      <c r="AJ204" s="6" t="n">
        <f aca="false">MAX(AI204,AD204)</f>
        <v>959457.111266394</v>
      </c>
      <c r="AK204" s="6" t="n">
        <f aca="false">MAX(AJ204,AE204)</f>
        <v>959457.111266394</v>
      </c>
      <c r="AL204" s="8" t="n">
        <f aca="false">MIN(Z204/AF204-1,AA204/AG204-1,AB204/AH204-1,AC204/AI204-1,AD204/AJ204-1,AE204/AK204-1)</f>
        <v>-0.318648087988728</v>
      </c>
      <c r="AM204" s="6" t="n">
        <f aca="false">AE204-Assumptions!$B$35</f>
        <v>276440.402737719</v>
      </c>
    </row>
    <row r="205" customFormat="false" ht="15" hidden="false" customHeight="false" outlineLevel="0" collapsed="false">
      <c r="A205" s="0" t="n">
        <f aca="false">ROW()-1</f>
        <v>204</v>
      </c>
      <c r="B205" s="0" t="str">
        <f aca="true">IF(RAND()&lt;Assumptions!$B$11,"Bull","Bear")</f>
        <v>Bull</v>
      </c>
      <c r="C205" s="0" t="str">
        <f aca="true">IF(B205="Bull",IF(RAND()&lt;Assumptions!$B$7,"Bull","Bear"),IF(RAND()&lt;Assumptions!$B$10,"Bear","Bull"))</f>
        <v>Bull</v>
      </c>
      <c r="D205" s="0" t="str">
        <f aca="true">IF(C205="Bull",IF(RAND()&lt;Assumptions!$B$7,"Bull","Bear"),IF(RAND()&lt;Assumptions!$B$10,"Bear","Bull"))</f>
        <v>Bull</v>
      </c>
      <c r="E205" s="0" t="str">
        <f aca="true">IF(D205="Bull",IF(RAND()&lt;Assumptions!$B$7,"Bull","Bear"),IF(RAND()&lt;Assumptions!$B$10,"Bear","Bull"))</f>
        <v>Bull</v>
      </c>
      <c r="F205" s="0" t="str">
        <f aca="true">IF(E205="Bull",IF(RAND()&lt;Assumptions!$B$7,"Bull","Bear"),IF(RAND()&lt;Assumptions!$B$10,"Bear","Bull"))</f>
        <v>Bear</v>
      </c>
      <c r="G205" s="0" t="str">
        <f aca="true">IF(F205="Bull",IF(RAND()&lt;Assumptions!$B$7,"Bull","Bear"),IF(RAND()&lt;Assumptions!$B$10,"Bear","Bull"))</f>
        <v>Bear</v>
      </c>
      <c r="H205" s="8" t="n">
        <f aca="true">IF(B205="Bull",NORMINV(RAND(),Assumptions!$B$5,Assumptions!$B$6),NORMINV(RAND(),Assumptions!$B$8,Assumptions!$B$9))</f>
        <v>0.0262841734814483</v>
      </c>
      <c r="I205" s="8" t="n">
        <f aca="true">IF(C205="Bull",NORMINV(RAND(),Assumptions!$B$5,Assumptions!$B$6),NORMINV(RAND(),Assumptions!$B$8,Assumptions!$B$9))</f>
        <v>0.307490778116543</v>
      </c>
      <c r="J205" s="8" t="n">
        <f aca="true">IF(D205="Bull",NORMINV(RAND(),Assumptions!$B$5,Assumptions!$B$6),NORMINV(RAND(),Assumptions!$B$8,Assumptions!$B$9))</f>
        <v>0.0843380982026969</v>
      </c>
      <c r="K205" s="8" t="n">
        <f aca="true">IF(E205="Bull",NORMINV(RAND(),Assumptions!$B$5,Assumptions!$B$6),NORMINV(RAND(),Assumptions!$B$8,Assumptions!$B$9))</f>
        <v>0.0321678179912606</v>
      </c>
      <c r="L205" s="8" t="n">
        <f aca="true">IF(F205="Bull",NORMINV(RAND(),Assumptions!$B$5,Assumptions!$B$6),NORMINV(RAND(),Assumptions!$B$8,Assumptions!$B$9))</f>
        <v>-0.206135733799669</v>
      </c>
      <c r="M205" s="8" t="n">
        <f aca="true">IF(G205="Bull",NORMINV(RAND(),Assumptions!$B$5,Assumptions!$B$6),NORMINV(RAND(),Assumptions!$B$8,Assumptions!$B$9))</f>
        <v>0.0563203230960107</v>
      </c>
      <c r="N205" s="8" t="n">
        <f aca="true">NORMINV(RAND(),Assumptions!$B$14,Assumptions!$B$15)</f>
        <v>0.0229529756348808</v>
      </c>
      <c r="O205" s="8" t="n">
        <f aca="true">NORMINV(RAND(),Assumptions!$B$14,Assumptions!$B$15)</f>
        <v>0.078133074883332</v>
      </c>
      <c r="P205" s="8" t="n">
        <f aca="true">NORMINV(RAND(),Assumptions!$B$14,Assumptions!$B$15)</f>
        <v>0.0743289085058645</v>
      </c>
      <c r="Q205" s="8" t="n">
        <f aca="true">NORMINV(RAND(),Assumptions!$B$14,Assumptions!$B$15)</f>
        <v>0.0126668548169068</v>
      </c>
      <c r="R205" s="8" t="n">
        <f aca="true">NORMINV(RAND(),Assumptions!$B$14,Assumptions!$B$15)</f>
        <v>0.0406063429768258</v>
      </c>
      <c r="S205" s="8" t="n">
        <f aca="true">NORMINV(RAND(),Assumptions!$B$14,Assumptions!$B$15)</f>
        <v>0.0413081902758406</v>
      </c>
      <c r="T205" s="8" t="n">
        <f aca="false">Assumptions!$B$19*H205+(1-Assumptions!$B$19)*N205</f>
        <v>0.0262841734814483</v>
      </c>
      <c r="U205" s="8" t="n">
        <f aca="false">Assumptions!$B$20*I205+(1-Assumptions!$B$20)*O205</f>
        <v>0.307490778116543</v>
      </c>
      <c r="V205" s="8" t="n">
        <f aca="false">Assumptions!$B$21*J205+(1-Assumptions!$B$21)*P205</f>
        <v>0.0843380982026969</v>
      </c>
      <c r="W205" s="8" t="n">
        <f aca="false">Assumptions!$B$22*K205+(1-Assumptions!$B$22)*Q205</f>
        <v>0.0321678179912606</v>
      </c>
      <c r="X205" s="8" t="n">
        <f aca="false">Assumptions!$B$23*L205+(1-Assumptions!$B$23)*R205</f>
        <v>-0.15678731844437</v>
      </c>
      <c r="Y205" s="8" t="n">
        <f aca="false">Assumptions!$B$24*M205+(1-Assumptions!$B$24)*S205</f>
        <v>0.0503154699679427</v>
      </c>
      <c r="Z205" s="6" t="n">
        <f aca="false">Assumptions!$B$27*(1+T205)</f>
        <v>307885.252044435</v>
      </c>
      <c r="AA205" s="6" t="n">
        <f aca="false">(Z205+Assumptions!$B$28)*(1+U205)</f>
        <v>598680.744483667</v>
      </c>
      <c r="AB205" s="6" t="n">
        <f aca="false">AA205*(1+V205)</f>
        <v>649172.339903994</v>
      </c>
      <c r="AC205" s="6" t="n">
        <f aca="false">AB205*(1+W205)</f>
        <v>670054.797578987</v>
      </c>
      <c r="AD205" s="6" t="n">
        <f aca="false">AC205*(1+X205)</f>
        <v>564998.702655792</v>
      </c>
      <c r="AE205" s="6" t="n">
        <f aca="false">AD205*(1+Y205)</f>
        <v>593426.877911196</v>
      </c>
      <c r="AF205" s="6" t="n">
        <f aca="false">Z205</f>
        <v>307885.252044435</v>
      </c>
      <c r="AG205" s="6" t="n">
        <f aca="false">MAX(AF205,AA205)</f>
        <v>598680.744483667</v>
      </c>
      <c r="AH205" s="6" t="n">
        <f aca="false">MAX(AG205,AB205)</f>
        <v>649172.339903994</v>
      </c>
      <c r="AI205" s="6" t="n">
        <f aca="false">MAX(AH205,AC205)</f>
        <v>670054.797578987</v>
      </c>
      <c r="AJ205" s="6" t="n">
        <f aca="false">MAX(AI205,AD205)</f>
        <v>670054.797578987</v>
      </c>
      <c r="AK205" s="6" t="n">
        <f aca="false">MAX(AJ205,AE205)</f>
        <v>670054.797578987</v>
      </c>
      <c r="AL205" s="8" t="n">
        <f aca="false">MIN(Z205/AF205-1,AA205/AG205-1,AB205/AH205-1,AC205/AI205-1,AD205/AJ205-1,AE205/AK205-1)</f>
        <v>-0.15678731844437</v>
      </c>
      <c r="AM205" s="6" t="n">
        <f aca="false">AE205-Assumptions!$B$35</f>
        <v>152162.881248693</v>
      </c>
    </row>
    <row r="206" customFormat="false" ht="15" hidden="false" customHeight="false" outlineLevel="0" collapsed="false">
      <c r="A206" s="0" t="n">
        <f aca="false">ROW()-1</f>
        <v>205</v>
      </c>
      <c r="B206" s="0" t="str">
        <f aca="true">IF(RAND()&lt;Assumptions!$B$11,"Bull","Bear")</f>
        <v>Bull</v>
      </c>
      <c r="C206" s="0" t="str">
        <f aca="true">IF(B206="Bull",IF(RAND()&lt;Assumptions!$B$7,"Bull","Bear"),IF(RAND()&lt;Assumptions!$B$10,"Bear","Bull"))</f>
        <v>Bull</v>
      </c>
      <c r="D206" s="0" t="str">
        <f aca="true">IF(C206="Bull",IF(RAND()&lt;Assumptions!$B$7,"Bull","Bear"),IF(RAND()&lt;Assumptions!$B$10,"Bear","Bull"))</f>
        <v>Bull</v>
      </c>
      <c r="E206" s="0" t="str">
        <f aca="true">IF(D206="Bull",IF(RAND()&lt;Assumptions!$B$7,"Bull","Bear"),IF(RAND()&lt;Assumptions!$B$10,"Bear","Bull"))</f>
        <v>Bear</v>
      </c>
      <c r="F206" s="0" t="str">
        <f aca="true">IF(E206="Bull",IF(RAND()&lt;Assumptions!$B$7,"Bull","Bear"),IF(RAND()&lt;Assumptions!$B$10,"Bear","Bull"))</f>
        <v>Bull</v>
      </c>
      <c r="G206" s="0" t="str">
        <f aca="true">IF(F206="Bull",IF(RAND()&lt;Assumptions!$B$7,"Bull","Bear"),IF(RAND()&lt;Assumptions!$B$10,"Bear","Bull"))</f>
        <v>Bear</v>
      </c>
      <c r="H206" s="8" t="n">
        <f aca="true">IF(B206="Bull",NORMINV(RAND(),Assumptions!$B$5,Assumptions!$B$6),NORMINV(RAND(),Assumptions!$B$8,Assumptions!$B$9))</f>
        <v>0.125171313426134</v>
      </c>
      <c r="I206" s="8" t="n">
        <f aca="true">IF(C206="Bull",NORMINV(RAND(),Assumptions!$B$5,Assumptions!$B$6),NORMINV(RAND(),Assumptions!$B$8,Assumptions!$B$9))</f>
        <v>0.166891644468644</v>
      </c>
      <c r="J206" s="8" t="n">
        <f aca="true">IF(D206="Bull",NORMINV(RAND(),Assumptions!$B$5,Assumptions!$B$6),NORMINV(RAND(),Assumptions!$B$8,Assumptions!$B$9))</f>
        <v>0.0794282753890303</v>
      </c>
      <c r="K206" s="8" t="n">
        <f aca="true">IF(E206="Bull",NORMINV(RAND(),Assumptions!$B$5,Assumptions!$B$6),NORMINV(RAND(),Assumptions!$B$8,Assumptions!$B$9))</f>
        <v>-0.31128206120596</v>
      </c>
      <c r="L206" s="8" t="n">
        <f aca="true">IF(F206="Bull",NORMINV(RAND(),Assumptions!$B$5,Assumptions!$B$6),NORMINV(RAND(),Assumptions!$B$8,Assumptions!$B$9))</f>
        <v>0.205826875724293</v>
      </c>
      <c r="M206" s="8" t="n">
        <f aca="true">IF(G206="Bull",NORMINV(RAND(),Assumptions!$B$5,Assumptions!$B$6),NORMINV(RAND(),Assumptions!$B$8,Assumptions!$B$9))</f>
        <v>-0.249454826877879</v>
      </c>
      <c r="N206" s="8" t="n">
        <f aca="true">NORMINV(RAND(),Assumptions!$B$14,Assumptions!$B$15)</f>
        <v>0.089202127009816</v>
      </c>
      <c r="O206" s="8" t="n">
        <f aca="true">NORMINV(RAND(),Assumptions!$B$14,Assumptions!$B$15)</f>
        <v>0.0274684586784903</v>
      </c>
      <c r="P206" s="8" t="n">
        <f aca="true">NORMINV(RAND(),Assumptions!$B$14,Assumptions!$B$15)</f>
        <v>-0.00674435390069814</v>
      </c>
      <c r="Q206" s="8" t="n">
        <f aca="true">NORMINV(RAND(),Assumptions!$B$14,Assumptions!$B$15)</f>
        <v>0.0404226457015838</v>
      </c>
      <c r="R206" s="8" t="n">
        <f aca="true">NORMINV(RAND(),Assumptions!$B$14,Assumptions!$B$15)</f>
        <v>0.0544508574760548</v>
      </c>
      <c r="S206" s="8" t="n">
        <f aca="true">NORMINV(RAND(),Assumptions!$B$14,Assumptions!$B$15)</f>
        <v>0.0831788330852057</v>
      </c>
      <c r="T206" s="8" t="n">
        <f aca="false">Assumptions!$B$19*H206+(1-Assumptions!$B$19)*N206</f>
        <v>0.125171313426134</v>
      </c>
      <c r="U206" s="8" t="n">
        <f aca="false">Assumptions!$B$20*I206+(1-Assumptions!$B$20)*O206</f>
        <v>0.166891644468644</v>
      </c>
      <c r="V206" s="8" t="n">
        <f aca="false">Assumptions!$B$21*J206+(1-Assumptions!$B$21)*P206</f>
        <v>0.0794282753890303</v>
      </c>
      <c r="W206" s="8" t="n">
        <f aca="false">Assumptions!$B$22*K206+(1-Assumptions!$B$22)*Q206</f>
        <v>-0.31128206120596</v>
      </c>
      <c r="X206" s="8" t="n">
        <f aca="false">Assumptions!$B$23*L206+(1-Assumptions!$B$23)*R206</f>
        <v>0.175551672074646</v>
      </c>
      <c r="Y206" s="8" t="n">
        <f aca="false">Assumptions!$B$24*M206+(1-Assumptions!$B$24)*S206</f>
        <v>-0.116401362892645</v>
      </c>
      <c r="Z206" s="6" t="n">
        <f aca="false">Assumptions!$B$27*(1+T206)</f>
        <v>337551.39402784</v>
      </c>
      <c r="AA206" s="6" t="n">
        <f aca="false">(Z206+Assumptions!$B$28)*(1+U206)</f>
        <v>568919.647940126</v>
      </c>
      <c r="AB206" s="6" t="n">
        <f aca="false">AA206*(1+V206)</f>
        <v>614107.954410945</v>
      </c>
      <c r="AC206" s="6" t="n">
        <f aca="false">AB206*(1+W206)</f>
        <v>422947.16455893</v>
      </c>
      <c r="AD206" s="6" t="n">
        <f aca="false">AC206*(1+X206)</f>
        <v>497196.24649648</v>
      </c>
      <c r="AE206" s="6" t="n">
        <f aca="false">AD206*(1+Y206)</f>
        <v>439321.925779183</v>
      </c>
      <c r="AF206" s="6" t="n">
        <f aca="false">Z206</f>
        <v>337551.39402784</v>
      </c>
      <c r="AG206" s="6" t="n">
        <f aca="false">MAX(AF206,AA206)</f>
        <v>568919.647940126</v>
      </c>
      <c r="AH206" s="6" t="n">
        <f aca="false">MAX(AG206,AB206)</f>
        <v>614107.954410945</v>
      </c>
      <c r="AI206" s="6" t="n">
        <f aca="false">MAX(AH206,AC206)</f>
        <v>614107.954410945</v>
      </c>
      <c r="AJ206" s="6" t="n">
        <f aca="false">MAX(AI206,AD206)</f>
        <v>614107.954410945</v>
      </c>
      <c r="AK206" s="6" t="n">
        <f aca="false">MAX(AJ206,AE206)</f>
        <v>614107.954410945</v>
      </c>
      <c r="AL206" s="8" t="n">
        <f aca="false">MIN(Z206/AF206-1,AA206/AG206-1,AB206/AH206-1,AC206/AI206-1,AD206/AJ206-1,AE206/AK206-1)</f>
        <v>-0.31128206120596</v>
      </c>
      <c r="AM206" s="6" t="n">
        <f aca="false">AE206-Assumptions!$B$35</f>
        <v>-1942.07088332088</v>
      </c>
    </row>
    <row r="207" customFormat="false" ht="15" hidden="false" customHeight="false" outlineLevel="0" collapsed="false">
      <c r="A207" s="0" t="n">
        <f aca="false">ROW()-1</f>
        <v>206</v>
      </c>
      <c r="B207" s="0" t="str">
        <f aca="true">IF(RAND()&lt;Assumptions!$B$11,"Bull","Bear")</f>
        <v>Bear</v>
      </c>
      <c r="C207" s="0" t="str">
        <f aca="true">IF(B207="Bull",IF(RAND()&lt;Assumptions!$B$7,"Bull","Bear"),IF(RAND()&lt;Assumptions!$B$10,"Bear","Bull"))</f>
        <v>Bull</v>
      </c>
      <c r="D207" s="0" t="str">
        <f aca="true">IF(C207="Bull",IF(RAND()&lt;Assumptions!$B$7,"Bull","Bear"),IF(RAND()&lt;Assumptions!$B$10,"Bear","Bull"))</f>
        <v>Bull</v>
      </c>
      <c r="E207" s="0" t="str">
        <f aca="true">IF(D207="Bull",IF(RAND()&lt;Assumptions!$B$7,"Bull","Bear"),IF(RAND()&lt;Assumptions!$B$10,"Bear","Bull"))</f>
        <v>Bull</v>
      </c>
      <c r="F207" s="0" t="str">
        <f aca="true">IF(E207="Bull",IF(RAND()&lt;Assumptions!$B$7,"Bull","Bear"),IF(RAND()&lt;Assumptions!$B$10,"Bear","Bull"))</f>
        <v>Bull</v>
      </c>
      <c r="G207" s="0" t="str">
        <f aca="true">IF(F207="Bull",IF(RAND()&lt;Assumptions!$B$7,"Bull","Bear"),IF(RAND()&lt;Assumptions!$B$10,"Bear","Bull"))</f>
        <v>Bear</v>
      </c>
      <c r="H207" s="8" t="n">
        <f aca="true">IF(B207="Bull",NORMINV(RAND(),Assumptions!$B$5,Assumptions!$B$6),NORMINV(RAND(),Assumptions!$B$8,Assumptions!$B$9))</f>
        <v>-0.179608969352749</v>
      </c>
      <c r="I207" s="8" t="n">
        <f aca="true">IF(C207="Bull",NORMINV(RAND(),Assumptions!$B$5,Assumptions!$B$6),NORMINV(RAND(),Assumptions!$B$8,Assumptions!$B$9))</f>
        <v>0.152319571964929</v>
      </c>
      <c r="J207" s="8" t="n">
        <f aca="true">IF(D207="Bull",NORMINV(RAND(),Assumptions!$B$5,Assumptions!$B$6),NORMINV(RAND(),Assumptions!$B$8,Assumptions!$B$9))</f>
        <v>0.313509662229557</v>
      </c>
      <c r="K207" s="8" t="n">
        <f aca="true">IF(E207="Bull",NORMINV(RAND(),Assumptions!$B$5,Assumptions!$B$6),NORMINV(RAND(),Assumptions!$B$8,Assumptions!$B$9))</f>
        <v>0.0758040598984623</v>
      </c>
      <c r="L207" s="8" t="n">
        <f aca="true">IF(F207="Bull",NORMINV(RAND(),Assumptions!$B$5,Assumptions!$B$6),NORMINV(RAND(),Assumptions!$B$8,Assumptions!$B$9))</f>
        <v>0.127097733966484</v>
      </c>
      <c r="M207" s="8" t="n">
        <f aca="true">IF(G207="Bull",NORMINV(RAND(),Assumptions!$B$5,Assumptions!$B$6),NORMINV(RAND(),Assumptions!$B$8,Assumptions!$B$9))</f>
        <v>-0.0595018073014121</v>
      </c>
      <c r="N207" s="8" t="n">
        <f aca="true">NORMINV(RAND(),Assumptions!$B$14,Assumptions!$B$15)</f>
        <v>0.0645934824384883</v>
      </c>
      <c r="O207" s="8" t="n">
        <f aca="true">NORMINV(RAND(),Assumptions!$B$14,Assumptions!$B$15)</f>
        <v>0.0631527829834064</v>
      </c>
      <c r="P207" s="8" t="n">
        <f aca="true">NORMINV(RAND(),Assumptions!$B$14,Assumptions!$B$15)</f>
        <v>0.0235901176156487</v>
      </c>
      <c r="Q207" s="8" t="n">
        <f aca="true">NORMINV(RAND(),Assumptions!$B$14,Assumptions!$B$15)</f>
        <v>0.08242268904874</v>
      </c>
      <c r="R207" s="8" t="n">
        <f aca="true">NORMINV(RAND(),Assumptions!$B$14,Assumptions!$B$15)</f>
        <v>0.0403424052823266</v>
      </c>
      <c r="S207" s="8" t="n">
        <f aca="true">NORMINV(RAND(),Assumptions!$B$14,Assumptions!$B$15)</f>
        <v>0.0778194792446786</v>
      </c>
      <c r="T207" s="8" t="n">
        <f aca="false">Assumptions!$B$19*H207+(1-Assumptions!$B$19)*N207</f>
        <v>-0.179608969352749</v>
      </c>
      <c r="U207" s="8" t="n">
        <f aca="false">Assumptions!$B$20*I207+(1-Assumptions!$B$20)*O207</f>
        <v>0.152319571964929</v>
      </c>
      <c r="V207" s="8" t="n">
        <f aca="false">Assumptions!$B$21*J207+(1-Assumptions!$B$21)*P207</f>
        <v>0.313509662229557</v>
      </c>
      <c r="W207" s="8" t="n">
        <f aca="false">Assumptions!$B$22*K207+(1-Assumptions!$B$22)*Q207</f>
        <v>0.0758040598984623</v>
      </c>
      <c r="X207" s="8" t="n">
        <f aca="false">Assumptions!$B$23*L207+(1-Assumptions!$B$23)*R207</f>
        <v>0.109746668229653</v>
      </c>
      <c r="Y207" s="8" t="n">
        <f aca="false">Assumptions!$B$24*M207+(1-Assumptions!$B$24)*S207</f>
        <v>-0.00457329268297581</v>
      </c>
      <c r="Z207" s="6" t="n">
        <f aca="false">Assumptions!$B$27*(1+T207)</f>
        <v>246117.309194175</v>
      </c>
      <c r="AA207" s="6" t="n">
        <f aca="false">(Z207+Assumptions!$B$28)*(1+U207)</f>
        <v>456453.728178532</v>
      </c>
      <c r="AB207" s="6" t="n">
        <f aca="false">AA207*(1+V207)</f>
        <v>599556.382323205</v>
      </c>
      <c r="AC207" s="6" t="n">
        <f aca="false">AB207*(1+W207)</f>
        <v>645005.190241339</v>
      </c>
      <c r="AD207" s="6" t="n">
        <f aca="false">AC207*(1+X207)</f>
        <v>715792.360861159</v>
      </c>
      <c r="AE207" s="6" t="n">
        <f aca="false">AD207*(1+Y207)</f>
        <v>712518.832894703</v>
      </c>
      <c r="AF207" s="6" t="n">
        <f aca="false">Z207</f>
        <v>246117.309194175</v>
      </c>
      <c r="AG207" s="6" t="n">
        <f aca="false">MAX(AF207,AA207)</f>
        <v>456453.728178532</v>
      </c>
      <c r="AH207" s="6" t="n">
        <f aca="false">MAX(AG207,AB207)</f>
        <v>599556.382323205</v>
      </c>
      <c r="AI207" s="6" t="n">
        <f aca="false">MAX(AH207,AC207)</f>
        <v>645005.190241339</v>
      </c>
      <c r="AJ207" s="6" t="n">
        <f aca="false">MAX(AI207,AD207)</f>
        <v>715792.360861159</v>
      </c>
      <c r="AK207" s="6" t="n">
        <f aca="false">MAX(AJ207,AE207)</f>
        <v>715792.360861159</v>
      </c>
      <c r="AL207" s="8" t="n">
        <f aca="false">MIN(Z207/AF207-1,AA207/AG207-1,AB207/AH207-1,AC207/AI207-1,AD207/AJ207-1,AE207/AK207-1)</f>
        <v>-0.00457329268297568</v>
      </c>
      <c r="AM207" s="6" t="n">
        <f aca="false">AE207-Assumptions!$B$35</f>
        <v>271254.836232199</v>
      </c>
    </row>
    <row r="208" customFormat="false" ht="15" hidden="false" customHeight="false" outlineLevel="0" collapsed="false">
      <c r="A208" s="0" t="n">
        <f aca="false">ROW()-1</f>
        <v>207</v>
      </c>
      <c r="B208" s="0" t="str">
        <f aca="true">IF(RAND()&lt;Assumptions!$B$11,"Bull","Bear")</f>
        <v>Bear</v>
      </c>
      <c r="C208" s="0" t="str">
        <f aca="true">IF(B208="Bull",IF(RAND()&lt;Assumptions!$B$7,"Bull","Bear"),IF(RAND()&lt;Assumptions!$B$10,"Bear","Bull"))</f>
        <v>Bear</v>
      </c>
      <c r="D208" s="0" t="str">
        <f aca="true">IF(C208="Bull",IF(RAND()&lt;Assumptions!$B$7,"Bull","Bear"),IF(RAND()&lt;Assumptions!$B$10,"Bear","Bull"))</f>
        <v>Bear</v>
      </c>
      <c r="E208" s="0" t="str">
        <f aca="true">IF(D208="Bull",IF(RAND()&lt;Assumptions!$B$7,"Bull","Bear"),IF(RAND()&lt;Assumptions!$B$10,"Bear","Bull"))</f>
        <v>Bull</v>
      </c>
      <c r="F208" s="0" t="str">
        <f aca="true">IF(E208="Bull",IF(RAND()&lt;Assumptions!$B$7,"Bull","Bear"),IF(RAND()&lt;Assumptions!$B$10,"Bear","Bull"))</f>
        <v>Bull</v>
      </c>
      <c r="G208" s="0" t="str">
        <f aca="true">IF(F208="Bull",IF(RAND()&lt;Assumptions!$B$7,"Bull","Bear"),IF(RAND()&lt;Assumptions!$B$10,"Bear","Bull"))</f>
        <v>Bear</v>
      </c>
      <c r="H208" s="8" t="n">
        <f aca="true">IF(B208="Bull",NORMINV(RAND(),Assumptions!$B$5,Assumptions!$B$6),NORMINV(RAND(),Assumptions!$B$8,Assumptions!$B$9))</f>
        <v>0.0846939049159067</v>
      </c>
      <c r="I208" s="8" t="n">
        <f aca="true">IF(C208="Bull",NORMINV(RAND(),Assumptions!$B$5,Assumptions!$B$6),NORMINV(RAND(),Assumptions!$B$8,Assumptions!$B$9))</f>
        <v>-0.357816763776012</v>
      </c>
      <c r="J208" s="8" t="n">
        <f aca="true">IF(D208="Bull",NORMINV(RAND(),Assumptions!$B$5,Assumptions!$B$6),NORMINV(RAND(),Assumptions!$B$8,Assumptions!$B$9))</f>
        <v>0.114945003124028</v>
      </c>
      <c r="K208" s="8" t="n">
        <f aca="true">IF(E208="Bull",NORMINV(RAND(),Assumptions!$B$5,Assumptions!$B$6),NORMINV(RAND(),Assumptions!$B$8,Assumptions!$B$9))</f>
        <v>0.0526045738500346</v>
      </c>
      <c r="L208" s="8" t="n">
        <f aca="true">IF(F208="Bull",NORMINV(RAND(),Assumptions!$B$5,Assumptions!$B$6),NORMINV(RAND(),Assumptions!$B$8,Assumptions!$B$9))</f>
        <v>0.154226171588172</v>
      </c>
      <c r="M208" s="8" t="n">
        <f aca="true">IF(G208="Bull",NORMINV(RAND(),Assumptions!$B$5,Assumptions!$B$6),NORMINV(RAND(),Assumptions!$B$8,Assumptions!$B$9))</f>
        <v>-0.0119458464259434</v>
      </c>
      <c r="N208" s="8" t="n">
        <f aca="true">NORMINV(RAND(),Assumptions!$B$14,Assumptions!$B$15)</f>
        <v>0.0281030094661682</v>
      </c>
      <c r="O208" s="8" t="n">
        <f aca="true">NORMINV(RAND(),Assumptions!$B$14,Assumptions!$B$15)</f>
        <v>0.0507365089412124</v>
      </c>
      <c r="P208" s="8" t="n">
        <f aca="true">NORMINV(RAND(),Assumptions!$B$14,Assumptions!$B$15)</f>
        <v>-0.00162645604214467</v>
      </c>
      <c r="Q208" s="8" t="n">
        <f aca="true">NORMINV(RAND(),Assumptions!$B$14,Assumptions!$B$15)</f>
        <v>0.0541218851734214</v>
      </c>
      <c r="R208" s="8" t="n">
        <f aca="true">NORMINV(RAND(),Assumptions!$B$14,Assumptions!$B$15)</f>
        <v>0.0480559955776687</v>
      </c>
      <c r="S208" s="8" t="n">
        <f aca="true">NORMINV(RAND(),Assumptions!$B$14,Assumptions!$B$15)</f>
        <v>0.0500099611562575</v>
      </c>
      <c r="T208" s="8" t="n">
        <f aca="false">Assumptions!$B$19*H208+(1-Assumptions!$B$19)*N208</f>
        <v>0.0846939049159067</v>
      </c>
      <c r="U208" s="8" t="n">
        <f aca="false">Assumptions!$B$20*I208+(1-Assumptions!$B$20)*O208</f>
        <v>-0.357816763776012</v>
      </c>
      <c r="V208" s="8" t="n">
        <f aca="false">Assumptions!$B$21*J208+(1-Assumptions!$B$21)*P208</f>
        <v>0.114945003124028</v>
      </c>
      <c r="W208" s="8" t="n">
        <f aca="false">Assumptions!$B$22*K208+(1-Assumptions!$B$22)*Q208</f>
        <v>0.0526045738500346</v>
      </c>
      <c r="X208" s="8" t="n">
        <f aca="false">Assumptions!$B$23*L208+(1-Assumptions!$B$23)*R208</f>
        <v>0.132992136386071</v>
      </c>
      <c r="Y208" s="8" t="n">
        <f aca="false">Assumptions!$B$24*M208+(1-Assumptions!$B$24)*S208</f>
        <v>0.0128364766069369</v>
      </c>
      <c r="Z208" s="6" t="n">
        <f aca="false">Assumptions!$B$27*(1+T208)</f>
        <v>325408.171474772</v>
      </c>
      <c r="AA208" s="6" t="n">
        <f aca="false">(Z208+Assumptions!$B$28)*(1+U208)</f>
        <v>305299.158084998</v>
      </c>
      <c r="AB208" s="6" t="n">
        <f aca="false">AA208*(1+V208)</f>
        <v>340391.770764841</v>
      </c>
      <c r="AC208" s="6" t="n">
        <f aca="false">AB208*(1+W208)</f>
        <v>358297.934807984</v>
      </c>
      <c r="AD208" s="6" t="n">
        <f aca="false">AC208*(1+X208)</f>
        <v>405948.742620815</v>
      </c>
      <c r="AE208" s="6" t="n">
        <f aca="false">AD208*(1+Y208)</f>
        <v>411159.694159082</v>
      </c>
      <c r="AF208" s="6" t="n">
        <f aca="false">Z208</f>
        <v>325408.171474772</v>
      </c>
      <c r="AG208" s="6" t="n">
        <f aca="false">MAX(AF208,AA208)</f>
        <v>325408.171474772</v>
      </c>
      <c r="AH208" s="6" t="n">
        <f aca="false">MAX(AG208,AB208)</f>
        <v>340391.770764841</v>
      </c>
      <c r="AI208" s="6" t="n">
        <f aca="false">MAX(AH208,AC208)</f>
        <v>358297.934807984</v>
      </c>
      <c r="AJ208" s="6" t="n">
        <f aca="false">MAX(AI208,AD208)</f>
        <v>405948.742620815</v>
      </c>
      <c r="AK208" s="6" t="n">
        <f aca="false">MAX(AJ208,AE208)</f>
        <v>411159.694159082</v>
      </c>
      <c r="AL208" s="8" t="n">
        <f aca="false">MIN(Z208/AF208-1,AA208/AG208-1,AB208/AH208-1,AC208/AI208-1,AD208/AJ208-1,AE208/AK208-1)</f>
        <v>-0.0617962766535306</v>
      </c>
      <c r="AM208" s="6" t="n">
        <f aca="false">AE208-Assumptions!$B$35</f>
        <v>-30104.3025034212</v>
      </c>
    </row>
    <row r="209" customFormat="false" ht="15" hidden="false" customHeight="false" outlineLevel="0" collapsed="false">
      <c r="A209" s="0" t="n">
        <f aca="false">ROW()-1</f>
        <v>208</v>
      </c>
      <c r="B209" s="0" t="str">
        <f aca="true">IF(RAND()&lt;Assumptions!$B$11,"Bull","Bear")</f>
        <v>Bull</v>
      </c>
      <c r="C209" s="0" t="str">
        <f aca="true">IF(B209="Bull",IF(RAND()&lt;Assumptions!$B$7,"Bull","Bear"),IF(RAND()&lt;Assumptions!$B$10,"Bear","Bull"))</f>
        <v>Bull</v>
      </c>
      <c r="D209" s="0" t="str">
        <f aca="true">IF(C209="Bull",IF(RAND()&lt;Assumptions!$B$7,"Bull","Bear"),IF(RAND()&lt;Assumptions!$B$10,"Bear","Bull"))</f>
        <v>Bull</v>
      </c>
      <c r="E209" s="0" t="str">
        <f aca="true">IF(D209="Bull",IF(RAND()&lt;Assumptions!$B$7,"Bull","Bear"),IF(RAND()&lt;Assumptions!$B$10,"Bear","Bull"))</f>
        <v>Bear</v>
      </c>
      <c r="F209" s="0" t="str">
        <f aca="true">IF(E209="Bull",IF(RAND()&lt;Assumptions!$B$7,"Bull","Bear"),IF(RAND()&lt;Assumptions!$B$10,"Bear","Bull"))</f>
        <v>Bear</v>
      </c>
      <c r="G209" s="0" t="str">
        <f aca="true">IF(F209="Bull",IF(RAND()&lt;Assumptions!$B$7,"Bull","Bear"),IF(RAND()&lt;Assumptions!$B$10,"Bear","Bull"))</f>
        <v>Bull</v>
      </c>
      <c r="H209" s="8" t="n">
        <f aca="true">IF(B209="Bull",NORMINV(RAND(),Assumptions!$B$5,Assumptions!$B$6),NORMINV(RAND(),Assumptions!$B$8,Assumptions!$B$9))</f>
        <v>0.25955170720257</v>
      </c>
      <c r="I209" s="8" t="n">
        <f aca="true">IF(C209="Bull",NORMINV(RAND(),Assumptions!$B$5,Assumptions!$B$6),NORMINV(RAND(),Assumptions!$B$8,Assumptions!$B$9))</f>
        <v>0.067314513367843</v>
      </c>
      <c r="J209" s="8" t="n">
        <f aca="true">IF(D209="Bull",NORMINV(RAND(),Assumptions!$B$5,Assumptions!$B$6),NORMINV(RAND(),Assumptions!$B$8,Assumptions!$B$9))</f>
        <v>0.123847912435953</v>
      </c>
      <c r="K209" s="8" t="n">
        <f aca="true">IF(E209="Bull",NORMINV(RAND(),Assumptions!$B$5,Assumptions!$B$6),NORMINV(RAND(),Assumptions!$B$8,Assumptions!$B$9))</f>
        <v>-0.145146714657624</v>
      </c>
      <c r="L209" s="8" t="n">
        <f aca="true">IF(F209="Bull",NORMINV(RAND(),Assumptions!$B$5,Assumptions!$B$6),NORMINV(RAND(),Assumptions!$B$8,Assumptions!$B$9))</f>
        <v>-0.10615563011134</v>
      </c>
      <c r="M209" s="8" t="n">
        <f aca="true">IF(G209="Bull",NORMINV(RAND(),Assumptions!$B$5,Assumptions!$B$6),NORMINV(RAND(),Assumptions!$B$8,Assumptions!$B$9))</f>
        <v>0.136952037182472</v>
      </c>
      <c r="N209" s="8" t="n">
        <f aca="true">NORMINV(RAND(),Assumptions!$B$14,Assumptions!$B$15)</f>
        <v>0.0832019708328379</v>
      </c>
      <c r="O209" s="8" t="n">
        <f aca="true">NORMINV(RAND(),Assumptions!$B$14,Assumptions!$B$15)</f>
        <v>0.11092702943868</v>
      </c>
      <c r="P209" s="8" t="n">
        <f aca="true">NORMINV(RAND(),Assumptions!$B$14,Assumptions!$B$15)</f>
        <v>0.038534209627901</v>
      </c>
      <c r="Q209" s="8" t="n">
        <f aca="true">NORMINV(RAND(),Assumptions!$B$14,Assumptions!$B$15)</f>
        <v>0.0450790811362589</v>
      </c>
      <c r="R209" s="8" t="n">
        <f aca="true">NORMINV(RAND(),Assumptions!$B$14,Assumptions!$B$15)</f>
        <v>0.013871305466856</v>
      </c>
      <c r="S209" s="8" t="n">
        <f aca="true">NORMINV(RAND(),Assumptions!$B$14,Assumptions!$B$15)</f>
        <v>0.136119677792055</v>
      </c>
      <c r="T209" s="8" t="n">
        <f aca="false">Assumptions!$B$19*H209+(1-Assumptions!$B$19)*N209</f>
        <v>0.25955170720257</v>
      </c>
      <c r="U209" s="8" t="n">
        <f aca="false">Assumptions!$B$20*I209+(1-Assumptions!$B$20)*O209</f>
        <v>0.067314513367843</v>
      </c>
      <c r="V209" s="8" t="n">
        <f aca="false">Assumptions!$B$21*J209+(1-Assumptions!$B$21)*P209</f>
        <v>0.123847912435953</v>
      </c>
      <c r="W209" s="8" t="n">
        <f aca="false">Assumptions!$B$22*K209+(1-Assumptions!$B$22)*Q209</f>
        <v>-0.145146714657624</v>
      </c>
      <c r="X209" s="8" t="n">
        <f aca="false">Assumptions!$B$23*L209+(1-Assumptions!$B$23)*R209</f>
        <v>-0.0821502429957011</v>
      </c>
      <c r="Y209" s="8" t="n">
        <f aca="false">Assumptions!$B$24*M209+(1-Assumptions!$B$24)*S209</f>
        <v>0.136619093426305</v>
      </c>
      <c r="Z209" s="6" t="n">
        <f aca="false">Assumptions!$B$27*(1+T209)</f>
        <v>377865.512160771</v>
      </c>
      <c r="AA209" s="6" t="n">
        <f aca="false">(Z209+Assumptions!$B$28)*(1+U209)</f>
        <v>563398.522235541</v>
      </c>
      <c r="AB209" s="6" t="n">
        <f aca="false">AA209*(1+V209)</f>
        <v>633174.253083913</v>
      </c>
      <c r="AC209" s="6" t="n">
        <f aca="false">AB209*(1+W209)</f>
        <v>541271.090442988</v>
      </c>
      <c r="AD209" s="6" t="n">
        <f aca="false">AC209*(1+X209)</f>
        <v>496805.538836549</v>
      </c>
      <c r="AE209" s="6" t="n">
        <f aca="false">AD209*(1+Y209)</f>
        <v>564678.661161565</v>
      </c>
      <c r="AF209" s="6" t="n">
        <f aca="false">Z209</f>
        <v>377865.512160771</v>
      </c>
      <c r="AG209" s="6" t="n">
        <f aca="false">MAX(AF209,AA209)</f>
        <v>563398.522235541</v>
      </c>
      <c r="AH209" s="6" t="n">
        <f aca="false">MAX(AG209,AB209)</f>
        <v>633174.253083913</v>
      </c>
      <c r="AI209" s="6" t="n">
        <f aca="false">MAX(AH209,AC209)</f>
        <v>633174.253083913</v>
      </c>
      <c r="AJ209" s="6" t="n">
        <f aca="false">MAX(AI209,AD209)</f>
        <v>633174.253083913</v>
      </c>
      <c r="AK209" s="6" t="n">
        <f aca="false">MAX(AJ209,AE209)</f>
        <v>633174.253083913</v>
      </c>
      <c r="AL209" s="8" t="n">
        <f aca="false">MIN(Z209/AF209-1,AA209/AG209-1,AB209/AH209-1,AC209/AI209-1,AD209/AJ209-1,AE209/AK209-1)</f>
        <v>-0.215373119774173</v>
      </c>
      <c r="AM209" s="6" t="n">
        <f aca="false">AE209-Assumptions!$B$35</f>
        <v>123414.664499061</v>
      </c>
    </row>
    <row r="210" customFormat="false" ht="15" hidden="false" customHeight="false" outlineLevel="0" collapsed="false">
      <c r="A210" s="0" t="n">
        <f aca="false">ROW()-1</f>
        <v>209</v>
      </c>
      <c r="B210" s="0" t="str">
        <f aca="true">IF(RAND()&lt;Assumptions!$B$11,"Bull","Bear")</f>
        <v>Bull</v>
      </c>
      <c r="C210" s="0" t="str">
        <f aca="true">IF(B210="Bull",IF(RAND()&lt;Assumptions!$B$7,"Bull","Bear"),IF(RAND()&lt;Assumptions!$B$10,"Bear","Bull"))</f>
        <v>Bull</v>
      </c>
      <c r="D210" s="0" t="str">
        <f aca="true">IF(C210="Bull",IF(RAND()&lt;Assumptions!$B$7,"Bull","Bear"),IF(RAND()&lt;Assumptions!$B$10,"Bear","Bull"))</f>
        <v>Bull</v>
      </c>
      <c r="E210" s="0" t="str">
        <f aca="true">IF(D210="Bull",IF(RAND()&lt;Assumptions!$B$7,"Bull","Bear"),IF(RAND()&lt;Assumptions!$B$10,"Bear","Bull"))</f>
        <v>Bear</v>
      </c>
      <c r="F210" s="0" t="str">
        <f aca="true">IF(E210="Bull",IF(RAND()&lt;Assumptions!$B$7,"Bull","Bear"),IF(RAND()&lt;Assumptions!$B$10,"Bear","Bull"))</f>
        <v>Bear</v>
      </c>
      <c r="G210" s="0" t="str">
        <f aca="true">IF(F210="Bull",IF(RAND()&lt;Assumptions!$B$7,"Bull","Bear"),IF(RAND()&lt;Assumptions!$B$10,"Bear","Bull"))</f>
        <v>Bear</v>
      </c>
      <c r="H210" s="8" t="n">
        <f aca="true">IF(B210="Bull",NORMINV(RAND(),Assumptions!$B$5,Assumptions!$B$6),NORMINV(RAND(),Assumptions!$B$8,Assumptions!$B$9))</f>
        <v>0.253867094374998</v>
      </c>
      <c r="I210" s="8" t="n">
        <f aca="true">IF(C210="Bull",NORMINV(RAND(),Assumptions!$B$5,Assumptions!$B$6),NORMINV(RAND(),Assumptions!$B$8,Assumptions!$B$9))</f>
        <v>0.12277853678133</v>
      </c>
      <c r="J210" s="8" t="n">
        <f aca="true">IF(D210="Bull",NORMINV(RAND(),Assumptions!$B$5,Assumptions!$B$6),NORMINV(RAND(),Assumptions!$B$8,Assumptions!$B$9))</f>
        <v>0.241289024348149</v>
      </c>
      <c r="K210" s="8" t="n">
        <f aca="true">IF(E210="Bull",NORMINV(RAND(),Assumptions!$B$5,Assumptions!$B$6),NORMINV(RAND(),Assumptions!$B$8,Assumptions!$B$9))</f>
        <v>-0.290651052304793</v>
      </c>
      <c r="L210" s="8" t="n">
        <f aca="true">IF(F210="Bull",NORMINV(RAND(),Assumptions!$B$5,Assumptions!$B$6),NORMINV(RAND(),Assumptions!$B$8,Assumptions!$B$9))</f>
        <v>-0.184099623698643</v>
      </c>
      <c r="M210" s="8" t="n">
        <f aca="true">IF(G210="Bull",NORMINV(RAND(),Assumptions!$B$5,Assumptions!$B$6),NORMINV(RAND(),Assumptions!$B$8,Assumptions!$B$9))</f>
        <v>-0.0646844717407845</v>
      </c>
      <c r="N210" s="8" t="n">
        <f aca="true">NORMINV(RAND(),Assumptions!$B$14,Assumptions!$B$15)</f>
        <v>0.0627895113576572</v>
      </c>
      <c r="O210" s="8" t="n">
        <f aca="true">NORMINV(RAND(),Assumptions!$B$14,Assumptions!$B$15)</f>
        <v>0.0282378569188014</v>
      </c>
      <c r="P210" s="8" t="n">
        <f aca="true">NORMINV(RAND(),Assumptions!$B$14,Assumptions!$B$15)</f>
        <v>0.0482190884019244</v>
      </c>
      <c r="Q210" s="8" t="n">
        <f aca="true">NORMINV(RAND(),Assumptions!$B$14,Assumptions!$B$15)</f>
        <v>0.00968538365491547</v>
      </c>
      <c r="R210" s="8" t="n">
        <f aca="true">NORMINV(RAND(),Assumptions!$B$14,Assumptions!$B$15)</f>
        <v>0.0750312621638108</v>
      </c>
      <c r="S210" s="8" t="n">
        <f aca="true">NORMINV(RAND(),Assumptions!$B$14,Assumptions!$B$15)</f>
        <v>0.0529908122216683</v>
      </c>
      <c r="T210" s="8" t="n">
        <f aca="false">Assumptions!$B$19*H210+(1-Assumptions!$B$19)*N210</f>
        <v>0.253867094374998</v>
      </c>
      <c r="U210" s="8" t="n">
        <f aca="false">Assumptions!$B$20*I210+(1-Assumptions!$B$20)*O210</f>
        <v>0.12277853678133</v>
      </c>
      <c r="V210" s="8" t="n">
        <f aca="false">Assumptions!$B$21*J210+(1-Assumptions!$B$21)*P210</f>
        <v>0.241289024348149</v>
      </c>
      <c r="W210" s="8" t="n">
        <f aca="false">Assumptions!$B$22*K210+(1-Assumptions!$B$22)*Q210</f>
        <v>-0.290651052304793</v>
      </c>
      <c r="X210" s="8" t="n">
        <f aca="false">Assumptions!$B$23*L210+(1-Assumptions!$B$23)*R210</f>
        <v>-0.132273446526152</v>
      </c>
      <c r="Y210" s="8" t="n">
        <f aca="false">Assumptions!$B$24*M210+(1-Assumptions!$B$24)*S210</f>
        <v>-0.0176143581558034</v>
      </c>
      <c r="Z210" s="6" t="n">
        <f aca="false">Assumptions!$B$27*(1+T210)</f>
        <v>376160.128312499</v>
      </c>
      <c r="AA210" s="6" t="n">
        <f aca="false">(Z210+Assumptions!$B$28)*(1+U210)</f>
        <v>590761.298979385</v>
      </c>
      <c r="AB210" s="6" t="n">
        <f aca="false">AA210*(1+V210)</f>
        <v>733305.516432766</v>
      </c>
      <c r="AC210" s="6" t="n">
        <f aca="false">AB210*(1+W210)</f>
        <v>520169.496420673</v>
      </c>
      <c r="AD210" s="6" t="n">
        <f aca="false">AC210*(1+X210)</f>
        <v>451364.884351338</v>
      </c>
      <c r="AE210" s="6" t="n">
        <f aca="false">AD210*(1+Y210)</f>
        <v>443414.381619421</v>
      </c>
      <c r="AF210" s="6" t="n">
        <f aca="false">Z210</f>
        <v>376160.128312499</v>
      </c>
      <c r="AG210" s="6" t="n">
        <f aca="false">MAX(AF210,AA210)</f>
        <v>590761.298979385</v>
      </c>
      <c r="AH210" s="6" t="n">
        <f aca="false">MAX(AG210,AB210)</f>
        <v>733305.516432766</v>
      </c>
      <c r="AI210" s="6" t="n">
        <f aca="false">MAX(AH210,AC210)</f>
        <v>733305.516432766</v>
      </c>
      <c r="AJ210" s="6" t="n">
        <f aca="false">MAX(AI210,AD210)</f>
        <v>733305.516432766</v>
      </c>
      <c r="AK210" s="6" t="n">
        <f aca="false">MAX(AJ210,AE210)</f>
        <v>733305.516432766</v>
      </c>
      <c r="AL210" s="8" t="n">
        <f aca="false">MIN(Z210/AF210-1,AA210/AG210-1,AB210/AH210-1,AC210/AI210-1,AD210/AJ210-1,AE210/AK210-1)</f>
        <v>-0.395321088301024</v>
      </c>
      <c r="AM210" s="6" t="n">
        <f aca="false">AE210-Assumptions!$B$35</f>
        <v>2150.38495691709</v>
      </c>
    </row>
    <row r="211" customFormat="false" ht="15" hidden="false" customHeight="false" outlineLevel="0" collapsed="false">
      <c r="A211" s="0" t="n">
        <f aca="false">ROW()-1</f>
        <v>210</v>
      </c>
      <c r="B211" s="0" t="str">
        <f aca="true">IF(RAND()&lt;Assumptions!$B$11,"Bull","Bear")</f>
        <v>Bull</v>
      </c>
      <c r="C211" s="0" t="str">
        <f aca="true">IF(B211="Bull",IF(RAND()&lt;Assumptions!$B$7,"Bull","Bear"),IF(RAND()&lt;Assumptions!$B$10,"Bear","Bull"))</f>
        <v>Bull</v>
      </c>
      <c r="D211" s="0" t="str">
        <f aca="true">IF(C211="Bull",IF(RAND()&lt;Assumptions!$B$7,"Bull","Bear"),IF(RAND()&lt;Assumptions!$B$10,"Bear","Bull"))</f>
        <v>Bull</v>
      </c>
      <c r="E211" s="0" t="str">
        <f aca="true">IF(D211="Bull",IF(RAND()&lt;Assumptions!$B$7,"Bull","Bear"),IF(RAND()&lt;Assumptions!$B$10,"Bear","Bull"))</f>
        <v>Bull</v>
      </c>
      <c r="F211" s="0" t="str">
        <f aca="true">IF(E211="Bull",IF(RAND()&lt;Assumptions!$B$7,"Bull","Bear"),IF(RAND()&lt;Assumptions!$B$10,"Bear","Bull"))</f>
        <v>Bull</v>
      </c>
      <c r="G211" s="0" t="str">
        <f aca="true">IF(F211="Bull",IF(RAND()&lt;Assumptions!$B$7,"Bull","Bear"),IF(RAND()&lt;Assumptions!$B$10,"Bear","Bull"))</f>
        <v>Bull</v>
      </c>
      <c r="H211" s="8" t="n">
        <f aca="true">IF(B211="Bull",NORMINV(RAND(),Assumptions!$B$5,Assumptions!$B$6),NORMINV(RAND(),Assumptions!$B$8,Assumptions!$B$9))</f>
        <v>0.207844265474072</v>
      </c>
      <c r="I211" s="8" t="n">
        <f aca="true">IF(C211="Bull",NORMINV(RAND(),Assumptions!$B$5,Assumptions!$B$6),NORMINV(RAND(),Assumptions!$B$8,Assumptions!$B$9))</f>
        <v>0.191118091640772</v>
      </c>
      <c r="J211" s="8" t="n">
        <f aca="true">IF(D211="Bull",NORMINV(RAND(),Assumptions!$B$5,Assumptions!$B$6),NORMINV(RAND(),Assumptions!$B$8,Assumptions!$B$9))</f>
        <v>0.0469573763290628</v>
      </c>
      <c r="K211" s="8" t="n">
        <f aca="true">IF(E211="Bull",NORMINV(RAND(),Assumptions!$B$5,Assumptions!$B$6),NORMINV(RAND(),Assumptions!$B$8,Assumptions!$B$9))</f>
        <v>0.107416685382855</v>
      </c>
      <c r="L211" s="8" t="n">
        <f aca="true">IF(F211="Bull",NORMINV(RAND(),Assumptions!$B$5,Assumptions!$B$6),NORMINV(RAND(),Assumptions!$B$8,Assumptions!$B$9))</f>
        <v>-0.0545731236548011</v>
      </c>
      <c r="M211" s="8" t="n">
        <f aca="true">IF(G211="Bull",NORMINV(RAND(),Assumptions!$B$5,Assumptions!$B$6),NORMINV(RAND(),Assumptions!$B$8,Assumptions!$B$9))</f>
        <v>0.145761698036155</v>
      </c>
      <c r="N211" s="8" t="n">
        <f aca="true">NORMINV(RAND(),Assumptions!$B$14,Assumptions!$B$15)</f>
        <v>-0.0275351988635968</v>
      </c>
      <c r="O211" s="8" t="n">
        <f aca="true">NORMINV(RAND(),Assumptions!$B$14,Assumptions!$B$15)</f>
        <v>0.0436310442757485</v>
      </c>
      <c r="P211" s="8" t="n">
        <f aca="true">NORMINV(RAND(),Assumptions!$B$14,Assumptions!$B$15)</f>
        <v>0.0850013663557673</v>
      </c>
      <c r="Q211" s="8" t="n">
        <f aca="true">NORMINV(RAND(),Assumptions!$B$14,Assumptions!$B$15)</f>
        <v>-0.00333753346670642</v>
      </c>
      <c r="R211" s="8" t="n">
        <f aca="true">NORMINV(RAND(),Assumptions!$B$14,Assumptions!$B$15)</f>
        <v>0.0487467140892161</v>
      </c>
      <c r="S211" s="8" t="n">
        <f aca="true">NORMINV(RAND(),Assumptions!$B$14,Assumptions!$B$15)</f>
        <v>0.0782623514510273</v>
      </c>
      <c r="T211" s="8" t="n">
        <f aca="false">Assumptions!$B$19*H211+(1-Assumptions!$B$19)*N211</f>
        <v>0.207844265474072</v>
      </c>
      <c r="U211" s="8" t="n">
        <f aca="false">Assumptions!$B$20*I211+(1-Assumptions!$B$20)*O211</f>
        <v>0.191118091640772</v>
      </c>
      <c r="V211" s="8" t="n">
        <f aca="false">Assumptions!$B$21*J211+(1-Assumptions!$B$21)*P211</f>
        <v>0.0469573763290628</v>
      </c>
      <c r="W211" s="8" t="n">
        <f aca="false">Assumptions!$B$22*K211+(1-Assumptions!$B$22)*Q211</f>
        <v>0.107416685382855</v>
      </c>
      <c r="X211" s="8" t="n">
        <f aca="false">Assumptions!$B$23*L211+(1-Assumptions!$B$23)*R211</f>
        <v>-0.0339091561059976</v>
      </c>
      <c r="Y211" s="8" t="n">
        <f aca="false">Assumptions!$B$24*M211+(1-Assumptions!$B$24)*S211</f>
        <v>0.118761959402104</v>
      </c>
      <c r="Z211" s="6" t="n">
        <f aca="false">Assumptions!$B$27*(1+T211)</f>
        <v>362353.279642221</v>
      </c>
      <c r="AA211" s="6" t="n">
        <f aca="false">(Z211+Assumptions!$B$28)*(1+U211)</f>
        <v>610273.260693334</v>
      </c>
      <c r="AB211" s="6" t="n">
        <f aca="false">AA211*(1+V211)</f>
        <v>638930.091859275</v>
      </c>
      <c r="AC211" s="6" t="n">
        <f aca="false">AB211*(1+W211)</f>
        <v>707561.844518161</v>
      </c>
      <c r="AD211" s="6" t="n">
        <f aca="false">AC211*(1+X211)</f>
        <v>683569.019477747</v>
      </c>
      <c r="AE211" s="6" t="n">
        <f aca="false">AD211*(1+Y211)</f>
        <v>764751.015617499</v>
      </c>
      <c r="AF211" s="6" t="n">
        <f aca="false">Z211</f>
        <v>362353.279642221</v>
      </c>
      <c r="AG211" s="6" t="n">
        <f aca="false">MAX(AF211,AA211)</f>
        <v>610273.260693334</v>
      </c>
      <c r="AH211" s="6" t="n">
        <f aca="false">MAX(AG211,AB211)</f>
        <v>638930.091859275</v>
      </c>
      <c r="AI211" s="6" t="n">
        <f aca="false">MAX(AH211,AC211)</f>
        <v>707561.844518161</v>
      </c>
      <c r="AJ211" s="6" t="n">
        <f aca="false">MAX(AI211,AD211)</f>
        <v>707561.844518161</v>
      </c>
      <c r="AK211" s="6" t="n">
        <f aca="false">MAX(AJ211,AE211)</f>
        <v>764751.015617499</v>
      </c>
      <c r="AL211" s="8" t="n">
        <f aca="false">MIN(Z211/AF211-1,AA211/AG211-1,AB211/AH211-1,AC211/AI211-1,AD211/AJ211-1,AE211/AK211-1)</f>
        <v>-0.0339091561059978</v>
      </c>
      <c r="AM211" s="6" t="n">
        <f aca="false">AE211-Assumptions!$B$35</f>
        <v>323487.018954995</v>
      </c>
    </row>
    <row r="212" customFormat="false" ht="15" hidden="false" customHeight="false" outlineLevel="0" collapsed="false">
      <c r="A212" s="0" t="n">
        <f aca="false">ROW()-1</f>
        <v>211</v>
      </c>
      <c r="B212" s="0" t="str">
        <f aca="true">IF(RAND()&lt;Assumptions!$B$11,"Bull","Bear")</f>
        <v>Bull</v>
      </c>
      <c r="C212" s="0" t="str">
        <f aca="true">IF(B212="Bull",IF(RAND()&lt;Assumptions!$B$7,"Bull","Bear"),IF(RAND()&lt;Assumptions!$B$10,"Bear","Bull"))</f>
        <v>Bull</v>
      </c>
      <c r="D212" s="0" t="str">
        <f aca="true">IF(C212="Bull",IF(RAND()&lt;Assumptions!$B$7,"Bull","Bear"),IF(RAND()&lt;Assumptions!$B$10,"Bear","Bull"))</f>
        <v>Bull</v>
      </c>
      <c r="E212" s="0" t="str">
        <f aca="true">IF(D212="Bull",IF(RAND()&lt;Assumptions!$B$7,"Bull","Bear"),IF(RAND()&lt;Assumptions!$B$10,"Bear","Bull"))</f>
        <v>Bear</v>
      </c>
      <c r="F212" s="0" t="str">
        <f aca="true">IF(E212="Bull",IF(RAND()&lt;Assumptions!$B$7,"Bull","Bear"),IF(RAND()&lt;Assumptions!$B$10,"Bear","Bull"))</f>
        <v>Bull</v>
      </c>
      <c r="G212" s="0" t="str">
        <f aca="true">IF(F212="Bull",IF(RAND()&lt;Assumptions!$B$7,"Bull","Bear"),IF(RAND()&lt;Assumptions!$B$10,"Bear","Bull"))</f>
        <v>Bull</v>
      </c>
      <c r="H212" s="8" t="n">
        <f aca="true">IF(B212="Bull",NORMINV(RAND(),Assumptions!$B$5,Assumptions!$B$6),NORMINV(RAND(),Assumptions!$B$8,Assumptions!$B$9))</f>
        <v>0.351034616984811</v>
      </c>
      <c r="I212" s="8" t="n">
        <f aca="true">IF(C212="Bull",NORMINV(RAND(),Assumptions!$B$5,Assumptions!$B$6),NORMINV(RAND(),Assumptions!$B$8,Assumptions!$B$9))</f>
        <v>0.172385478901487</v>
      </c>
      <c r="J212" s="8" t="n">
        <f aca="true">IF(D212="Bull",NORMINV(RAND(),Assumptions!$B$5,Assumptions!$B$6),NORMINV(RAND(),Assumptions!$B$8,Assumptions!$B$9))</f>
        <v>0.293101672586774</v>
      </c>
      <c r="K212" s="8" t="n">
        <f aca="true">IF(E212="Bull",NORMINV(RAND(),Assumptions!$B$5,Assumptions!$B$6),NORMINV(RAND(),Assumptions!$B$8,Assumptions!$B$9))</f>
        <v>0.165230470636203</v>
      </c>
      <c r="L212" s="8" t="n">
        <f aca="true">IF(F212="Bull",NORMINV(RAND(),Assumptions!$B$5,Assumptions!$B$6),NORMINV(RAND(),Assumptions!$B$8,Assumptions!$B$9))</f>
        <v>0.250102595852332</v>
      </c>
      <c r="M212" s="8" t="n">
        <f aca="true">IF(G212="Bull",NORMINV(RAND(),Assumptions!$B$5,Assumptions!$B$6),NORMINV(RAND(),Assumptions!$B$8,Assumptions!$B$9))</f>
        <v>0.14303388246947</v>
      </c>
      <c r="N212" s="8" t="n">
        <f aca="true">NORMINV(RAND(),Assumptions!$B$14,Assumptions!$B$15)</f>
        <v>0.0314586773513135</v>
      </c>
      <c r="O212" s="8" t="n">
        <f aca="true">NORMINV(RAND(),Assumptions!$B$14,Assumptions!$B$15)</f>
        <v>0.0274002979271901</v>
      </c>
      <c r="P212" s="8" t="n">
        <f aca="true">NORMINV(RAND(),Assumptions!$B$14,Assumptions!$B$15)</f>
        <v>0.0792013347426826</v>
      </c>
      <c r="Q212" s="8" t="n">
        <f aca="true">NORMINV(RAND(),Assumptions!$B$14,Assumptions!$B$15)</f>
        <v>-0.0384960952508965</v>
      </c>
      <c r="R212" s="8" t="n">
        <f aca="true">NORMINV(RAND(),Assumptions!$B$14,Assumptions!$B$15)</f>
        <v>0.051281037343263</v>
      </c>
      <c r="S212" s="8" t="n">
        <f aca="true">NORMINV(RAND(),Assumptions!$B$14,Assumptions!$B$15)</f>
        <v>0.00308790310682895</v>
      </c>
      <c r="T212" s="8" t="n">
        <f aca="false">Assumptions!$B$19*H212+(1-Assumptions!$B$19)*N212</f>
        <v>0.351034616984811</v>
      </c>
      <c r="U212" s="8" t="n">
        <f aca="false">Assumptions!$B$20*I212+(1-Assumptions!$B$20)*O212</f>
        <v>0.172385478901487</v>
      </c>
      <c r="V212" s="8" t="n">
        <f aca="false">Assumptions!$B$21*J212+(1-Assumptions!$B$21)*P212</f>
        <v>0.293101672586774</v>
      </c>
      <c r="W212" s="8" t="n">
        <f aca="false">Assumptions!$B$22*K212+(1-Assumptions!$B$22)*Q212</f>
        <v>0.165230470636203</v>
      </c>
      <c r="X212" s="8" t="n">
        <f aca="false">Assumptions!$B$23*L212+(1-Assumptions!$B$23)*R212</f>
        <v>0.210338284150518</v>
      </c>
      <c r="Y212" s="8" t="n">
        <f aca="false">Assumptions!$B$24*M212+(1-Assumptions!$B$24)*S212</f>
        <v>0.0870554907244133</v>
      </c>
      <c r="Z212" s="6" t="n">
        <f aca="false">Assumptions!$B$27*(1+T212)</f>
        <v>405310.385095443</v>
      </c>
      <c r="AA212" s="6" t="n">
        <f aca="false">(Z212+Assumptions!$B$28)*(1+U212)</f>
        <v>651037.831769091</v>
      </c>
      <c r="AB212" s="6" t="n">
        <f aca="false">AA212*(1+V212)</f>
        <v>841858.109177878</v>
      </c>
      <c r="AC212" s="6" t="n">
        <f aca="false">AB212*(1+W212)</f>
        <v>980958.720766242</v>
      </c>
      <c r="AD212" s="6" t="n">
        <f aca="false">AC212*(1+X212)</f>
        <v>1187291.8949147</v>
      </c>
      <c r="AE212" s="6" t="n">
        <f aca="false">AD212*(1+Y212)</f>
        <v>1290652.17345962</v>
      </c>
      <c r="AF212" s="6" t="n">
        <f aca="false">Z212</f>
        <v>405310.385095443</v>
      </c>
      <c r="AG212" s="6" t="n">
        <f aca="false">MAX(AF212,AA212)</f>
        <v>651037.831769091</v>
      </c>
      <c r="AH212" s="6" t="n">
        <f aca="false">MAX(AG212,AB212)</f>
        <v>841858.109177878</v>
      </c>
      <c r="AI212" s="6" t="n">
        <f aca="false">MAX(AH212,AC212)</f>
        <v>980958.720766242</v>
      </c>
      <c r="AJ212" s="6" t="n">
        <f aca="false">MAX(AI212,AD212)</f>
        <v>1187291.8949147</v>
      </c>
      <c r="AK212" s="6" t="n">
        <f aca="false">MAX(AJ212,AE212)</f>
        <v>1290652.17345962</v>
      </c>
      <c r="AL212" s="8" t="n">
        <f aca="false">MIN(Z212/AF212-1,AA212/AG212-1,AB212/AH212-1,AC212/AI212-1,AD212/AJ212-1,AE212/AK212-1)</f>
        <v>0</v>
      </c>
      <c r="AM212" s="6" t="n">
        <f aca="false">AE212-Assumptions!$B$35</f>
        <v>849388.176797115</v>
      </c>
    </row>
    <row r="213" customFormat="false" ht="15" hidden="false" customHeight="false" outlineLevel="0" collapsed="false">
      <c r="A213" s="0" t="n">
        <f aca="false">ROW()-1</f>
        <v>212</v>
      </c>
      <c r="B213" s="0" t="str">
        <f aca="true">IF(RAND()&lt;Assumptions!$B$11,"Bull","Bear")</f>
        <v>Bull</v>
      </c>
      <c r="C213" s="0" t="str">
        <f aca="true">IF(B213="Bull",IF(RAND()&lt;Assumptions!$B$7,"Bull","Bear"),IF(RAND()&lt;Assumptions!$B$10,"Bear","Bull"))</f>
        <v>Bull</v>
      </c>
      <c r="D213" s="0" t="str">
        <f aca="true">IF(C213="Bull",IF(RAND()&lt;Assumptions!$B$7,"Bull","Bear"),IF(RAND()&lt;Assumptions!$B$10,"Bear","Bull"))</f>
        <v>Bull</v>
      </c>
      <c r="E213" s="0" t="str">
        <f aca="true">IF(D213="Bull",IF(RAND()&lt;Assumptions!$B$7,"Bull","Bear"),IF(RAND()&lt;Assumptions!$B$10,"Bear","Bull"))</f>
        <v>Bear</v>
      </c>
      <c r="F213" s="0" t="str">
        <f aca="true">IF(E213="Bull",IF(RAND()&lt;Assumptions!$B$7,"Bull","Bear"),IF(RAND()&lt;Assumptions!$B$10,"Bear","Bull"))</f>
        <v>Bull</v>
      </c>
      <c r="G213" s="0" t="str">
        <f aca="true">IF(F213="Bull",IF(RAND()&lt;Assumptions!$B$7,"Bull","Bear"),IF(RAND()&lt;Assumptions!$B$10,"Bear","Bull"))</f>
        <v>Bull</v>
      </c>
      <c r="H213" s="8" t="n">
        <f aca="true">IF(B213="Bull",NORMINV(RAND(),Assumptions!$B$5,Assumptions!$B$6),NORMINV(RAND(),Assumptions!$B$8,Assumptions!$B$9))</f>
        <v>0.300926236324532</v>
      </c>
      <c r="I213" s="8" t="n">
        <f aca="true">IF(C213="Bull",NORMINV(RAND(),Assumptions!$B$5,Assumptions!$B$6),NORMINV(RAND(),Assumptions!$B$8,Assumptions!$B$9))</f>
        <v>0.200863053217667</v>
      </c>
      <c r="J213" s="8" t="n">
        <f aca="true">IF(D213="Bull",NORMINV(RAND(),Assumptions!$B$5,Assumptions!$B$6),NORMINV(RAND(),Assumptions!$B$8,Assumptions!$B$9))</f>
        <v>0.158312696412735</v>
      </c>
      <c r="K213" s="8" t="n">
        <f aca="true">IF(E213="Bull",NORMINV(RAND(),Assumptions!$B$5,Assumptions!$B$6),NORMINV(RAND(),Assumptions!$B$8,Assumptions!$B$9))</f>
        <v>-0.0244809103747862</v>
      </c>
      <c r="L213" s="8" t="n">
        <f aca="true">IF(F213="Bull",NORMINV(RAND(),Assumptions!$B$5,Assumptions!$B$6),NORMINV(RAND(),Assumptions!$B$8,Assumptions!$B$9))</f>
        <v>0.161800859188346</v>
      </c>
      <c r="M213" s="8" t="n">
        <f aca="true">IF(G213="Bull",NORMINV(RAND(),Assumptions!$B$5,Assumptions!$B$6),NORMINV(RAND(),Assumptions!$B$8,Assumptions!$B$9))</f>
        <v>0.166568804480305</v>
      </c>
      <c r="N213" s="8" t="n">
        <f aca="true">NORMINV(RAND(),Assumptions!$B$14,Assumptions!$B$15)</f>
        <v>0.0512085031704164</v>
      </c>
      <c r="O213" s="8" t="n">
        <f aca="true">NORMINV(RAND(),Assumptions!$B$14,Assumptions!$B$15)</f>
        <v>0.0437014139464271</v>
      </c>
      <c r="P213" s="8" t="n">
        <f aca="true">NORMINV(RAND(),Assumptions!$B$14,Assumptions!$B$15)</f>
        <v>-0.00321296764103136</v>
      </c>
      <c r="Q213" s="8" t="n">
        <f aca="true">NORMINV(RAND(),Assumptions!$B$14,Assumptions!$B$15)</f>
        <v>0.0506738912722678</v>
      </c>
      <c r="R213" s="8" t="n">
        <f aca="true">NORMINV(RAND(),Assumptions!$B$14,Assumptions!$B$15)</f>
        <v>0.0253000939910502</v>
      </c>
      <c r="S213" s="8" t="n">
        <f aca="true">NORMINV(RAND(),Assumptions!$B$14,Assumptions!$B$15)</f>
        <v>0.0233185815666729</v>
      </c>
      <c r="T213" s="8" t="n">
        <f aca="false">Assumptions!$B$19*H213+(1-Assumptions!$B$19)*N213</f>
        <v>0.300926236324532</v>
      </c>
      <c r="U213" s="8" t="n">
        <f aca="false">Assumptions!$B$20*I213+(1-Assumptions!$B$20)*O213</f>
        <v>0.200863053217667</v>
      </c>
      <c r="V213" s="8" t="n">
        <f aca="false">Assumptions!$B$21*J213+(1-Assumptions!$B$21)*P213</f>
        <v>0.158312696412735</v>
      </c>
      <c r="W213" s="8" t="n">
        <f aca="false">Assumptions!$B$22*K213+(1-Assumptions!$B$22)*Q213</f>
        <v>-0.0244809103747862</v>
      </c>
      <c r="X213" s="8" t="n">
        <f aca="false">Assumptions!$B$23*L213+(1-Assumptions!$B$23)*R213</f>
        <v>0.134500706148887</v>
      </c>
      <c r="Y213" s="8" t="n">
        <f aca="false">Assumptions!$B$24*M213+(1-Assumptions!$B$24)*S213</f>
        <v>0.109268715314852</v>
      </c>
      <c r="Z213" s="6" t="n">
        <f aca="false">Assumptions!$B$27*(1+T213)</f>
        <v>390277.870897359</v>
      </c>
      <c r="AA213" s="6" t="n">
        <f aca="false">(Z213+Assumptions!$B$28)*(1+U213)</f>
        <v>648799.733631744</v>
      </c>
      <c r="AB213" s="6" t="n">
        <f aca="false">AA213*(1+V213)</f>
        <v>751512.968894849</v>
      </c>
      <c r="AC213" s="6" t="n">
        <f aca="false">AB213*(1+W213)</f>
        <v>733115.247257845</v>
      </c>
      <c r="AD213" s="6" t="n">
        <f aca="false">AC213*(1+X213)</f>
        <v>831719.765702541</v>
      </c>
      <c r="AE213" s="6" t="n">
        <f aca="false">AD213*(1+Y213)</f>
        <v>922600.716002827</v>
      </c>
      <c r="AF213" s="6" t="n">
        <f aca="false">Z213</f>
        <v>390277.870897359</v>
      </c>
      <c r="AG213" s="6" t="n">
        <f aca="false">MAX(AF213,AA213)</f>
        <v>648799.733631744</v>
      </c>
      <c r="AH213" s="6" t="n">
        <f aca="false">MAX(AG213,AB213)</f>
        <v>751512.968894849</v>
      </c>
      <c r="AI213" s="6" t="n">
        <f aca="false">MAX(AH213,AC213)</f>
        <v>751512.968894849</v>
      </c>
      <c r="AJ213" s="6" t="n">
        <f aca="false">MAX(AI213,AD213)</f>
        <v>831719.765702541</v>
      </c>
      <c r="AK213" s="6" t="n">
        <f aca="false">MAX(AJ213,AE213)</f>
        <v>922600.716002827</v>
      </c>
      <c r="AL213" s="8" t="n">
        <f aca="false">MIN(Z213/AF213-1,AA213/AG213-1,AB213/AH213-1,AC213/AI213-1,AD213/AJ213-1,AE213/AK213-1)</f>
        <v>-0.0244809103747864</v>
      </c>
      <c r="AM213" s="6" t="n">
        <f aca="false">AE213-Assumptions!$B$35</f>
        <v>481336.719340324</v>
      </c>
    </row>
    <row r="214" customFormat="false" ht="15" hidden="false" customHeight="false" outlineLevel="0" collapsed="false">
      <c r="A214" s="0" t="n">
        <f aca="false">ROW()-1</f>
        <v>213</v>
      </c>
      <c r="B214" s="0" t="str">
        <f aca="true">IF(RAND()&lt;Assumptions!$B$11,"Bull","Bear")</f>
        <v>Bull</v>
      </c>
      <c r="C214" s="0" t="str">
        <f aca="true">IF(B214="Bull",IF(RAND()&lt;Assumptions!$B$7,"Bull","Bear"),IF(RAND()&lt;Assumptions!$B$10,"Bear","Bull"))</f>
        <v>Bull</v>
      </c>
      <c r="D214" s="0" t="str">
        <f aca="true">IF(C214="Bull",IF(RAND()&lt;Assumptions!$B$7,"Bull","Bear"),IF(RAND()&lt;Assumptions!$B$10,"Bear","Bull"))</f>
        <v>Bull</v>
      </c>
      <c r="E214" s="0" t="str">
        <f aca="true">IF(D214="Bull",IF(RAND()&lt;Assumptions!$B$7,"Bull","Bear"),IF(RAND()&lt;Assumptions!$B$10,"Bear","Bull"))</f>
        <v>Bull</v>
      </c>
      <c r="F214" s="0" t="str">
        <f aca="true">IF(E214="Bull",IF(RAND()&lt;Assumptions!$B$7,"Bull","Bear"),IF(RAND()&lt;Assumptions!$B$10,"Bear","Bull"))</f>
        <v>Bull</v>
      </c>
      <c r="G214" s="0" t="str">
        <f aca="true">IF(F214="Bull",IF(RAND()&lt;Assumptions!$B$7,"Bull","Bear"),IF(RAND()&lt;Assumptions!$B$10,"Bear","Bull"))</f>
        <v>Bull</v>
      </c>
      <c r="H214" s="8" t="n">
        <f aca="true">IF(B214="Bull",NORMINV(RAND(),Assumptions!$B$5,Assumptions!$B$6),NORMINV(RAND(),Assumptions!$B$8,Assumptions!$B$9))</f>
        <v>0.401666668765398</v>
      </c>
      <c r="I214" s="8" t="n">
        <f aca="true">IF(C214="Bull",NORMINV(RAND(),Assumptions!$B$5,Assumptions!$B$6),NORMINV(RAND(),Assumptions!$B$8,Assumptions!$B$9))</f>
        <v>0.3014118118543</v>
      </c>
      <c r="J214" s="8" t="n">
        <f aca="true">IF(D214="Bull",NORMINV(RAND(),Assumptions!$B$5,Assumptions!$B$6),NORMINV(RAND(),Assumptions!$B$8,Assumptions!$B$9))</f>
        <v>0.153429119024458</v>
      </c>
      <c r="K214" s="8" t="n">
        <f aca="true">IF(E214="Bull",NORMINV(RAND(),Assumptions!$B$5,Assumptions!$B$6),NORMINV(RAND(),Assumptions!$B$8,Assumptions!$B$9))</f>
        <v>0.0175830725136739</v>
      </c>
      <c r="L214" s="8" t="n">
        <f aca="true">IF(F214="Bull",NORMINV(RAND(),Assumptions!$B$5,Assumptions!$B$6),NORMINV(RAND(),Assumptions!$B$8,Assumptions!$B$9))</f>
        <v>0.1116195691174</v>
      </c>
      <c r="M214" s="8" t="n">
        <f aca="true">IF(G214="Bull",NORMINV(RAND(),Assumptions!$B$5,Assumptions!$B$6),NORMINV(RAND(),Assumptions!$B$8,Assumptions!$B$9))</f>
        <v>0.211944482889776</v>
      </c>
      <c r="N214" s="8" t="n">
        <f aca="true">NORMINV(RAND(),Assumptions!$B$14,Assumptions!$B$15)</f>
        <v>0.0554371410983411</v>
      </c>
      <c r="O214" s="8" t="n">
        <f aca="true">NORMINV(RAND(),Assumptions!$B$14,Assumptions!$B$15)</f>
        <v>0.0360150874339867</v>
      </c>
      <c r="P214" s="8" t="n">
        <f aca="true">NORMINV(RAND(),Assumptions!$B$14,Assumptions!$B$15)</f>
        <v>0.01523159482227</v>
      </c>
      <c r="Q214" s="8" t="n">
        <f aca="true">NORMINV(RAND(),Assumptions!$B$14,Assumptions!$B$15)</f>
        <v>0.0426329256443892</v>
      </c>
      <c r="R214" s="8" t="n">
        <f aca="true">NORMINV(RAND(),Assumptions!$B$14,Assumptions!$B$15)</f>
        <v>0.110143222006315</v>
      </c>
      <c r="S214" s="8" t="n">
        <f aca="true">NORMINV(RAND(),Assumptions!$B$14,Assumptions!$B$15)</f>
        <v>0.0653294833891523</v>
      </c>
      <c r="T214" s="8" t="n">
        <f aca="false">Assumptions!$B$19*H214+(1-Assumptions!$B$19)*N214</f>
        <v>0.401666668765398</v>
      </c>
      <c r="U214" s="8" t="n">
        <f aca="false">Assumptions!$B$20*I214+(1-Assumptions!$B$20)*O214</f>
        <v>0.3014118118543</v>
      </c>
      <c r="V214" s="8" t="n">
        <f aca="false">Assumptions!$B$21*J214+(1-Assumptions!$B$21)*P214</f>
        <v>0.153429119024458</v>
      </c>
      <c r="W214" s="8" t="n">
        <f aca="false">Assumptions!$B$22*K214+(1-Assumptions!$B$22)*Q214</f>
        <v>0.0175830725136739</v>
      </c>
      <c r="X214" s="8" t="n">
        <f aca="false">Assumptions!$B$23*L214+(1-Assumptions!$B$23)*R214</f>
        <v>0.111324299695183</v>
      </c>
      <c r="Y214" s="8" t="n">
        <f aca="false">Assumptions!$B$24*M214+(1-Assumptions!$B$24)*S214</f>
        <v>0.153298483089526</v>
      </c>
      <c r="Z214" s="6" t="n">
        <f aca="false">Assumptions!$B$27*(1+T214)</f>
        <v>420500.000629619</v>
      </c>
      <c r="AA214" s="6" t="n">
        <f aca="false">(Z214+Assumptions!$B$28)*(1+U214)</f>
        <v>742455.439482272</v>
      </c>
      <c r="AB214" s="6" t="n">
        <f aca="false">AA214*(1+V214)</f>
        <v>856369.723476954</v>
      </c>
      <c r="AC214" s="6" t="n">
        <f aca="false">AB214*(1+W214)</f>
        <v>871427.334423364</v>
      </c>
      <c r="AD214" s="6" t="n">
        <f aca="false">AC214*(1+X214)</f>
        <v>968438.372163285</v>
      </c>
      <c r="AE214" s="6" t="n">
        <f aca="false">AD214*(1+Y214)</f>
        <v>1116898.50558161</v>
      </c>
      <c r="AF214" s="6" t="n">
        <f aca="false">Z214</f>
        <v>420500.000629619</v>
      </c>
      <c r="AG214" s="6" t="n">
        <f aca="false">MAX(AF214,AA214)</f>
        <v>742455.439482272</v>
      </c>
      <c r="AH214" s="6" t="n">
        <f aca="false">MAX(AG214,AB214)</f>
        <v>856369.723476954</v>
      </c>
      <c r="AI214" s="6" t="n">
        <f aca="false">MAX(AH214,AC214)</f>
        <v>871427.334423364</v>
      </c>
      <c r="AJ214" s="6" t="n">
        <f aca="false">MAX(AI214,AD214)</f>
        <v>968438.372163285</v>
      </c>
      <c r="AK214" s="6" t="n">
        <f aca="false">MAX(AJ214,AE214)</f>
        <v>1116898.50558161</v>
      </c>
      <c r="AL214" s="8" t="n">
        <f aca="false">MIN(Z214/AF214-1,AA214/AG214-1,AB214/AH214-1,AC214/AI214-1,AD214/AJ214-1,AE214/AK214-1)</f>
        <v>0</v>
      </c>
      <c r="AM214" s="6" t="n">
        <f aca="false">AE214-Assumptions!$B$35</f>
        <v>675634.508919104</v>
      </c>
    </row>
    <row r="215" customFormat="false" ht="15" hidden="false" customHeight="false" outlineLevel="0" collapsed="false">
      <c r="A215" s="0" t="n">
        <f aca="false">ROW()-1</f>
        <v>214</v>
      </c>
      <c r="B215" s="0" t="str">
        <f aca="true">IF(RAND()&lt;Assumptions!$B$11,"Bull","Bear")</f>
        <v>Bear</v>
      </c>
      <c r="C215" s="0" t="str">
        <f aca="true">IF(B215="Bull",IF(RAND()&lt;Assumptions!$B$7,"Bull","Bear"),IF(RAND()&lt;Assumptions!$B$10,"Bear","Bull"))</f>
        <v>Bull</v>
      </c>
      <c r="D215" s="0" t="str">
        <f aca="true">IF(C215="Bull",IF(RAND()&lt;Assumptions!$B$7,"Bull","Bear"),IF(RAND()&lt;Assumptions!$B$10,"Bear","Bull"))</f>
        <v>Bull</v>
      </c>
      <c r="E215" s="0" t="str">
        <f aca="true">IF(D215="Bull",IF(RAND()&lt;Assumptions!$B$7,"Bull","Bear"),IF(RAND()&lt;Assumptions!$B$10,"Bear","Bull"))</f>
        <v>Bull</v>
      </c>
      <c r="F215" s="0" t="str">
        <f aca="true">IF(E215="Bull",IF(RAND()&lt;Assumptions!$B$7,"Bull","Bear"),IF(RAND()&lt;Assumptions!$B$10,"Bear","Bull"))</f>
        <v>Bull</v>
      </c>
      <c r="G215" s="0" t="str">
        <f aca="true">IF(F215="Bull",IF(RAND()&lt;Assumptions!$B$7,"Bull","Bear"),IF(RAND()&lt;Assumptions!$B$10,"Bear","Bull"))</f>
        <v>Bull</v>
      </c>
      <c r="H215" s="8" t="n">
        <f aca="true">IF(B215="Bull",NORMINV(RAND(),Assumptions!$B$5,Assumptions!$B$6),NORMINV(RAND(),Assumptions!$B$8,Assumptions!$B$9))</f>
        <v>-0.140413584584802</v>
      </c>
      <c r="I215" s="8" t="n">
        <f aca="true">IF(C215="Bull",NORMINV(RAND(),Assumptions!$B$5,Assumptions!$B$6),NORMINV(RAND(),Assumptions!$B$8,Assumptions!$B$9))</f>
        <v>0.0458113789578078</v>
      </c>
      <c r="J215" s="8" t="n">
        <f aca="true">IF(D215="Bull",NORMINV(RAND(),Assumptions!$B$5,Assumptions!$B$6),NORMINV(RAND(),Assumptions!$B$8,Assumptions!$B$9))</f>
        <v>0.152595155924563</v>
      </c>
      <c r="K215" s="8" t="n">
        <f aca="true">IF(E215="Bull",NORMINV(RAND(),Assumptions!$B$5,Assumptions!$B$6),NORMINV(RAND(),Assumptions!$B$8,Assumptions!$B$9))</f>
        <v>0.0275830708198995</v>
      </c>
      <c r="L215" s="8" t="n">
        <f aca="true">IF(F215="Bull",NORMINV(RAND(),Assumptions!$B$5,Assumptions!$B$6),NORMINV(RAND(),Assumptions!$B$8,Assumptions!$B$9))</f>
        <v>0.191090713478949</v>
      </c>
      <c r="M215" s="8" t="n">
        <f aca="true">IF(G215="Bull",NORMINV(RAND(),Assumptions!$B$5,Assumptions!$B$6),NORMINV(RAND(),Assumptions!$B$8,Assumptions!$B$9))</f>
        <v>0.253060879522218</v>
      </c>
      <c r="N215" s="8" t="n">
        <f aca="true">NORMINV(RAND(),Assumptions!$B$14,Assumptions!$B$15)</f>
        <v>0.00541723245724623</v>
      </c>
      <c r="O215" s="8" t="n">
        <f aca="true">NORMINV(RAND(),Assumptions!$B$14,Assumptions!$B$15)</f>
        <v>0.112703790141165</v>
      </c>
      <c r="P215" s="8" t="n">
        <f aca="true">NORMINV(RAND(),Assumptions!$B$14,Assumptions!$B$15)</f>
        <v>0.0195748759074115</v>
      </c>
      <c r="Q215" s="8" t="n">
        <f aca="true">NORMINV(RAND(),Assumptions!$B$14,Assumptions!$B$15)</f>
        <v>0.0449875617523872</v>
      </c>
      <c r="R215" s="8" t="n">
        <f aca="true">NORMINV(RAND(),Assumptions!$B$14,Assumptions!$B$15)</f>
        <v>0.0545249331905693</v>
      </c>
      <c r="S215" s="8" t="n">
        <f aca="true">NORMINV(RAND(),Assumptions!$B$14,Assumptions!$B$15)</f>
        <v>0.071608044058614</v>
      </c>
      <c r="T215" s="8" t="n">
        <f aca="false">Assumptions!$B$19*H215+(1-Assumptions!$B$19)*N215</f>
        <v>-0.140413584584802</v>
      </c>
      <c r="U215" s="8" t="n">
        <f aca="false">Assumptions!$B$20*I215+(1-Assumptions!$B$20)*O215</f>
        <v>0.0458113789578078</v>
      </c>
      <c r="V215" s="8" t="n">
        <f aca="false">Assumptions!$B$21*J215+(1-Assumptions!$B$21)*P215</f>
        <v>0.152595155924563</v>
      </c>
      <c r="W215" s="8" t="n">
        <f aca="false">Assumptions!$B$22*K215+(1-Assumptions!$B$22)*Q215</f>
        <v>0.0275830708198995</v>
      </c>
      <c r="X215" s="8" t="n">
        <f aca="false">Assumptions!$B$23*L215+(1-Assumptions!$B$23)*R215</f>
        <v>0.163777557421273</v>
      </c>
      <c r="Y215" s="8" t="n">
        <f aca="false">Assumptions!$B$24*M215+(1-Assumptions!$B$24)*S215</f>
        <v>0.180479745336776</v>
      </c>
      <c r="Z215" s="6" t="n">
        <f aca="false">Assumptions!$B$27*(1+T215)</f>
        <v>257875.92462456</v>
      </c>
      <c r="AA215" s="6" t="n">
        <f aca="false">(Z215+Assumptions!$B$28)*(1+U215)</f>
        <v>426561.283175302</v>
      </c>
      <c r="AB215" s="6" t="n">
        <f aca="false">AA215*(1+V215)</f>
        <v>491652.468692818</v>
      </c>
      <c r="AC215" s="6" t="n">
        <f aca="false">AB215*(1+W215)</f>
        <v>505213.753555551</v>
      </c>
      <c r="AD215" s="6" t="n">
        <f aca="false">AC215*(1+X215)</f>
        <v>587956.428088512</v>
      </c>
      <c r="AE215" s="6" t="n">
        <f aca="false">AD215*(1+Y215)</f>
        <v>694070.654499047</v>
      </c>
      <c r="AF215" s="6" t="n">
        <f aca="false">Z215</f>
        <v>257875.92462456</v>
      </c>
      <c r="AG215" s="6" t="n">
        <f aca="false">MAX(AF215,AA215)</f>
        <v>426561.283175302</v>
      </c>
      <c r="AH215" s="6" t="n">
        <f aca="false">MAX(AG215,AB215)</f>
        <v>491652.468692818</v>
      </c>
      <c r="AI215" s="6" t="n">
        <f aca="false">MAX(AH215,AC215)</f>
        <v>505213.753555551</v>
      </c>
      <c r="AJ215" s="6" t="n">
        <f aca="false">MAX(AI215,AD215)</f>
        <v>587956.428088512</v>
      </c>
      <c r="AK215" s="6" t="n">
        <f aca="false">MAX(AJ215,AE215)</f>
        <v>694070.654499047</v>
      </c>
      <c r="AL215" s="8" t="n">
        <f aca="false">MIN(Z215/AF215-1,AA215/AG215-1,AB215/AH215-1,AC215/AI215-1,AD215/AJ215-1,AE215/AK215-1)</f>
        <v>0</v>
      </c>
      <c r="AM215" s="6" t="n">
        <f aca="false">AE215-Assumptions!$B$35</f>
        <v>252806.657836543</v>
      </c>
    </row>
    <row r="216" customFormat="false" ht="15" hidden="false" customHeight="false" outlineLevel="0" collapsed="false">
      <c r="A216" s="0" t="n">
        <f aca="false">ROW()-1</f>
        <v>215</v>
      </c>
      <c r="B216" s="0" t="str">
        <f aca="true">IF(RAND()&lt;Assumptions!$B$11,"Bull","Bear")</f>
        <v>Bear</v>
      </c>
      <c r="C216" s="0" t="str">
        <f aca="true">IF(B216="Bull",IF(RAND()&lt;Assumptions!$B$7,"Bull","Bear"),IF(RAND()&lt;Assumptions!$B$10,"Bear","Bull"))</f>
        <v>Bull</v>
      </c>
      <c r="D216" s="0" t="str">
        <f aca="true">IF(C216="Bull",IF(RAND()&lt;Assumptions!$B$7,"Bull","Bear"),IF(RAND()&lt;Assumptions!$B$10,"Bear","Bull"))</f>
        <v>Bull</v>
      </c>
      <c r="E216" s="0" t="str">
        <f aca="true">IF(D216="Bull",IF(RAND()&lt;Assumptions!$B$7,"Bull","Bear"),IF(RAND()&lt;Assumptions!$B$10,"Bear","Bull"))</f>
        <v>Bull</v>
      </c>
      <c r="F216" s="0" t="str">
        <f aca="true">IF(E216="Bull",IF(RAND()&lt;Assumptions!$B$7,"Bull","Bear"),IF(RAND()&lt;Assumptions!$B$10,"Bear","Bull"))</f>
        <v>Bear</v>
      </c>
      <c r="G216" s="0" t="str">
        <f aca="true">IF(F216="Bull",IF(RAND()&lt;Assumptions!$B$7,"Bull","Bear"),IF(RAND()&lt;Assumptions!$B$10,"Bear","Bull"))</f>
        <v>Bull</v>
      </c>
      <c r="H216" s="8" t="n">
        <f aca="true">IF(B216="Bull",NORMINV(RAND(),Assumptions!$B$5,Assumptions!$B$6),NORMINV(RAND(),Assumptions!$B$8,Assumptions!$B$9))</f>
        <v>0.142656916871417</v>
      </c>
      <c r="I216" s="8" t="n">
        <f aca="true">IF(C216="Bull",NORMINV(RAND(),Assumptions!$B$5,Assumptions!$B$6),NORMINV(RAND(),Assumptions!$B$8,Assumptions!$B$9))</f>
        <v>0.0568585386361365</v>
      </c>
      <c r="J216" s="8" t="n">
        <f aca="true">IF(D216="Bull",NORMINV(RAND(),Assumptions!$B$5,Assumptions!$B$6),NORMINV(RAND(),Assumptions!$B$8,Assumptions!$B$9))</f>
        <v>0.111961272445801</v>
      </c>
      <c r="K216" s="8" t="n">
        <f aca="true">IF(E216="Bull",NORMINV(RAND(),Assumptions!$B$5,Assumptions!$B$6),NORMINV(RAND(),Assumptions!$B$8,Assumptions!$B$9))</f>
        <v>0.176499926390708</v>
      </c>
      <c r="L216" s="8" t="n">
        <f aca="true">IF(F216="Bull",NORMINV(RAND(),Assumptions!$B$5,Assumptions!$B$6),NORMINV(RAND(),Assumptions!$B$8,Assumptions!$B$9))</f>
        <v>-0.128797262611672</v>
      </c>
      <c r="M216" s="8" t="n">
        <f aca="true">IF(G216="Bull",NORMINV(RAND(),Assumptions!$B$5,Assumptions!$B$6),NORMINV(RAND(),Assumptions!$B$8,Assumptions!$B$9))</f>
        <v>0.219345380886225</v>
      </c>
      <c r="N216" s="8" t="n">
        <f aca="true">NORMINV(RAND(),Assumptions!$B$14,Assumptions!$B$15)</f>
        <v>0.0417764680064496</v>
      </c>
      <c r="O216" s="8" t="n">
        <f aca="true">NORMINV(RAND(),Assumptions!$B$14,Assumptions!$B$15)</f>
        <v>0.018328390970706</v>
      </c>
      <c r="P216" s="8" t="n">
        <f aca="true">NORMINV(RAND(),Assumptions!$B$14,Assumptions!$B$15)</f>
        <v>0.0127079636172427</v>
      </c>
      <c r="Q216" s="8" t="n">
        <f aca="true">NORMINV(RAND(),Assumptions!$B$14,Assumptions!$B$15)</f>
        <v>0.0068621393487875</v>
      </c>
      <c r="R216" s="8" t="n">
        <f aca="true">NORMINV(RAND(),Assumptions!$B$14,Assumptions!$B$15)</f>
        <v>0.0807309341898729</v>
      </c>
      <c r="S216" s="8" t="n">
        <f aca="true">NORMINV(RAND(),Assumptions!$B$14,Assumptions!$B$15)</f>
        <v>0.0475452019086016</v>
      </c>
      <c r="T216" s="8" t="n">
        <f aca="false">Assumptions!$B$19*H216+(1-Assumptions!$B$19)*N216</f>
        <v>0.142656916871417</v>
      </c>
      <c r="U216" s="8" t="n">
        <f aca="false">Assumptions!$B$20*I216+(1-Assumptions!$B$20)*O216</f>
        <v>0.0568585386361365</v>
      </c>
      <c r="V216" s="8" t="n">
        <f aca="false">Assumptions!$B$21*J216+(1-Assumptions!$B$21)*P216</f>
        <v>0.111961272445801</v>
      </c>
      <c r="W216" s="8" t="n">
        <f aca="false">Assumptions!$B$22*K216+(1-Assumptions!$B$22)*Q216</f>
        <v>0.176499926390708</v>
      </c>
      <c r="X216" s="8" t="n">
        <f aca="false">Assumptions!$B$23*L216+(1-Assumptions!$B$23)*R216</f>
        <v>-0.0868916232513634</v>
      </c>
      <c r="Y216" s="8" t="n">
        <f aca="false">Assumptions!$B$24*M216+(1-Assumptions!$B$24)*S216</f>
        <v>0.150625309295175</v>
      </c>
      <c r="Z216" s="6" t="n">
        <f aca="false">Assumptions!$B$27*(1+T216)</f>
        <v>342797.075061425</v>
      </c>
      <c r="AA216" s="6" t="n">
        <f aca="false">(Z216+Assumptions!$B$28)*(1+U216)</f>
        <v>520816.79659358</v>
      </c>
      <c r="AB216" s="6" t="n">
        <f aca="false">AA216*(1+V216)</f>
        <v>579128.107851343</v>
      </c>
      <c r="AC216" s="6" t="n">
        <f aca="false">AB216*(1+W216)</f>
        <v>681344.176257895</v>
      </c>
      <c r="AD216" s="6" t="n">
        <f aca="false">AC216*(1+X216)</f>
        <v>622141.074789984</v>
      </c>
      <c r="AE216" s="6" t="n">
        <f aca="false">AD216*(1+Y216)</f>
        <v>715851.266605458</v>
      </c>
      <c r="AF216" s="6" t="n">
        <f aca="false">Z216</f>
        <v>342797.075061425</v>
      </c>
      <c r="AG216" s="6" t="n">
        <f aca="false">MAX(AF216,AA216)</f>
        <v>520816.79659358</v>
      </c>
      <c r="AH216" s="6" t="n">
        <f aca="false">MAX(AG216,AB216)</f>
        <v>579128.107851343</v>
      </c>
      <c r="AI216" s="6" t="n">
        <f aca="false">MAX(AH216,AC216)</f>
        <v>681344.176257895</v>
      </c>
      <c r="AJ216" s="6" t="n">
        <f aca="false">MAX(AI216,AD216)</f>
        <v>681344.176257895</v>
      </c>
      <c r="AK216" s="6" t="n">
        <f aca="false">MAX(AJ216,AE216)</f>
        <v>715851.266605458</v>
      </c>
      <c r="AL216" s="8" t="n">
        <f aca="false">MIN(Z216/AF216-1,AA216/AG216-1,AB216/AH216-1,AC216/AI216-1,AD216/AJ216-1,AE216/AK216-1)</f>
        <v>-0.0868916232513635</v>
      </c>
      <c r="AM216" s="6" t="n">
        <f aca="false">AE216-Assumptions!$B$35</f>
        <v>274587.269942954</v>
      </c>
    </row>
    <row r="217" customFormat="false" ht="15" hidden="false" customHeight="false" outlineLevel="0" collapsed="false">
      <c r="A217" s="0" t="n">
        <f aca="false">ROW()-1</f>
        <v>216</v>
      </c>
      <c r="B217" s="0" t="str">
        <f aca="true">IF(RAND()&lt;Assumptions!$B$11,"Bull","Bear")</f>
        <v>Bear</v>
      </c>
      <c r="C217" s="0" t="str">
        <f aca="true">IF(B217="Bull",IF(RAND()&lt;Assumptions!$B$7,"Bull","Bear"),IF(RAND()&lt;Assumptions!$B$10,"Bear","Bull"))</f>
        <v>Bull</v>
      </c>
      <c r="D217" s="0" t="str">
        <f aca="true">IF(C217="Bull",IF(RAND()&lt;Assumptions!$B$7,"Bull","Bear"),IF(RAND()&lt;Assumptions!$B$10,"Bear","Bull"))</f>
        <v>Bull</v>
      </c>
      <c r="E217" s="0" t="str">
        <f aca="true">IF(D217="Bull",IF(RAND()&lt;Assumptions!$B$7,"Bull","Bear"),IF(RAND()&lt;Assumptions!$B$10,"Bear","Bull"))</f>
        <v>Bull</v>
      </c>
      <c r="F217" s="0" t="str">
        <f aca="true">IF(E217="Bull",IF(RAND()&lt;Assumptions!$B$7,"Bull","Bear"),IF(RAND()&lt;Assumptions!$B$10,"Bear","Bull"))</f>
        <v>Bull</v>
      </c>
      <c r="G217" s="0" t="str">
        <f aca="true">IF(F217="Bull",IF(RAND()&lt;Assumptions!$B$7,"Bull","Bear"),IF(RAND()&lt;Assumptions!$B$10,"Bear","Bull"))</f>
        <v>Bull</v>
      </c>
      <c r="H217" s="8" t="n">
        <f aca="true">IF(B217="Bull",NORMINV(RAND(),Assumptions!$B$5,Assumptions!$B$6),NORMINV(RAND(),Assumptions!$B$8,Assumptions!$B$9))</f>
        <v>-0.194653837460072</v>
      </c>
      <c r="I217" s="8" t="n">
        <f aca="true">IF(C217="Bull",NORMINV(RAND(),Assumptions!$B$5,Assumptions!$B$6),NORMINV(RAND(),Assumptions!$B$8,Assumptions!$B$9))</f>
        <v>0.208190405391625</v>
      </c>
      <c r="J217" s="8" t="n">
        <f aca="true">IF(D217="Bull",NORMINV(RAND(),Assumptions!$B$5,Assumptions!$B$6),NORMINV(RAND(),Assumptions!$B$8,Assumptions!$B$9))</f>
        <v>0.117854153353653</v>
      </c>
      <c r="K217" s="8" t="n">
        <f aca="true">IF(E217="Bull",NORMINV(RAND(),Assumptions!$B$5,Assumptions!$B$6),NORMINV(RAND(),Assumptions!$B$8,Assumptions!$B$9))</f>
        <v>0.129337781846143</v>
      </c>
      <c r="L217" s="8" t="n">
        <f aca="true">IF(F217="Bull",NORMINV(RAND(),Assumptions!$B$5,Assumptions!$B$6),NORMINV(RAND(),Assumptions!$B$8,Assumptions!$B$9))</f>
        <v>0.153704686540454</v>
      </c>
      <c r="M217" s="8" t="n">
        <f aca="true">IF(G217="Bull",NORMINV(RAND(),Assumptions!$B$5,Assumptions!$B$6),NORMINV(RAND(),Assumptions!$B$8,Assumptions!$B$9))</f>
        <v>0.034672743696331</v>
      </c>
      <c r="N217" s="8" t="n">
        <f aca="true">NORMINV(RAND(),Assumptions!$B$14,Assumptions!$B$15)</f>
        <v>0.0538179124278427</v>
      </c>
      <c r="O217" s="8" t="n">
        <f aca="true">NORMINV(RAND(),Assumptions!$B$14,Assumptions!$B$15)</f>
        <v>0.0502443994663698</v>
      </c>
      <c r="P217" s="8" t="n">
        <f aca="true">NORMINV(RAND(),Assumptions!$B$14,Assumptions!$B$15)</f>
        <v>0.0869155451902779</v>
      </c>
      <c r="Q217" s="8" t="n">
        <f aca="true">NORMINV(RAND(),Assumptions!$B$14,Assumptions!$B$15)</f>
        <v>0.00674106163612154</v>
      </c>
      <c r="R217" s="8" t="n">
        <f aca="true">NORMINV(RAND(),Assumptions!$B$14,Assumptions!$B$15)</f>
        <v>0.0584251675164025</v>
      </c>
      <c r="S217" s="8" t="n">
        <f aca="true">NORMINV(RAND(),Assumptions!$B$14,Assumptions!$B$15)</f>
        <v>0.056292211501428</v>
      </c>
      <c r="T217" s="8" t="n">
        <f aca="false">Assumptions!$B$19*H217+(1-Assumptions!$B$19)*N217</f>
        <v>-0.194653837460072</v>
      </c>
      <c r="U217" s="8" t="n">
        <f aca="false">Assumptions!$B$20*I217+(1-Assumptions!$B$20)*O217</f>
        <v>0.208190405391625</v>
      </c>
      <c r="V217" s="8" t="n">
        <f aca="false">Assumptions!$B$21*J217+(1-Assumptions!$B$21)*P217</f>
        <v>0.117854153353653</v>
      </c>
      <c r="W217" s="8" t="n">
        <f aca="false">Assumptions!$B$22*K217+(1-Assumptions!$B$22)*Q217</f>
        <v>0.129337781846143</v>
      </c>
      <c r="X217" s="8" t="n">
        <f aca="false">Assumptions!$B$23*L217+(1-Assumptions!$B$23)*R217</f>
        <v>0.134648782735644</v>
      </c>
      <c r="Y217" s="8" t="n">
        <f aca="false">Assumptions!$B$24*M217+(1-Assumptions!$B$24)*S217</f>
        <v>0.0433205308183698</v>
      </c>
      <c r="Z217" s="6" t="n">
        <f aca="false">Assumptions!$B$27*(1+T217)</f>
        <v>241603.848761978</v>
      </c>
      <c r="AA217" s="6" t="n">
        <f aca="false">(Z217+Assumptions!$B$28)*(1+U217)</f>
        <v>473132.012788655</v>
      </c>
      <c r="AB217" s="6" t="n">
        <f aca="false">AA217*(1+V217)</f>
        <v>528892.585580372</v>
      </c>
      <c r="AC217" s="6" t="n">
        <f aca="false">AB217*(1+W217)</f>
        <v>597298.379434208</v>
      </c>
      <c r="AD217" s="6" t="n">
        <f aca="false">AC217*(1+X217)</f>
        <v>677723.879154997</v>
      </c>
      <c r="AE217" s="6" t="n">
        <f aca="false">AD217*(1+Y217)</f>
        <v>707083.237348276</v>
      </c>
      <c r="AF217" s="6" t="n">
        <f aca="false">Z217</f>
        <v>241603.848761978</v>
      </c>
      <c r="AG217" s="6" t="n">
        <f aca="false">MAX(AF217,AA217)</f>
        <v>473132.012788655</v>
      </c>
      <c r="AH217" s="6" t="n">
        <f aca="false">MAX(AG217,AB217)</f>
        <v>528892.585580372</v>
      </c>
      <c r="AI217" s="6" t="n">
        <f aca="false">MAX(AH217,AC217)</f>
        <v>597298.379434208</v>
      </c>
      <c r="AJ217" s="6" t="n">
        <f aca="false">MAX(AI217,AD217)</f>
        <v>677723.879154997</v>
      </c>
      <c r="AK217" s="6" t="n">
        <f aca="false">MAX(AJ217,AE217)</f>
        <v>707083.237348276</v>
      </c>
      <c r="AL217" s="8" t="n">
        <f aca="false">MIN(Z217/AF217-1,AA217/AG217-1,AB217/AH217-1,AC217/AI217-1,AD217/AJ217-1,AE217/AK217-1)</f>
        <v>0</v>
      </c>
      <c r="AM217" s="6" t="n">
        <f aca="false">AE217-Assumptions!$B$35</f>
        <v>265819.240685773</v>
      </c>
    </row>
    <row r="218" customFormat="false" ht="15" hidden="false" customHeight="false" outlineLevel="0" collapsed="false">
      <c r="A218" s="0" t="n">
        <f aca="false">ROW()-1</f>
        <v>217</v>
      </c>
      <c r="B218" s="0" t="str">
        <f aca="true">IF(RAND()&lt;Assumptions!$B$11,"Bull","Bear")</f>
        <v>Bull</v>
      </c>
      <c r="C218" s="0" t="str">
        <f aca="true">IF(B218="Bull",IF(RAND()&lt;Assumptions!$B$7,"Bull","Bear"),IF(RAND()&lt;Assumptions!$B$10,"Bear","Bull"))</f>
        <v>Bull</v>
      </c>
      <c r="D218" s="0" t="str">
        <f aca="true">IF(C218="Bull",IF(RAND()&lt;Assumptions!$B$7,"Bull","Bear"),IF(RAND()&lt;Assumptions!$B$10,"Bear","Bull"))</f>
        <v>Bull</v>
      </c>
      <c r="E218" s="0" t="str">
        <f aca="true">IF(D218="Bull",IF(RAND()&lt;Assumptions!$B$7,"Bull","Bear"),IF(RAND()&lt;Assumptions!$B$10,"Bear","Bull"))</f>
        <v>Bear</v>
      </c>
      <c r="F218" s="0" t="str">
        <f aca="true">IF(E218="Bull",IF(RAND()&lt;Assumptions!$B$7,"Bull","Bear"),IF(RAND()&lt;Assumptions!$B$10,"Bear","Bull"))</f>
        <v>Bear</v>
      </c>
      <c r="G218" s="0" t="str">
        <f aca="true">IF(F218="Bull",IF(RAND()&lt;Assumptions!$B$7,"Bull","Bear"),IF(RAND()&lt;Assumptions!$B$10,"Bear","Bull"))</f>
        <v>Bull</v>
      </c>
      <c r="H218" s="8" t="n">
        <f aca="true">IF(B218="Bull",NORMINV(RAND(),Assumptions!$B$5,Assumptions!$B$6),NORMINV(RAND(),Assumptions!$B$8,Assumptions!$B$9))</f>
        <v>0.0789038956220717</v>
      </c>
      <c r="I218" s="8" t="n">
        <f aca="true">IF(C218="Bull",NORMINV(RAND(),Assumptions!$B$5,Assumptions!$B$6),NORMINV(RAND(),Assumptions!$B$8,Assumptions!$B$9))</f>
        <v>-0.0633246902940598</v>
      </c>
      <c r="J218" s="8" t="n">
        <f aca="true">IF(D218="Bull",NORMINV(RAND(),Assumptions!$B$5,Assumptions!$B$6),NORMINV(RAND(),Assumptions!$B$8,Assumptions!$B$9))</f>
        <v>0.240151519367928</v>
      </c>
      <c r="K218" s="8" t="n">
        <f aca="true">IF(E218="Bull",NORMINV(RAND(),Assumptions!$B$5,Assumptions!$B$6),NORMINV(RAND(),Assumptions!$B$8,Assumptions!$B$9))</f>
        <v>-0.0514725392186803</v>
      </c>
      <c r="L218" s="8" t="n">
        <f aca="true">IF(F218="Bull",NORMINV(RAND(),Assumptions!$B$5,Assumptions!$B$6),NORMINV(RAND(),Assumptions!$B$8,Assumptions!$B$9))</f>
        <v>-0.333179405986231</v>
      </c>
      <c r="M218" s="8" t="n">
        <f aca="true">IF(G218="Bull",NORMINV(RAND(),Assumptions!$B$5,Assumptions!$B$6),NORMINV(RAND(),Assumptions!$B$8,Assumptions!$B$9))</f>
        <v>0.24853135868101</v>
      </c>
      <c r="N218" s="8" t="n">
        <f aca="true">NORMINV(RAND(),Assumptions!$B$14,Assumptions!$B$15)</f>
        <v>0.0188837974103847</v>
      </c>
      <c r="O218" s="8" t="n">
        <f aca="true">NORMINV(RAND(),Assumptions!$B$14,Assumptions!$B$15)</f>
        <v>0.0327210400030408</v>
      </c>
      <c r="P218" s="8" t="n">
        <f aca="true">NORMINV(RAND(),Assumptions!$B$14,Assumptions!$B$15)</f>
        <v>-0.0100079815629073</v>
      </c>
      <c r="Q218" s="8" t="n">
        <f aca="true">NORMINV(RAND(),Assumptions!$B$14,Assumptions!$B$15)</f>
        <v>0.0359991587651449</v>
      </c>
      <c r="R218" s="8" t="n">
        <f aca="true">NORMINV(RAND(),Assumptions!$B$14,Assumptions!$B$15)</f>
        <v>0.0928440496339909</v>
      </c>
      <c r="S218" s="8" t="n">
        <f aca="true">NORMINV(RAND(),Assumptions!$B$14,Assumptions!$B$15)</f>
        <v>0.0344156443554737</v>
      </c>
      <c r="T218" s="8" t="n">
        <f aca="false">Assumptions!$B$19*H218+(1-Assumptions!$B$19)*N218</f>
        <v>0.0789038956220717</v>
      </c>
      <c r="U218" s="8" t="n">
        <f aca="false">Assumptions!$B$20*I218+(1-Assumptions!$B$20)*O218</f>
        <v>-0.0633246902940598</v>
      </c>
      <c r="V218" s="8" t="n">
        <f aca="false">Assumptions!$B$21*J218+(1-Assumptions!$B$21)*P218</f>
        <v>0.240151519367928</v>
      </c>
      <c r="W218" s="8" t="n">
        <f aca="false">Assumptions!$B$22*K218+(1-Assumptions!$B$22)*Q218</f>
        <v>-0.0514725392186803</v>
      </c>
      <c r="X218" s="8" t="n">
        <f aca="false">Assumptions!$B$23*L218+(1-Assumptions!$B$23)*R218</f>
        <v>-0.247974714862187</v>
      </c>
      <c r="Y218" s="8" t="n">
        <f aca="false">Assumptions!$B$24*M218+(1-Assumptions!$B$24)*S218</f>
        <v>0.162885072950795</v>
      </c>
      <c r="Z218" s="6" t="n">
        <f aca="false">Assumptions!$B$27*(1+T218)</f>
        <v>323671.168686622</v>
      </c>
      <c r="AA218" s="6" t="n">
        <f aca="false">(Z218+Assumptions!$B$28)*(1+U218)</f>
        <v>443676.088628316</v>
      </c>
      <c r="AB218" s="6" t="n">
        <f aca="false">AA218*(1+V218)</f>
        <v>550225.575419625</v>
      </c>
      <c r="AC218" s="6" t="n">
        <f aca="false">AB218*(1+W218)</f>
        <v>521904.067909718</v>
      </c>
      <c r="AD218" s="6" t="n">
        <f aca="false">AC218*(1+X218)</f>
        <v>392485.05548439</v>
      </c>
      <c r="AE218" s="6" t="n">
        <f aca="false">AD218*(1+Y218)</f>
        <v>456415.012379062</v>
      </c>
      <c r="AF218" s="6" t="n">
        <f aca="false">Z218</f>
        <v>323671.168686622</v>
      </c>
      <c r="AG218" s="6" t="n">
        <f aca="false">MAX(AF218,AA218)</f>
        <v>443676.088628316</v>
      </c>
      <c r="AH218" s="6" t="n">
        <f aca="false">MAX(AG218,AB218)</f>
        <v>550225.575419625</v>
      </c>
      <c r="AI218" s="6" t="n">
        <f aca="false">MAX(AH218,AC218)</f>
        <v>550225.575419625</v>
      </c>
      <c r="AJ218" s="6" t="n">
        <f aca="false">MAX(AI218,AD218)</f>
        <v>550225.575419625</v>
      </c>
      <c r="AK218" s="6" t="n">
        <f aca="false">MAX(AJ218,AE218)</f>
        <v>550225.575419625</v>
      </c>
      <c r="AL218" s="8" t="n">
        <f aca="false">MIN(Z218/AF218-1,AA218/AG218-1,AB218/AH218-1,AC218/AI218-1,AD218/AJ218-1,AE218/AK218-1)</f>
        <v>-0.286683365844882</v>
      </c>
      <c r="AM218" s="6" t="n">
        <f aca="false">AE218-Assumptions!$B$35</f>
        <v>15151.0157165583</v>
      </c>
    </row>
    <row r="219" customFormat="false" ht="15" hidden="false" customHeight="false" outlineLevel="0" collapsed="false">
      <c r="A219" s="0" t="n">
        <f aca="false">ROW()-1</f>
        <v>218</v>
      </c>
      <c r="B219" s="0" t="str">
        <f aca="true">IF(RAND()&lt;Assumptions!$B$11,"Bull","Bear")</f>
        <v>Bear</v>
      </c>
      <c r="C219" s="0" t="str">
        <f aca="true">IF(B219="Bull",IF(RAND()&lt;Assumptions!$B$7,"Bull","Bear"),IF(RAND()&lt;Assumptions!$B$10,"Bear","Bull"))</f>
        <v>Bear</v>
      </c>
      <c r="D219" s="0" t="str">
        <f aca="true">IF(C219="Bull",IF(RAND()&lt;Assumptions!$B$7,"Bull","Bear"),IF(RAND()&lt;Assumptions!$B$10,"Bear","Bull"))</f>
        <v>Bear</v>
      </c>
      <c r="E219" s="0" t="str">
        <f aca="true">IF(D219="Bull",IF(RAND()&lt;Assumptions!$B$7,"Bull","Bear"),IF(RAND()&lt;Assumptions!$B$10,"Bear","Bull"))</f>
        <v>Bear</v>
      </c>
      <c r="F219" s="0" t="str">
        <f aca="true">IF(E219="Bull",IF(RAND()&lt;Assumptions!$B$7,"Bull","Bear"),IF(RAND()&lt;Assumptions!$B$10,"Bear","Bull"))</f>
        <v>Bear</v>
      </c>
      <c r="G219" s="0" t="str">
        <f aca="true">IF(F219="Bull",IF(RAND()&lt;Assumptions!$B$7,"Bull","Bear"),IF(RAND()&lt;Assumptions!$B$10,"Bear","Bull"))</f>
        <v>Bull</v>
      </c>
      <c r="H219" s="8" t="n">
        <f aca="true">IF(B219="Bull",NORMINV(RAND(),Assumptions!$B$5,Assumptions!$B$6),NORMINV(RAND(),Assumptions!$B$8,Assumptions!$B$9))</f>
        <v>-0.133739585336167</v>
      </c>
      <c r="I219" s="8" t="n">
        <f aca="true">IF(C219="Bull",NORMINV(RAND(),Assumptions!$B$5,Assumptions!$B$6),NORMINV(RAND(),Assumptions!$B$8,Assumptions!$B$9))</f>
        <v>-0.0222922194224698</v>
      </c>
      <c r="J219" s="8" t="n">
        <f aca="true">IF(D219="Bull",NORMINV(RAND(),Assumptions!$B$5,Assumptions!$B$6),NORMINV(RAND(),Assumptions!$B$8,Assumptions!$B$9))</f>
        <v>-0.247541712519677</v>
      </c>
      <c r="K219" s="8" t="n">
        <f aca="true">IF(E219="Bull",NORMINV(RAND(),Assumptions!$B$5,Assumptions!$B$6),NORMINV(RAND(),Assumptions!$B$8,Assumptions!$B$9))</f>
        <v>-0.125046239561942</v>
      </c>
      <c r="L219" s="8" t="n">
        <f aca="true">IF(F219="Bull",NORMINV(RAND(),Assumptions!$B$5,Assumptions!$B$6),NORMINV(RAND(),Assumptions!$B$8,Assumptions!$B$9))</f>
        <v>-0.148890429217099</v>
      </c>
      <c r="M219" s="8" t="n">
        <f aca="true">IF(G219="Bull",NORMINV(RAND(),Assumptions!$B$5,Assumptions!$B$6),NORMINV(RAND(),Assumptions!$B$8,Assumptions!$B$9))</f>
        <v>0.160668713438959</v>
      </c>
      <c r="N219" s="8" t="n">
        <f aca="true">NORMINV(RAND(),Assumptions!$B$14,Assumptions!$B$15)</f>
        <v>0.0475020445718572</v>
      </c>
      <c r="O219" s="8" t="n">
        <f aca="true">NORMINV(RAND(),Assumptions!$B$14,Assumptions!$B$15)</f>
        <v>0.0127173203321985</v>
      </c>
      <c r="P219" s="8" t="n">
        <f aca="true">NORMINV(RAND(),Assumptions!$B$14,Assumptions!$B$15)</f>
        <v>0.0450239524774647</v>
      </c>
      <c r="Q219" s="8" t="n">
        <f aca="true">NORMINV(RAND(),Assumptions!$B$14,Assumptions!$B$15)</f>
        <v>0.0713303242895788</v>
      </c>
      <c r="R219" s="8" t="n">
        <f aca="true">NORMINV(RAND(),Assumptions!$B$14,Assumptions!$B$15)</f>
        <v>0.0359949164808941</v>
      </c>
      <c r="S219" s="8" t="n">
        <f aca="true">NORMINV(RAND(),Assumptions!$B$14,Assumptions!$B$15)</f>
        <v>0.0351507243835659</v>
      </c>
      <c r="T219" s="8" t="n">
        <f aca="false">Assumptions!$B$19*H219+(1-Assumptions!$B$19)*N219</f>
        <v>-0.133739585336167</v>
      </c>
      <c r="U219" s="8" t="n">
        <f aca="false">Assumptions!$B$20*I219+(1-Assumptions!$B$20)*O219</f>
        <v>-0.0222922194224698</v>
      </c>
      <c r="V219" s="8" t="n">
        <f aca="false">Assumptions!$B$21*J219+(1-Assumptions!$B$21)*P219</f>
        <v>-0.247541712519677</v>
      </c>
      <c r="W219" s="8" t="n">
        <f aca="false">Assumptions!$B$22*K219+(1-Assumptions!$B$22)*Q219</f>
        <v>-0.125046239561942</v>
      </c>
      <c r="X219" s="8" t="n">
        <f aca="false">Assumptions!$B$23*L219+(1-Assumptions!$B$23)*R219</f>
        <v>-0.111913360077501</v>
      </c>
      <c r="Y219" s="8" t="n">
        <f aca="false">Assumptions!$B$24*M219+(1-Assumptions!$B$24)*S219</f>
        <v>0.110461517816802</v>
      </c>
      <c r="Z219" s="6" t="n">
        <f aca="false">Assumptions!$B$27*(1+T219)</f>
        <v>259878.12439915</v>
      </c>
      <c r="AA219" s="6" t="n">
        <f aca="false">(Z219+Assumptions!$B$28)*(1+U219)</f>
        <v>400741.031313574</v>
      </c>
      <c r="AB219" s="6" t="n">
        <f aca="false">AA219*(1+V219)</f>
        <v>301540.91014531</v>
      </c>
      <c r="AC219" s="6" t="n">
        <f aca="false">AB219*(1+W219)</f>
        <v>263834.353257554</v>
      </c>
      <c r="AD219" s="6" t="n">
        <f aca="false">AC219*(1+X219)</f>
        <v>234307.764280627</v>
      </c>
      <c r="AE219" s="6" t="n">
        <f aca="false">AD219*(1+Y219)</f>
        <v>260189.755559326</v>
      </c>
      <c r="AF219" s="6" t="n">
        <f aca="false">Z219</f>
        <v>259878.12439915</v>
      </c>
      <c r="AG219" s="6" t="n">
        <f aca="false">MAX(AF219,AA219)</f>
        <v>400741.031313574</v>
      </c>
      <c r="AH219" s="6" t="n">
        <f aca="false">MAX(AG219,AB219)</f>
        <v>400741.031313574</v>
      </c>
      <c r="AI219" s="6" t="n">
        <f aca="false">MAX(AH219,AC219)</f>
        <v>400741.031313574</v>
      </c>
      <c r="AJ219" s="6" t="n">
        <f aca="false">MAX(AI219,AD219)</f>
        <v>400741.031313574</v>
      </c>
      <c r="AK219" s="6" t="n">
        <f aca="false">MAX(AJ219,AE219)</f>
        <v>400741.031313574</v>
      </c>
      <c r="AL219" s="8" t="n">
        <f aca="false">MIN(Z219/AF219-1,AA219/AG219-1,AB219/AH219-1,AC219/AI219-1,AD219/AJ219-1,AE219/AK219-1)</f>
        <v>-0.415313766317869</v>
      </c>
      <c r="AM219" s="6" t="n">
        <f aca="false">AE219-Assumptions!$B$35</f>
        <v>-181074.241103178</v>
      </c>
    </row>
    <row r="220" customFormat="false" ht="15" hidden="false" customHeight="false" outlineLevel="0" collapsed="false">
      <c r="A220" s="0" t="n">
        <f aca="false">ROW()-1</f>
        <v>219</v>
      </c>
      <c r="B220" s="0" t="str">
        <f aca="true">IF(RAND()&lt;Assumptions!$B$11,"Bull","Bear")</f>
        <v>Bull</v>
      </c>
      <c r="C220" s="0" t="str">
        <f aca="true">IF(B220="Bull",IF(RAND()&lt;Assumptions!$B$7,"Bull","Bear"),IF(RAND()&lt;Assumptions!$B$10,"Bear","Bull"))</f>
        <v>Bull</v>
      </c>
      <c r="D220" s="0" t="str">
        <f aca="true">IF(C220="Bull",IF(RAND()&lt;Assumptions!$B$7,"Bull","Bear"),IF(RAND()&lt;Assumptions!$B$10,"Bear","Bull"))</f>
        <v>Bull</v>
      </c>
      <c r="E220" s="0" t="str">
        <f aca="true">IF(D220="Bull",IF(RAND()&lt;Assumptions!$B$7,"Bull","Bear"),IF(RAND()&lt;Assumptions!$B$10,"Bear","Bull"))</f>
        <v>Bull</v>
      </c>
      <c r="F220" s="0" t="str">
        <f aca="true">IF(E220="Bull",IF(RAND()&lt;Assumptions!$B$7,"Bull","Bear"),IF(RAND()&lt;Assumptions!$B$10,"Bear","Bull"))</f>
        <v>Bull</v>
      </c>
      <c r="G220" s="0" t="str">
        <f aca="true">IF(F220="Bull",IF(RAND()&lt;Assumptions!$B$7,"Bull","Bear"),IF(RAND()&lt;Assumptions!$B$10,"Bear","Bull"))</f>
        <v>Bull</v>
      </c>
      <c r="H220" s="8" t="n">
        <f aca="true">IF(B220="Bull",NORMINV(RAND(),Assumptions!$B$5,Assumptions!$B$6),NORMINV(RAND(),Assumptions!$B$8,Assumptions!$B$9))</f>
        <v>0.156269860294772</v>
      </c>
      <c r="I220" s="8" t="n">
        <f aca="true">IF(C220="Bull",NORMINV(RAND(),Assumptions!$B$5,Assumptions!$B$6),NORMINV(RAND(),Assumptions!$B$8,Assumptions!$B$9))</f>
        <v>0.13993299813247</v>
      </c>
      <c r="J220" s="8" t="n">
        <f aca="true">IF(D220="Bull",NORMINV(RAND(),Assumptions!$B$5,Assumptions!$B$6),NORMINV(RAND(),Assumptions!$B$8,Assumptions!$B$9))</f>
        <v>0.111919826531653</v>
      </c>
      <c r="K220" s="8" t="n">
        <f aca="true">IF(E220="Bull",NORMINV(RAND(),Assumptions!$B$5,Assumptions!$B$6),NORMINV(RAND(),Assumptions!$B$8,Assumptions!$B$9))</f>
        <v>0.219114229761765</v>
      </c>
      <c r="L220" s="8" t="n">
        <f aca="true">IF(F220="Bull",NORMINV(RAND(),Assumptions!$B$5,Assumptions!$B$6),NORMINV(RAND(),Assumptions!$B$8,Assumptions!$B$9))</f>
        <v>0.2764424298148</v>
      </c>
      <c r="M220" s="8" t="n">
        <f aca="true">IF(G220="Bull",NORMINV(RAND(),Assumptions!$B$5,Assumptions!$B$6),NORMINV(RAND(),Assumptions!$B$8,Assumptions!$B$9))</f>
        <v>-0.0306557974339456</v>
      </c>
      <c r="N220" s="8" t="n">
        <f aca="true">NORMINV(RAND(),Assumptions!$B$14,Assumptions!$B$15)</f>
        <v>0.0467499619277822</v>
      </c>
      <c r="O220" s="8" t="n">
        <f aca="true">NORMINV(RAND(),Assumptions!$B$14,Assumptions!$B$15)</f>
        <v>0.0422893090606315</v>
      </c>
      <c r="P220" s="8" t="n">
        <f aca="true">NORMINV(RAND(),Assumptions!$B$14,Assumptions!$B$15)</f>
        <v>0.00293486486537636</v>
      </c>
      <c r="Q220" s="8" t="n">
        <f aca="true">NORMINV(RAND(),Assumptions!$B$14,Assumptions!$B$15)</f>
        <v>0.0314411421893835</v>
      </c>
      <c r="R220" s="8" t="n">
        <f aca="true">NORMINV(RAND(),Assumptions!$B$14,Assumptions!$B$15)</f>
        <v>0.0879041500801037</v>
      </c>
      <c r="S220" s="8" t="n">
        <f aca="true">NORMINV(RAND(),Assumptions!$B$14,Assumptions!$B$15)</f>
        <v>-0.00181324379471678</v>
      </c>
      <c r="T220" s="8" t="n">
        <f aca="false">Assumptions!$B$19*H220+(1-Assumptions!$B$19)*N220</f>
        <v>0.156269860294772</v>
      </c>
      <c r="U220" s="8" t="n">
        <f aca="false">Assumptions!$B$20*I220+(1-Assumptions!$B$20)*O220</f>
        <v>0.13993299813247</v>
      </c>
      <c r="V220" s="8" t="n">
        <f aca="false">Assumptions!$B$21*J220+(1-Assumptions!$B$21)*P220</f>
        <v>0.111919826531653</v>
      </c>
      <c r="W220" s="8" t="n">
        <f aca="false">Assumptions!$B$22*K220+(1-Assumptions!$B$22)*Q220</f>
        <v>0.219114229761765</v>
      </c>
      <c r="X220" s="8" t="n">
        <f aca="false">Assumptions!$B$23*L220+(1-Assumptions!$B$23)*R220</f>
        <v>0.238734773867861</v>
      </c>
      <c r="Y220" s="8" t="n">
        <f aca="false">Assumptions!$B$24*M220+(1-Assumptions!$B$24)*S220</f>
        <v>-0.019118775978254</v>
      </c>
      <c r="Z220" s="6" t="n">
        <f aca="false">Assumptions!$B$27*(1+T220)</f>
        <v>346880.958088432</v>
      </c>
      <c r="AA220" s="6" t="n">
        <f aca="false">(Z220+Assumptions!$B$28)*(1+U220)</f>
        <v>566411.00026868</v>
      </c>
      <c r="AB220" s="6" t="n">
        <f aca="false">AA220*(1+V220)</f>
        <v>629803.621164371</v>
      </c>
      <c r="AC220" s="6" t="n">
        <f aca="false">AB220*(1+W220)</f>
        <v>767802.556516972</v>
      </c>
      <c r="AD220" s="6" t="n">
        <f aca="false">AC220*(1+X220)</f>
        <v>951103.726222217</v>
      </c>
      <c r="AE220" s="6" t="n">
        <f aca="false">AD220*(1+Y220)</f>
        <v>932919.787148492</v>
      </c>
      <c r="AF220" s="6" t="n">
        <f aca="false">Z220</f>
        <v>346880.958088432</v>
      </c>
      <c r="AG220" s="6" t="n">
        <f aca="false">MAX(AF220,AA220)</f>
        <v>566411.00026868</v>
      </c>
      <c r="AH220" s="6" t="n">
        <f aca="false">MAX(AG220,AB220)</f>
        <v>629803.621164371</v>
      </c>
      <c r="AI220" s="6" t="n">
        <f aca="false">MAX(AH220,AC220)</f>
        <v>767802.556516972</v>
      </c>
      <c r="AJ220" s="6" t="n">
        <f aca="false">MAX(AI220,AD220)</f>
        <v>951103.726222217</v>
      </c>
      <c r="AK220" s="6" t="n">
        <f aca="false">MAX(AJ220,AE220)</f>
        <v>951103.726222217</v>
      </c>
      <c r="AL220" s="8" t="n">
        <f aca="false">MIN(Z220/AF220-1,AA220/AG220-1,AB220/AH220-1,AC220/AI220-1,AD220/AJ220-1,AE220/AK220-1)</f>
        <v>-0.0191187759782541</v>
      </c>
      <c r="AM220" s="6" t="n">
        <f aca="false">AE220-Assumptions!$B$35</f>
        <v>491655.790485988</v>
      </c>
    </row>
    <row r="221" customFormat="false" ht="15" hidden="false" customHeight="false" outlineLevel="0" collapsed="false">
      <c r="A221" s="0" t="n">
        <f aca="false">ROW()-1</f>
        <v>220</v>
      </c>
      <c r="B221" s="0" t="str">
        <f aca="true">IF(RAND()&lt;Assumptions!$B$11,"Bull","Bear")</f>
        <v>Bull</v>
      </c>
      <c r="C221" s="0" t="str">
        <f aca="true">IF(B221="Bull",IF(RAND()&lt;Assumptions!$B$7,"Bull","Bear"),IF(RAND()&lt;Assumptions!$B$10,"Bear","Bull"))</f>
        <v>Bull</v>
      </c>
      <c r="D221" s="0" t="str">
        <f aca="true">IF(C221="Bull",IF(RAND()&lt;Assumptions!$B$7,"Bull","Bear"),IF(RAND()&lt;Assumptions!$B$10,"Bear","Bull"))</f>
        <v>Bull</v>
      </c>
      <c r="E221" s="0" t="str">
        <f aca="true">IF(D221="Bull",IF(RAND()&lt;Assumptions!$B$7,"Bull","Bear"),IF(RAND()&lt;Assumptions!$B$10,"Bear","Bull"))</f>
        <v>Bull</v>
      </c>
      <c r="F221" s="0" t="str">
        <f aca="true">IF(E221="Bull",IF(RAND()&lt;Assumptions!$B$7,"Bull","Bear"),IF(RAND()&lt;Assumptions!$B$10,"Bear","Bull"))</f>
        <v>Bull</v>
      </c>
      <c r="G221" s="0" t="str">
        <f aca="true">IF(F221="Bull",IF(RAND()&lt;Assumptions!$B$7,"Bull","Bear"),IF(RAND()&lt;Assumptions!$B$10,"Bear","Bull"))</f>
        <v>Bear</v>
      </c>
      <c r="H221" s="8" t="n">
        <f aca="true">IF(B221="Bull",NORMINV(RAND(),Assumptions!$B$5,Assumptions!$B$6),NORMINV(RAND(),Assumptions!$B$8,Assumptions!$B$9))</f>
        <v>0.16433268723136</v>
      </c>
      <c r="I221" s="8" t="n">
        <f aca="true">IF(C221="Bull",NORMINV(RAND(),Assumptions!$B$5,Assumptions!$B$6),NORMINV(RAND(),Assumptions!$B$8,Assumptions!$B$9))</f>
        <v>0.368525558340881</v>
      </c>
      <c r="J221" s="8" t="n">
        <f aca="true">IF(D221="Bull",NORMINV(RAND(),Assumptions!$B$5,Assumptions!$B$6),NORMINV(RAND(),Assumptions!$B$8,Assumptions!$B$9))</f>
        <v>0.310508034313404</v>
      </c>
      <c r="K221" s="8" t="n">
        <f aca="true">IF(E221="Bull",NORMINV(RAND(),Assumptions!$B$5,Assumptions!$B$6),NORMINV(RAND(),Assumptions!$B$8,Assumptions!$B$9))</f>
        <v>0.0946096541349785</v>
      </c>
      <c r="L221" s="8" t="n">
        <f aca="true">IF(F221="Bull",NORMINV(RAND(),Assumptions!$B$5,Assumptions!$B$6),NORMINV(RAND(),Assumptions!$B$8,Assumptions!$B$9))</f>
        <v>0.427502215325411</v>
      </c>
      <c r="M221" s="8" t="n">
        <f aca="true">IF(G221="Bull",NORMINV(RAND(),Assumptions!$B$5,Assumptions!$B$6),NORMINV(RAND(),Assumptions!$B$8,Assumptions!$B$9))</f>
        <v>0.217953845853069</v>
      </c>
      <c r="N221" s="8" t="n">
        <f aca="true">NORMINV(RAND(),Assumptions!$B$14,Assumptions!$B$15)</f>
        <v>0.0600263218094481</v>
      </c>
      <c r="O221" s="8" t="n">
        <f aca="true">NORMINV(RAND(),Assumptions!$B$14,Assumptions!$B$15)</f>
        <v>0.0665703055736621</v>
      </c>
      <c r="P221" s="8" t="n">
        <f aca="true">NORMINV(RAND(),Assumptions!$B$14,Assumptions!$B$15)</f>
        <v>0.103888609400037</v>
      </c>
      <c r="Q221" s="8" t="n">
        <f aca="true">NORMINV(RAND(),Assumptions!$B$14,Assumptions!$B$15)</f>
        <v>0.022800421692722</v>
      </c>
      <c r="R221" s="8" t="n">
        <f aca="true">NORMINV(RAND(),Assumptions!$B$14,Assumptions!$B$15)</f>
        <v>0.00534482878801081</v>
      </c>
      <c r="S221" s="8" t="n">
        <f aca="true">NORMINV(RAND(),Assumptions!$B$14,Assumptions!$B$15)</f>
        <v>0.06202474262695</v>
      </c>
      <c r="T221" s="8" t="n">
        <f aca="false">Assumptions!$B$19*H221+(1-Assumptions!$B$19)*N221</f>
        <v>0.16433268723136</v>
      </c>
      <c r="U221" s="8" t="n">
        <f aca="false">Assumptions!$B$20*I221+(1-Assumptions!$B$20)*O221</f>
        <v>0.368525558340881</v>
      </c>
      <c r="V221" s="8" t="n">
        <f aca="false">Assumptions!$B$21*J221+(1-Assumptions!$B$21)*P221</f>
        <v>0.310508034313404</v>
      </c>
      <c r="W221" s="8" t="n">
        <f aca="false">Assumptions!$B$22*K221+(1-Assumptions!$B$22)*Q221</f>
        <v>0.0946096541349785</v>
      </c>
      <c r="X221" s="8" t="n">
        <f aca="false">Assumptions!$B$23*L221+(1-Assumptions!$B$23)*R221</f>
        <v>0.343070738017931</v>
      </c>
      <c r="Y221" s="8" t="n">
        <f aca="false">Assumptions!$B$24*M221+(1-Assumptions!$B$24)*S221</f>
        <v>0.155582204562621</v>
      </c>
      <c r="Z221" s="6" t="n">
        <f aca="false">Assumptions!$B$27*(1+T221)</f>
        <v>349299.806169408</v>
      </c>
      <c r="AA221" s="6" t="n">
        <f aca="false">(Z221+Assumptions!$B$28)*(1+U221)</f>
        <v>683304.546017483</v>
      </c>
      <c r="AB221" s="6" t="n">
        <f aca="false">AA221*(1+V221)</f>
        <v>895476.097438784</v>
      </c>
      <c r="AC221" s="6" t="n">
        <f aca="false">AB221*(1+W221)</f>
        <v>980196.781303608</v>
      </c>
      <c r="AD221" s="6" t="n">
        <f aca="false">AC221*(1+X221)</f>
        <v>1316473.61446824</v>
      </c>
      <c r="AE221" s="6" t="n">
        <f aca="false">AD221*(1+Y221)</f>
        <v>1521293.48165573</v>
      </c>
      <c r="AF221" s="6" t="n">
        <f aca="false">Z221</f>
        <v>349299.806169408</v>
      </c>
      <c r="AG221" s="6" t="n">
        <f aca="false">MAX(AF221,AA221)</f>
        <v>683304.546017483</v>
      </c>
      <c r="AH221" s="6" t="n">
        <f aca="false">MAX(AG221,AB221)</f>
        <v>895476.097438784</v>
      </c>
      <c r="AI221" s="6" t="n">
        <f aca="false">MAX(AH221,AC221)</f>
        <v>980196.781303608</v>
      </c>
      <c r="AJ221" s="6" t="n">
        <f aca="false">MAX(AI221,AD221)</f>
        <v>1316473.61446824</v>
      </c>
      <c r="AK221" s="6" t="n">
        <f aca="false">MAX(AJ221,AE221)</f>
        <v>1521293.48165573</v>
      </c>
      <c r="AL221" s="8" t="n">
        <f aca="false">MIN(Z221/AF221-1,AA221/AG221-1,AB221/AH221-1,AC221/AI221-1,AD221/AJ221-1,AE221/AK221-1)</f>
        <v>0</v>
      </c>
      <c r="AM221" s="6" t="n">
        <f aca="false">AE221-Assumptions!$B$35</f>
        <v>1080029.48499322</v>
      </c>
    </row>
    <row r="222" customFormat="false" ht="15" hidden="false" customHeight="false" outlineLevel="0" collapsed="false">
      <c r="A222" s="0" t="n">
        <f aca="false">ROW()-1</f>
        <v>221</v>
      </c>
      <c r="B222" s="0" t="str">
        <f aca="true">IF(RAND()&lt;Assumptions!$B$11,"Bull","Bear")</f>
        <v>Bear</v>
      </c>
      <c r="C222" s="0" t="str">
        <f aca="true">IF(B222="Bull",IF(RAND()&lt;Assumptions!$B$7,"Bull","Bear"),IF(RAND()&lt;Assumptions!$B$10,"Bear","Bull"))</f>
        <v>Bull</v>
      </c>
      <c r="D222" s="0" t="str">
        <f aca="true">IF(C222="Bull",IF(RAND()&lt;Assumptions!$B$7,"Bull","Bear"),IF(RAND()&lt;Assumptions!$B$10,"Bear","Bull"))</f>
        <v>Bear</v>
      </c>
      <c r="E222" s="0" t="str">
        <f aca="true">IF(D222="Bull",IF(RAND()&lt;Assumptions!$B$7,"Bull","Bear"),IF(RAND()&lt;Assumptions!$B$10,"Bear","Bull"))</f>
        <v>Bull</v>
      </c>
      <c r="F222" s="0" t="str">
        <f aca="true">IF(E222="Bull",IF(RAND()&lt;Assumptions!$B$7,"Bull","Bear"),IF(RAND()&lt;Assumptions!$B$10,"Bear","Bull"))</f>
        <v>Bull</v>
      </c>
      <c r="G222" s="0" t="str">
        <f aca="true">IF(F222="Bull",IF(RAND()&lt;Assumptions!$B$7,"Bull","Bear"),IF(RAND()&lt;Assumptions!$B$10,"Bear","Bull"))</f>
        <v>Bull</v>
      </c>
      <c r="H222" s="8" t="n">
        <f aca="true">IF(B222="Bull",NORMINV(RAND(),Assumptions!$B$5,Assumptions!$B$6),NORMINV(RAND(),Assumptions!$B$8,Assumptions!$B$9))</f>
        <v>-0.515788001018818</v>
      </c>
      <c r="I222" s="8" t="n">
        <f aca="true">IF(C222="Bull",NORMINV(RAND(),Assumptions!$B$5,Assumptions!$B$6),NORMINV(RAND(),Assumptions!$B$8,Assumptions!$B$9))</f>
        <v>0.229422121937166</v>
      </c>
      <c r="J222" s="8" t="n">
        <f aca="true">IF(D222="Bull",NORMINV(RAND(),Assumptions!$B$5,Assumptions!$B$6),NORMINV(RAND(),Assumptions!$B$8,Assumptions!$B$9))</f>
        <v>-0.340692802481125</v>
      </c>
      <c r="K222" s="8" t="n">
        <f aca="true">IF(E222="Bull",NORMINV(RAND(),Assumptions!$B$5,Assumptions!$B$6),NORMINV(RAND(),Assumptions!$B$8,Assumptions!$B$9))</f>
        <v>0.21376773677164</v>
      </c>
      <c r="L222" s="8" t="n">
        <f aca="true">IF(F222="Bull",NORMINV(RAND(),Assumptions!$B$5,Assumptions!$B$6),NORMINV(RAND(),Assumptions!$B$8,Assumptions!$B$9))</f>
        <v>0.189462280352201</v>
      </c>
      <c r="M222" s="8" t="n">
        <f aca="true">IF(G222="Bull",NORMINV(RAND(),Assumptions!$B$5,Assumptions!$B$6),NORMINV(RAND(),Assumptions!$B$8,Assumptions!$B$9))</f>
        <v>0.137449472447692</v>
      </c>
      <c r="N222" s="8" t="n">
        <f aca="true">NORMINV(RAND(),Assumptions!$B$14,Assumptions!$B$15)</f>
        <v>0.0182140946091945</v>
      </c>
      <c r="O222" s="8" t="n">
        <f aca="true">NORMINV(RAND(),Assumptions!$B$14,Assumptions!$B$15)</f>
        <v>0.0538598060958053</v>
      </c>
      <c r="P222" s="8" t="n">
        <f aca="true">NORMINV(RAND(),Assumptions!$B$14,Assumptions!$B$15)</f>
        <v>0.0685765032944121</v>
      </c>
      <c r="Q222" s="8" t="n">
        <f aca="true">NORMINV(RAND(),Assumptions!$B$14,Assumptions!$B$15)</f>
        <v>0.0926545686925455</v>
      </c>
      <c r="R222" s="8" t="n">
        <f aca="true">NORMINV(RAND(),Assumptions!$B$14,Assumptions!$B$15)</f>
        <v>0.0439655671571172</v>
      </c>
      <c r="S222" s="8" t="n">
        <f aca="true">NORMINV(RAND(),Assumptions!$B$14,Assumptions!$B$15)</f>
        <v>0.0755045502841227</v>
      </c>
      <c r="T222" s="8" t="n">
        <f aca="false">Assumptions!$B$19*H222+(1-Assumptions!$B$19)*N222</f>
        <v>-0.515788001018818</v>
      </c>
      <c r="U222" s="8" t="n">
        <f aca="false">Assumptions!$B$20*I222+(1-Assumptions!$B$20)*O222</f>
        <v>0.229422121937166</v>
      </c>
      <c r="V222" s="8" t="n">
        <f aca="false">Assumptions!$B$21*J222+(1-Assumptions!$B$21)*P222</f>
        <v>-0.340692802481125</v>
      </c>
      <c r="W222" s="8" t="n">
        <f aca="false">Assumptions!$B$22*K222+(1-Assumptions!$B$22)*Q222</f>
        <v>0.21376773677164</v>
      </c>
      <c r="X222" s="8" t="n">
        <f aca="false">Assumptions!$B$23*L222+(1-Assumptions!$B$23)*R222</f>
        <v>0.160362937713184</v>
      </c>
      <c r="Y222" s="8" t="n">
        <f aca="false">Assumptions!$B$24*M222+(1-Assumptions!$B$24)*S222</f>
        <v>0.112671503582264</v>
      </c>
      <c r="Z222" s="6" t="n">
        <f aca="false">Assumptions!$B$27*(1+T222)</f>
        <v>145263.599694355</v>
      </c>
      <c r="AA222" s="6" t="n">
        <f aca="false">(Z222+Assumptions!$B$28)*(1+U222)</f>
        <v>363003.601267039</v>
      </c>
      <c r="AB222" s="6" t="n">
        <f aca="false">AA222*(1+V222)</f>
        <v>239330.887040631</v>
      </c>
      <c r="AC222" s="6" t="n">
        <f aca="false">AB222*(1+W222)</f>
        <v>290492.109102856</v>
      </c>
      <c r="AD222" s="6" t="n">
        <f aca="false">AC222*(1+X222)</f>
        <v>337076.277101088</v>
      </c>
      <c r="AE222" s="6" t="n">
        <f aca="false">AD222*(1+Y222)</f>
        <v>375055.16806398</v>
      </c>
      <c r="AF222" s="6" t="n">
        <f aca="false">Z222</f>
        <v>145263.599694355</v>
      </c>
      <c r="AG222" s="6" t="n">
        <f aca="false">MAX(AF222,AA222)</f>
        <v>363003.601267039</v>
      </c>
      <c r="AH222" s="6" t="n">
        <f aca="false">MAX(AG222,AB222)</f>
        <v>363003.601267039</v>
      </c>
      <c r="AI222" s="6" t="n">
        <f aca="false">MAX(AH222,AC222)</f>
        <v>363003.601267039</v>
      </c>
      <c r="AJ222" s="6" t="n">
        <f aca="false">MAX(AI222,AD222)</f>
        <v>363003.601267039</v>
      </c>
      <c r="AK222" s="6" t="n">
        <f aca="false">MAX(AJ222,AE222)</f>
        <v>375055.16806398</v>
      </c>
      <c r="AL222" s="8" t="n">
        <f aca="false">MIN(Z222/AF222-1,AA222/AG222-1,AB222/AH222-1,AC222/AI222-1,AD222/AJ222-1,AE222/AK222-1)</f>
        <v>-0.340692802481125</v>
      </c>
      <c r="AM222" s="6" t="n">
        <f aca="false">AE222-Assumptions!$B$35</f>
        <v>-66208.8285985238</v>
      </c>
    </row>
    <row r="223" customFormat="false" ht="15" hidden="false" customHeight="false" outlineLevel="0" collapsed="false">
      <c r="A223" s="0" t="n">
        <f aca="false">ROW()-1</f>
        <v>222</v>
      </c>
      <c r="B223" s="0" t="str">
        <f aca="true">IF(RAND()&lt;Assumptions!$B$11,"Bull","Bear")</f>
        <v>Bear</v>
      </c>
      <c r="C223" s="0" t="str">
        <f aca="true">IF(B223="Bull",IF(RAND()&lt;Assumptions!$B$7,"Bull","Bear"),IF(RAND()&lt;Assumptions!$B$10,"Bear","Bull"))</f>
        <v>Bull</v>
      </c>
      <c r="D223" s="0" t="str">
        <f aca="true">IF(C223="Bull",IF(RAND()&lt;Assumptions!$B$7,"Bull","Bear"),IF(RAND()&lt;Assumptions!$B$10,"Bear","Bull"))</f>
        <v>Bull</v>
      </c>
      <c r="E223" s="0" t="str">
        <f aca="true">IF(D223="Bull",IF(RAND()&lt;Assumptions!$B$7,"Bull","Bear"),IF(RAND()&lt;Assumptions!$B$10,"Bear","Bull"))</f>
        <v>Bull</v>
      </c>
      <c r="F223" s="0" t="str">
        <f aca="true">IF(E223="Bull",IF(RAND()&lt;Assumptions!$B$7,"Bull","Bear"),IF(RAND()&lt;Assumptions!$B$10,"Bear","Bull"))</f>
        <v>Bull</v>
      </c>
      <c r="G223" s="0" t="str">
        <f aca="true">IF(F223="Bull",IF(RAND()&lt;Assumptions!$B$7,"Bull","Bear"),IF(RAND()&lt;Assumptions!$B$10,"Bear","Bull"))</f>
        <v>Bull</v>
      </c>
      <c r="H223" s="8" t="n">
        <f aca="true">IF(B223="Bull",NORMINV(RAND(),Assumptions!$B$5,Assumptions!$B$6),NORMINV(RAND(),Assumptions!$B$8,Assumptions!$B$9))</f>
        <v>-0.146648062375457</v>
      </c>
      <c r="I223" s="8" t="n">
        <f aca="true">IF(C223="Bull",NORMINV(RAND(),Assumptions!$B$5,Assumptions!$B$6),NORMINV(RAND(),Assumptions!$B$8,Assumptions!$B$9))</f>
        <v>0.16898543812801</v>
      </c>
      <c r="J223" s="8" t="n">
        <f aca="true">IF(D223="Bull",NORMINV(RAND(),Assumptions!$B$5,Assumptions!$B$6),NORMINV(RAND(),Assumptions!$B$8,Assumptions!$B$9))</f>
        <v>0.171574292230893</v>
      </c>
      <c r="K223" s="8" t="n">
        <f aca="true">IF(E223="Bull",NORMINV(RAND(),Assumptions!$B$5,Assumptions!$B$6),NORMINV(RAND(),Assumptions!$B$8,Assumptions!$B$9))</f>
        <v>0.212198180458284</v>
      </c>
      <c r="L223" s="8" t="n">
        <f aca="true">IF(F223="Bull",NORMINV(RAND(),Assumptions!$B$5,Assumptions!$B$6),NORMINV(RAND(),Assumptions!$B$8,Assumptions!$B$9))</f>
        <v>0.168811157347147</v>
      </c>
      <c r="M223" s="8" t="n">
        <f aca="true">IF(G223="Bull",NORMINV(RAND(),Assumptions!$B$5,Assumptions!$B$6),NORMINV(RAND(),Assumptions!$B$8,Assumptions!$B$9))</f>
        <v>0.0886313252022523</v>
      </c>
      <c r="N223" s="8" t="n">
        <f aca="true">NORMINV(RAND(),Assumptions!$B$14,Assumptions!$B$15)</f>
        <v>0.060901911950499</v>
      </c>
      <c r="O223" s="8" t="n">
        <f aca="true">NORMINV(RAND(),Assumptions!$B$14,Assumptions!$B$15)</f>
        <v>0.0195566396986287</v>
      </c>
      <c r="P223" s="8" t="n">
        <f aca="true">NORMINV(RAND(),Assumptions!$B$14,Assumptions!$B$15)</f>
        <v>0.0592631174080562</v>
      </c>
      <c r="Q223" s="8" t="n">
        <f aca="true">NORMINV(RAND(),Assumptions!$B$14,Assumptions!$B$15)</f>
        <v>0.102877099680358</v>
      </c>
      <c r="R223" s="8" t="n">
        <f aca="true">NORMINV(RAND(),Assumptions!$B$14,Assumptions!$B$15)</f>
        <v>-0.0112169798444798</v>
      </c>
      <c r="S223" s="8" t="n">
        <f aca="true">NORMINV(RAND(),Assumptions!$B$14,Assumptions!$B$15)</f>
        <v>0.0495305373014618</v>
      </c>
      <c r="T223" s="8" t="n">
        <f aca="false">Assumptions!$B$19*H223+(1-Assumptions!$B$19)*N223</f>
        <v>-0.146648062375457</v>
      </c>
      <c r="U223" s="8" t="n">
        <f aca="false">Assumptions!$B$20*I223+(1-Assumptions!$B$20)*O223</f>
        <v>0.16898543812801</v>
      </c>
      <c r="V223" s="8" t="n">
        <f aca="false">Assumptions!$B$21*J223+(1-Assumptions!$B$21)*P223</f>
        <v>0.171574292230893</v>
      </c>
      <c r="W223" s="8" t="n">
        <f aca="false">Assumptions!$B$22*K223+(1-Assumptions!$B$22)*Q223</f>
        <v>0.212198180458284</v>
      </c>
      <c r="X223" s="8" t="n">
        <f aca="false">Assumptions!$B$23*L223+(1-Assumptions!$B$23)*R223</f>
        <v>0.132805529908822</v>
      </c>
      <c r="Y223" s="8" t="n">
        <f aca="false">Assumptions!$B$24*M223+(1-Assumptions!$B$24)*S223</f>
        <v>0.0729910100419361</v>
      </c>
      <c r="Z223" s="6" t="n">
        <f aca="false">Assumptions!$B$27*(1+T223)</f>
        <v>256005.581287363</v>
      </c>
      <c r="AA223" s="6" t="n">
        <f aca="false">(Z223+Assumptions!$B$28)*(1+U223)</f>
        <v>474614.612323625</v>
      </c>
      <c r="AB223" s="6" t="n">
        <f aca="false">AA223*(1+V223)</f>
        <v>556046.278515491</v>
      </c>
      <c r="AC223" s="6" t="n">
        <f aca="false">AB223*(1+W223)</f>
        <v>674038.287067078</v>
      </c>
      <c r="AD223" s="6" t="n">
        <f aca="false">AC223*(1+X223)</f>
        <v>763554.298959855</v>
      </c>
      <c r="AE223" s="6" t="n">
        <f aca="false">AD223*(1+Y223)</f>
        <v>819286.898462798</v>
      </c>
      <c r="AF223" s="6" t="n">
        <f aca="false">Z223</f>
        <v>256005.581287363</v>
      </c>
      <c r="AG223" s="6" t="n">
        <f aca="false">MAX(AF223,AA223)</f>
        <v>474614.612323625</v>
      </c>
      <c r="AH223" s="6" t="n">
        <f aca="false">MAX(AG223,AB223)</f>
        <v>556046.278515491</v>
      </c>
      <c r="AI223" s="6" t="n">
        <f aca="false">MAX(AH223,AC223)</f>
        <v>674038.287067078</v>
      </c>
      <c r="AJ223" s="6" t="n">
        <f aca="false">MAX(AI223,AD223)</f>
        <v>763554.298959855</v>
      </c>
      <c r="AK223" s="6" t="n">
        <f aca="false">MAX(AJ223,AE223)</f>
        <v>819286.898462798</v>
      </c>
      <c r="AL223" s="8" t="n">
        <f aca="false">MIN(Z223/AF223-1,AA223/AG223-1,AB223/AH223-1,AC223/AI223-1,AD223/AJ223-1,AE223/AK223-1)</f>
        <v>0</v>
      </c>
      <c r="AM223" s="6" t="n">
        <f aca="false">AE223-Assumptions!$B$35</f>
        <v>378022.901800294</v>
      </c>
    </row>
    <row r="224" customFormat="false" ht="15" hidden="false" customHeight="false" outlineLevel="0" collapsed="false">
      <c r="A224" s="0" t="n">
        <f aca="false">ROW()-1</f>
        <v>223</v>
      </c>
      <c r="B224" s="0" t="str">
        <f aca="true">IF(RAND()&lt;Assumptions!$B$11,"Bull","Bear")</f>
        <v>Bear</v>
      </c>
      <c r="C224" s="0" t="str">
        <f aca="true">IF(B224="Bull",IF(RAND()&lt;Assumptions!$B$7,"Bull","Bear"),IF(RAND()&lt;Assumptions!$B$10,"Bear","Bull"))</f>
        <v>Bull</v>
      </c>
      <c r="D224" s="0" t="str">
        <f aca="true">IF(C224="Bull",IF(RAND()&lt;Assumptions!$B$7,"Bull","Bear"),IF(RAND()&lt;Assumptions!$B$10,"Bear","Bull"))</f>
        <v>Bull</v>
      </c>
      <c r="E224" s="0" t="str">
        <f aca="true">IF(D224="Bull",IF(RAND()&lt;Assumptions!$B$7,"Bull","Bear"),IF(RAND()&lt;Assumptions!$B$10,"Bear","Bull"))</f>
        <v>Bull</v>
      </c>
      <c r="F224" s="0" t="str">
        <f aca="true">IF(E224="Bull",IF(RAND()&lt;Assumptions!$B$7,"Bull","Bear"),IF(RAND()&lt;Assumptions!$B$10,"Bear","Bull"))</f>
        <v>Bear</v>
      </c>
      <c r="G224" s="0" t="str">
        <f aca="true">IF(F224="Bull",IF(RAND()&lt;Assumptions!$B$7,"Bull","Bear"),IF(RAND()&lt;Assumptions!$B$10,"Bear","Bull"))</f>
        <v>Bear</v>
      </c>
      <c r="H224" s="8" t="n">
        <f aca="true">IF(B224="Bull",NORMINV(RAND(),Assumptions!$B$5,Assumptions!$B$6),NORMINV(RAND(),Assumptions!$B$8,Assumptions!$B$9))</f>
        <v>-0.294491310667469</v>
      </c>
      <c r="I224" s="8" t="n">
        <f aca="true">IF(C224="Bull",NORMINV(RAND(),Assumptions!$B$5,Assumptions!$B$6),NORMINV(RAND(),Assumptions!$B$8,Assumptions!$B$9))</f>
        <v>0.0332627436412418</v>
      </c>
      <c r="J224" s="8" t="n">
        <f aca="true">IF(D224="Bull",NORMINV(RAND(),Assumptions!$B$5,Assumptions!$B$6),NORMINV(RAND(),Assumptions!$B$8,Assumptions!$B$9))</f>
        <v>0.190842352441664</v>
      </c>
      <c r="K224" s="8" t="n">
        <f aca="true">IF(E224="Bull",NORMINV(RAND(),Assumptions!$B$5,Assumptions!$B$6),NORMINV(RAND(),Assumptions!$B$8,Assumptions!$B$9))</f>
        <v>0.395525525544034</v>
      </c>
      <c r="L224" s="8" t="n">
        <f aca="true">IF(F224="Bull",NORMINV(RAND(),Assumptions!$B$5,Assumptions!$B$6),NORMINV(RAND(),Assumptions!$B$8,Assumptions!$B$9))</f>
        <v>-0.289290455353333</v>
      </c>
      <c r="M224" s="8" t="n">
        <f aca="true">IF(G224="Bull",NORMINV(RAND(),Assumptions!$B$5,Assumptions!$B$6),NORMINV(RAND(),Assumptions!$B$8,Assumptions!$B$9))</f>
        <v>0.198168953110494</v>
      </c>
      <c r="N224" s="8" t="n">
        <f aca="true">NORMINV(RAND(),Assumptions!$B$14,Assumptions!$B$15)</f>
        <v>0.0831026755674945</v>
      </c>
      <c r="O224" s="8" t="n">
        <f aca="true">NORMINV(RAND(),Assumptions!$B$14,Assumptions!$B$15)</f>
        <v>0.0118879714975552</v>
      </c>
      <c r="P224" s="8" t="n">
        <f aca="true">NORMINV(RAND(),Assumptions!$B$14,Assumptions!$B$15)</f>
        <v>0.0191201533123258</v>
      </c>
      <c r="Q224" s="8" t="n">
        <f aca="true">NORMINV(RAND(),Assumptions!$B$14,Assumptions!$B$15)</f>
        <v>0.0334424241290722</v>
      </c>
      <c r="R224" s="8" t="n">
        <f aca="true">NORMINV(RAND(),Assumptions!$B$14,Assumptions!$B$15)</f>
        <v>0.0383339397335146</v>
      </c>
      <c r="S224" s="8" t="n">
        <f aca="true">NORMINV(RAND(),Assumptions!$B$14,Assumptions!$B$15)</f>
        <v>0.0622137517505104</v>
      </c>
      <c r="T224" s="8" t="n">
        <f aca="false">Assumptions!$B$19*H224+(1-Assumptions!$B$19)*N224</f>
        <v>-0.294491310667469</v>
      </c>
      <c r="U224" s="8" t="n">
        <f aca="false">Assumptions!$B$20*I224+(1-Assumptions!$B$20)*O224</f>
        <v>0.0332627436412418</v>
      </c>
      <c r="V224" s="8" t="n">
        <f aca="false">Assumptions!$B$21*J224+(1-Assumptions!$B$21)*P224</f>
        <v>0.190842352441664</v>
      </c>
      <c r="W224" s="8" t="n">
        <f aca="false">Assumptions!$B$22*K224+(1-Assumptions!$B$22)*Q224</f>
        <v>0.395525525544034</v>
      </c>
      <c r="X224" s="8" t="n">
        <f aca="false">Assumptions!$B$23*L224+(1-Assumptions!$B$23)*R224</f>
        <v>-0.223765576335963</v>
      </c>
      <c r="Y224" s="8" t="n">
        <f aca="false">Assumptions!$B$24*M224+(1-Assumptions!$B$24)*S224</f>
        <v>0.143786872566501</v>
      </c>
      <c r="Z224" s="6" t="n">
        <f aca="false">Assumptions!$B$27*(1+T224)</f>
        <v>211652.606799759</v>
      </c>
      <c r="AA224" s="6" t="n">
        <f aca="false">(Z224+Assumptions!$B$28)*(1+U224)</f>
        <v>373682.164746926</v>
      </c>
      <c r="AB224" s="6" t="n">
        <f aca="false">AA224*(1+V224)</f>
        <v>444996.548132723</v>
      </c>
      <c r="AC224" s="6" t="n">
        <f aca="false">AB224*(1+W224)</f>
        <v>621004.0416982</v>
      </c>
      <c r="AD224" s="6" t="n">
        <f aca="false">AC224*(1+X224)</f>
        <v>482044.714400639</v>
      </c>
      <c r="AE224" s="6" t="n">
        <f aca="false">AD224*(1+Y224)</f>
        <v>551356.416321519</v>
      </c>
      <c r="AF224" s="6" t="n">
        <f aca="false">Z224</f>
        <v>211652.606799759</v>
      </c>
      <c r="AG224" s="6" t="n">
        <f aca="false">MAX(AF224,AA224)</f>
        <v>373682.164746926</v>
      </c>
      <c r="AH224" s="6" t="n">
        <f aca="false">MAX(AG224,AB224)</f>
        <v>444996.548132723</v>
      </c>
      <c r="AI224" s="6" t="n">
        <f aca="false">MAX(AH224,AC224)</f>
        <v>621004.0416982</v>
      </c>
      <c r="AJ224" s="6" t="n">
        <f aca="false">MAX(AI224,AD224)</f>
        <v>621004.0416982</v>
      </c>
      <c r="AK224" s="6" t="n">
        <f aca="false">MAX(AJ224,AE224)</f>
        <v>621004.0416982</v>
      </c>
      <c r="AL224" s="8" t="n">
        <f aca="false">MIN(Z224/AF224-1,AA224/AG224-1,AB224/AH224-1,AC224/AI224-1,AD224/AJ224-1,AE224/AK224-1)</f>
        <v>-0.223765576335963</v>
      </c>
      <c r="AM224" s="6" t="n">
        <f aca="false">AE224-Assumptions!$B$35</f>
        <v>110092.419659016</v>
      </c>
    </row>
    <row r="225" customFormat="false" ht="15" hidden="false" customHeight="false" outlineLevel="0" collapsed="false">
      <c r="A225" s="0" t="n">
        <f aca="false">ROW()-1</f>
        <v>224</v>
      </c>
      <c r="B225" s="0" t="str">
        <f aca="true">IF(RAND()&lt;Assumptions!$B$11,"Bull","Bear")</f>
        <v>Bull</v>
      </c>
      <c r="C225" s="0" t="str">
        <f aca="true">IF(B225="Bull",IF(RAND()&lt;Assumptions!$B$7,"Bull","Bear"),IF(RAND()&lt;Assumptions!$B$10,"Bear","Bull"))</f>
        <v>Bull</v>
      </c>
      <c r="D225" s="0" t="str">
        <f aca="true">IF(C225="Bull",IF(RAND()&lt;Assumptions!$B$7,"Bull","Bear"),IF(RAND()&lt;Assumptions!$B$10,"Bear","Bull"))</f>
        <v>Bear</v>
      </c>
      <c r="E225" s="0" t="str">
        <f aca="true">IF(D225="Bull",IF(RAND()&lt;Assumptions!$B$7,"Bull","Bear"),IF(RAND()&lt;Assumptions!$B$10,"Bear","Bull"))</f>
        <v>Bear</v>
      </c>
      <c r="F225" s="0" t="str">
        <f aca="true">IF(E225="Bull",IF(RAND()&lt;Assumptions!$B$7,"Bull","Bear"),IF(RAND()&lt;Assumptions!$B$10,"Bear","Bull"))</f>
        <v>Bear</v>
      </c>
      <c r="G225" s="0" t="str">
        <f aca="true">IF(F225="Bull",IF(RAND()&lt;Assumptions!$B$7,"Bull","Bear"),IF(RAND()&lt;Assumptions!$B$10,"Bear","Bull"))</f>
        <v>Bear</v>
      </c>
      <c r="H225" s="8" t="n">
        <f aca="true">IF(B225="Bull",NORMINV(RAND(),Assumptions!$B$5,Assumptions!$B$6),NORMINV(RAND(),Assumptions!$B$8,Assumptions!$B$9))</f>
        <v>0.0121599445133319</v>
      </c>
      <c r="I225" s="8" t="n">
        <f aca="true">IF(C225="Bull",NORMINV(RAND(),Assumptions!$B$5,Assumptions!$B$6),NORMINV(RAND(),Assumptions!$B$8,Assumptions!$B$9))</f>
        <v>0.220873135399591</v>
      </c>
      <c r="J225" s="8" t="n">
        <f aca="true">IF(D225="Bull",NORMINV(RAND(),Assumptions!$B$5,Assumptions!$B$6),NORMINV(RAND(),Assumptions!$B$8,Assumptions!$B$9))</f>
        <v>-0.240158743252758</v>
      </c>
      <c r="K225" s="8" t="n">
        <f aca="true">IF(E225="Bull",NORMINV(RAND(),Assumptions!$B$5,Assumptions!$B$6),NORMINV(RAND(),Assumptions!$B$8,Assumptions!$B$9))</f>
        <v>0.231963143821245</v>
      </c>
      <c r="L225" s="8" t="n">
        <f aca="true">IF(F225="Bull",NORMINV(RAND(),Assumptions!$B$5,Assumptions!$B$6),NORMINV(RAND(),Assumptions!$B$8,Assumptions!$B$9))</f>
        <v>-0.263718789352351</v>
      </c>
      <c r="M225" s="8" t="n">
        <f aca="true">IF(G225="Bull",NORMINV(RAND(),Assumptions!$B$5,Assumptions!$B$6),NORMINV(RAND(),Assumptions!$B$8,Assumptions!$B$9))</f>
        <v>0.141900013544108</v>
      </c>
      <c r="N225" s="8" t="n">
        <f aca="true">NORMINV(RAND(),Assumptions!$B$14,Assumptions!$B$15)</f>
        <v>0.0185101193719101</v>
      </c>
      <c r="O225" s="8" t="n">
        <f aca="true">NORMINV(RAND(),Assumptions!$B$14,Assumptions!$B$15)</f>
        <v>0.0889179863584869</v>
      </c>
      <c r="P225" s="8" t="n">
        <f aca="true">NORMINV(RAND(),Assumptions!$B$14,Assumptions!$B$15)</f>
        <v>0.0684734356454347</v>
      </c>
      <c r="Q225" s="8" t="n">
        <f aca="true">NORMINV(RAND(),Assumptions!$B$14,Assumptions!$B$15)</f>
        <v>0.0284174222198449</v>
      </c>
      <c r="R225" s="8" t="n">
        <f aca="true">NORMINV(RAND(),Assumptions!$B$14,Assumptions!$B$15)</f>
        <v>0.0986494214814939</v>
      </c>
      <c r="S225" s="8" t="n">
        <f aca="true">NORMINV(RAND(),Assumptions!$B$14,Assumptions!$B$15)</f>
        <v>0.032796912725378</v>
      </c>
      <c r="T225" s="8" t="n">
        <f aca="false">Assumptions!$B$19*H225+(1-Assumptions!$B$19)*N225</f>
        <v>0.0121599445133319</v>
      </c>
      <c r="U225" s="8" t="n">
        <f aca="false">Assumptions!$B$20*I225+(1-Assumptions!$B$20)*O225</f>
        <v>0.220873135399591</v>
      </c>
      <c r="V225" s="8" t="n">
        <f aca="false">Assumptions!$B$21*J225+(1-Assumptions!$B$21)*P225</f>
        <v>-0.240158743252758</v>
      </c>
      <c r="W225" s="8" t="n">
        <f aca="false">Assumptions!$B$22*K225+(1-Assumptions!$B$22)*Q225</f>
        <v>0.231963143821245</v>
      </c>
      <c r="X225" s="8" t="n">
        <f aca="false">Assumptions!$B$23*L225+(1-Assumptions!$B$23)*R225</f>
        <v>-0.191245147185582</v>
      </c>
      <c r="Y225" s="8" t="n">
        <f aca="false">Assumptions!$B$24*M225+(1-Assumptions!$B$24)*S225</f>
        <v>0.098258773216616</v>
      </c>
      <c r="Z225" s="6" t="n">
        <f aca="false">Assumptions!$B$27*(1+T225)</f>
        <v>303647.983354</v>
      </c>
      <c r="AA225" s="6" t="n">
        <f aca="false">(Z225+Assumptions!$B$28)*(1+U225)</f>
        <v>553846.635805099</v>
      </c>
      <c r="AB225" s="6" t="n">
        <f aca="false">AA225*(1+V225)</f>
        <v>420835.523795378</v>
      </c>
      <c r="AC225" s="6" t="n">
        <f aca="false">AB225*(1+W225)</f>
        <v>518453.854926614</v>
      </c>
      <c r="AD225" s="6" t="n">
        <f aca="false">AC225*(1+X225)</f>
        <v>419302.071132241</v>
      </c>
      <c r="AE225" s="6" t="n">
        <f aca="false">AD225*(1+Y225)</f>
        <v>460502.178248882</v>
      </c>
      <c r="AF225" s="6" t="n">
        <f aca="false">Z225</f>
        <v>303647.983354</v>
      </c>
      <c r="AG225" s="6" t="n">
        <f aca="false">MAX(AF225,AA225)</f>
        <v>553846.635805099</v>
      </c>
      <c r="AH225" s="6" t="n">
        <f aca="false">MAX(AG225,AB225)</f>
        <v>553846.635805099</v>
      </c>
      <c r="AI225" s="6" t="n">
        <f aca="false">MAX(AH225,AC225)</f>
        <v>553846.635805099</v>
      </c>
      <c r="AJ225" s="6" t="n">
        <f aca="false">MAX(AI225,AD225)</f>
        <v>553846.635805099</v>
      </c>
      <c r="AK225" s="6" t="n">
        <f aca="false">MAX(AJ225,AE225)</f>
        <v>553846.635805099</v>
      </c>
      <c r="AL225" s="8" t="n">
        <f aca="false">MIN(Z225/AF225-1,AA225/AG225-1,AB225/AH225-1,AC225/AI225-1,AD225/AJ225-1,AE225/AK225-1)</f>
        <v>-0.242927474818506</v>
      </c>
      <c r="AM225" s="6" t="n">
        <f aca="false">AE225-Assumptions!$B$35</f>
        <v>19238.1815863783</v>
      </c>
    </row>
    <row r="226" customFormat="false" ht="15" hidden="false" customHeight="false" outlineLevel="0" collapsed="false">
      <c r="A226" s="0" t="n">
        <f aca="false">ROW()-1</f>
        <v>225</v>
      </c>
      <c r="B226" s="0" t="str">
        <f aca="true">IF(RAND()&lt;Assumptions!$B$11,"Bull","Bear")</f>
        <v>Bear</v>
      </c>
      <c r="C226" s="0" t="str">
        <f aca="true">IF(B226="Bull",IF(RAND()&lt;Assumptions!$B$7,"Bull","Bear"),IF(RAND()&lt;Assumptions!$B$10,"Bear","Bull"))</f>
        <v>Bull</v>
      </c>
      <c r="D226" s="0" t="str">
        <f aca="true">IF(C226="Bull",IF(RAND()&lt;Assumptions!$B$7,"Bull","Bear"),IF(RAND()&lt;Assumptions!$B$10,"Bear","Bull"))</f>
        <v>Bull</v>
      </c>
      <c r="E226" s="0" t="str">
        <f aca="true">IF(D226="Bull",IF(RAND()&lt;Assumptions!$B$7,"Bull","Bear"),IF(RAND()&lt;Assumptions!$B$10,"Bear","Bull"))</f>
        <v>Bull</v>
      </c>
      <c r="F226" s="0" t="str">
        <f aca="true">IF(E226="Bull",IF(RAND()&lt;Assumptions!$B$7,"Bull","Bear"),IF(RAND()&lt;Assumptions!$B$10,"Bear","Bull"))</f>
        <v>Bull</v>
      </c>
      <c r="G226" s="0" t="str">
        <f aca="true">IF(F226="Bull",IF(RAND()&lt;Assumptions!$B$7,"Bull","Bear"),IF(RAND()&lt;Assumptions!$B$10,"Bear","Bull"))</f>
        <v>Bear</v>
      </c>
      <c r="H226" s="8" t="n">
        <f aca="true">IF(B226="Bull",NORMINV(RAND(),Assumptions!$B$5,Assumptions!$B$6),NORMINV(RAND(),Assumptions!$B$8,Assumptions!$B$9))</f>
        <v>0.202895862862738</v>
      </c>
      <c r="I226" s="8" t="n">
        <f aca="true">IF(C226="Bull",NORMINV(RAND(),Assumptions!$B$5,Assumptions!$B$6),NORMINV(RAND(),Assumptions!$B$8,Assumptions!$B$9))</f>
        <v>0.19451701059121</v>
      </c>
      <c r="J226" s="8" t="n">
        <f aca="true">IF(D226="Bull",NORMINV(RAND(),Assumptions!$B$5,Assumptions!$B$6),NORMINV(RAND(),Assumptions!$B$8,Assumptions!$B$9))</f>
        <v>0.198472844919723</v>
      </c>
      <c r="K226" s="8" t="n">
        <f aca="true">IF(E226="Bull",NORMINV(RAND(),Assumptions!$B$5,Assumptions!$B$6),NORMINV(RAND(),Assumptions!$B$8,Assumptions!$B$9))</f>
        <v>0.136438398076271</v>
      </c>
      <c r="L226" s="8" t="n">
        <f aca="true">IF(F226="Bull",NORMINV(RAND(),Assumptions!$B$5,Assumptions!$B$6),NORMINV(RAND(),Assumptions!$B$8,Assumptions!$B$9))</f>
        <v>0.084719786909318</v>
      </c>
      <c r="M226" s="8" t="n">
        <f aca="true">IF(G226="Bull",NORMINV(RAND(),Assumptions!$B$5,Assumptions!$B$6),NORMINV(RAND(),Assumptions!$B$8,Assumptions!$B$9))</f>
        <v>-0.0361168170458188</v>
      </c>
      <c r="N226" s="8" t="n">
        <f aca="true">NORMINV(RAND(),Assumptions!$B$14,Assumptions!$B$15)</f>
        <v>0.068492905603776</v>
      </c>
      <c r="O226" s="8" t="n">
        <f aca="true">NORMINV(RAND(),Assumptions!$B$14,Assumptions!$B$15)</f>
        <v>0.0657950669091641</v>
      </c>
      <c r="P226" s="8" t="n">
        <f aca="true">NORMINV(RAND(),Assumptions!$B$14,Assumptions!$B$15)</f>
        <v>0.0500695795840389</v>
      </c>
      <c r="Q226" s="8" t="n">
        <f aca="true">NORMINV(RAND(),Assumptions!$B$14,Assumptions!$B$15)</f>
        <v>0.050083231960297</v>
      </c>
      <c r="R226" s="8" t="n">
        <f aca="true">NORMINV(RAND(),Assumptions!$B$14,Assumptions!$B$15)</f>
        <v>-0.000537570288418589</v>
      </c>
      <c r="S226" s="8" t="n">
        <f aca="true">NORMINV(RAND(),Assumptions!$B$14,Assumptions!$B$15)</f>
        <v>0.0511612161918966</v>
      </c>
      <c r="T226" s="8" t="n">
        <f aca="false">Assumptions!$B$19*H226+(1-Assumptions!$B$19)*N226</f>
        <v>0.202895862862738</v>
      </c>
      <c r="U226" s="8" t="n">
        <f aca="false">Assumptions!$B$20*I226+(1-Assumptions!$B$20)*O226</f>
        <v>0.19451701059121</v>
      </c>
      <c r="V226" s="8" t="n">
        <f aca="false">Assumptions!$B$21*J226+(1-Assumptions!$B$21)*P226</f>
        <v>0.198472844919723</v>
      </c>
      <c r="W226" s="8" t="n">
        <f aca="false">Assumptions!$B$22*K226+(1-Assumptions!$B$22)*Q226</f>
        <v>0.136438398076271</v>
      </c>
      <c r="X226" s="8" t="n">
        <f aca="false">Assumptions!$B$23*L226+(1-Assumptions!$B$23)*R226</f>
        <v>0.0676683154697707</v>
      </c>
      <c r="Y226" s="8" t="n">
        <f aca="false">Assumptions!$B$24*M226+(1-Assumptions!$B$24)*S226</f>
        <v>-0.00120560375073266</v>
      </c>
      <c r="Z226" s="6" t="n">
        <f aca="false">Assumptions!$B$27*(1+T226)</f>
        <v>360868.758858821</v>
      </c>
      <c r="AA226" s="6" t="n">
        <f aca="false">(Z226+Assumptions!$B$28)*(1+U226)</f>
        <v>610241.422636481</v>
      </c>
      <c r="AB226" s="6" t="n">
        <f aca="false">AA226*(1+V226)</f>
        <v>731357.773875003</v>
      </c>
      <c r="AC226" s="6" t="n">
        <f aca="false">AB226*(1+W226)</f>
        <v>831143.056963136</v>
      </c>
      <c r="AD226" s="6" t="n">
        <f aca="false">AC226*(1+X226)</f>
        <v>887385.107542227</v>
      </c>
      <c r="AE226" s="6" t="n">
        <f aca="false">AD226*(1+Y226)</f>
        <v>886315.27272823</v>
      </c>
      <c r="AF226" s="6" t="n">
        <f aca="false">Z226</f>
        <v>360868.758858821</v>
      </c>
      <c r="AG226" s="6" t="n">
        <f aca="false">MAX(AF226,AA226)</f>
        <v>610241.422636481</v>
      </c>
      <c r="AH226" s="6" t="n">
        <f aca="false">MAX(AG226,AB226)</f>
        <v>731357.773875003</v>
      </c>
      <c r="AI226" s="6" t="n">
        <f aca="false">MAX(AH226,AC226)</f>
        <v>831143.056963136</v>
      </c>
      <c r="AJ226" s="6" t="n">
        <f aca="false">MAX(AI226,AD226)</f>
        <v>887385.107542227</v>
      </c>
      <c r="AK226" s="6" t="n">
        <f aca="false">MAX(AJ226,AE226)</f>
        <v>887385.107542227</v>
      </c>
      <c r="AL226" s="8" t="n">
        <f aca="false">MIN(Z226/AF226-1,AA226/AG226-1,AB226/AH226-1,AC226/AI226-1,AD226/AJ226-1,AE226/AK226-1)</f>
        <v>-0.00120560375073264</v>
      </c>
      <c r="AM226" s="6" t="n">
        <f aca="false">AE226-Assumptions!$B$35</f>
        <v>445051.276065726</v>
      </c>
    </row>
    <row r="227" customFormat="false" ht="15" hidden="false" customHeight="false" outlineLevel="0" collapsed="false">
      <c r="A227" s="0" t="n">
        <f aca="false">ROW()-1</f>
        <v>226</v>
      </c>
      <c r="B227" s="0" t="str">
        <f aca="true">IF(RAND()&lt;Assumptions!$B$11,"Bull","Bear")</f>
        <v>Bull</v>
      </c>
      <c r="C227" s="0" t="str">
        <f aca="true">IF(B227="Bull",IF(RAND()&lt;Assumptions!$B$7,"Bull","Bear"),IF(RAND()&lt;Assumptions!$B$10,"Bear","Bull"))</f>
        <v>Bull</v>
      </c>
      <c r="D227" s="0" t="str">
        <f aca="true">IF(C227="Bull",IF(RAND()&lt;Assumptions!$B$7,"Bull","Bear"),IF(RAND()&lt;Assumptions!$B$10,"Bear","Bull"))</f>
        <v>Bull</v>
      </c>
      <c r="E227" s="0" t="str">
        <f aca="true">IF(D227="Bull",IF(RAND()&lt;Assumptions!$B$7,"Bull","Bear"),IF(RAND()&lt;Assumptions!$B$10,"Bear","Bull"))</f>
        <v>Bull</v>
      </c>
      <c r="F227" s="0" t="str">
        <f aca="true">IF(E227="Bull",IF(RAND()&lt;Assumptions!$B$7,"Bull","Bear"),IF(RAND()&lt;Assumptions!$B$10,"Bear","Bull"))</f>
        <v>Bull</v>
      </c>
      <c r="G227" s="0" t="str">
        <f aca="true">IF(F227="Bull",IF(RAND()&lt;Assumptions!$B$7,"Bull","Bear"),IF(RAND()&lt;Assumptions!$B$10,"Bear","Bull"))</f>
        <v>Bear</v>
      </c>
      <c r="H227" s="8" t="n">
        <f aca="true">IF(B227="Bull",NORMINV(RAND(),Assumptions!$B$5,Assumptions!$B$6),NORMINV(RAND(),Assumptions!$B$8,Assumptions!$B$9))</f>
        <v>0.1461836684453</v>
      </c>
      <c r="I227" s="8" t="n">
        <f aca="true">IF(C227="Bull",NORMINV(RAND(),Assumptions!$B$5,Assumptions!$B$6),NORMINV(RAND(),Assumptions!$B$8,Assumptions!$B$9))</f>
        <v>0.373455350236976</v>
      </c>
      <c r="J227" s="8" t="n">
        <f aca="true">IF(D227="Bull",NORMINV(RAND(),Assumptions!$B$5,Assumptions!$B$6),NORMINV(RAND(),Assumptions!$B$8,Assumptions!$B$9))</f>
        <v>0.190481639272896</v>
      </c>
      <c r="K227" s="8" t="n">
        <f aca="true">IF(E227="Bull",NORMINV(RAND(),Assumptions!$B$5,Assumptions!$B$6),NORMINV(RAND(),Assumptions!$B$8,Assumptions!$B$9))</f>
        <v>0.204063920497534</v>
      </c>
      <c r="L227" s="8" t="n">
        <f aca="true">IF(F227="Bull",NORMINV(RAND(),Assumptions!$B$5,Assumptions!$B$6),NORMINV(RAND(),Assumptions!$B$8,Assumptions!$B$9))</f>
        <v>0.24485645677773</v>
      </c>
      <c r="M227" s="8" t="n">
        <f aca="true">IF(G227="Bull",NORMINV(RAND(),Assumptions!$B$5,Assumptions!$B$6),NORMINV(RAND(),Assumptions!$B$8,Assumptions!$B$9))</f>
        <v>-0.37239499098548</v>
      </c>
      <c r="N227" s="8" t="n">
        <f aca="true">NORMINV(RAND(),Assumptions!$B$14,Assumptions!$B$15)</f>
        <v>-0.0218388605927034</v>
      </c>
      <c r="O227" s="8" t="n">
        <f aca="true">NORMINV(RAND(),Assumptions!$B$14,Assumptions!$B$15)</f>
        <v>0.0326629313989748</v>
      </c>
      <c r="P227" s="8" t="n">
        <f aca="true">NORMINV(RAND(),Assumptions!$B$14,Assumptions!$B$15)</f>
        <v>0.072889500564449</v>
      </c>
      <c r="Q227" s="8" t="n">
        <f aca="true">NORMINV(RAND(),Assumptions!$B$14,Assumptions!$B$15)</f>
        <v>0.0452381188392582</v>
      </c>
      <c r="R227" s="8" t="n">
        <f aca="true">NORMINV(RAND(),Assumptions!$B$14,Assumptions!$B$15)</f>
        <v>0.0336603597327069</v>
      </c>
      <c r="S227" s="8" t="n">
        <f aca="true">NORMINV(RAND(),Assumptions!$B$14,Assumptions!$B$15)</f>
        <v>0.0743532558807323</v>
      </c>
      <c r="T227" s="8" t="n">
        <f aca="false">Assumptions!$B$19*H227+(1-Assumptions!$B$19)*N227</f>
        <v>0.1461836684453</v>
      </c>
      <c r="U227" s="8" t="n">
        <f aca="false">Assumptions!$B$20*I227+(1-Assumptions!$B$20)*O227</f>
        <v>0.373455350236976</v>
      </c>
      <c r="V227" s="8" t="n">
        <f aca="false">Assumptions!$B$21*J227+(1-Assumptions!$B$21)*P227</f>
        <v>0.190481639272896</v>
      </c>
      <c r="W227" s="8" t="n">
        <f aca="false">Assumptions!$B$22*K227+(1-Assumptions!$B$22)*Q227</f>
        <v>0.204063920497534</v>
      </c>
      <c r="X227" s="8" t="n">
        <f aca="false">Assumptions!$B$23*L227+(1-Assumptions!$B$23)*R227</f>
        <v>0.202617237368725</v>
      </c>
      <c r="Y227" s="8" t="n">
        <f aca="false">Assumptions!$B$24*M227+(1-Assumptions!$B$24)*S227</f>
        <v>-0.193695692238995</v>
      </c>
      <c r="Z227" s="6" t="n">
        <f aca="false">Assumptions!$B$27*(1+T227)</f>
        <v>343855.10053359</v>
      </c>
      <c r="AA227" s="6" t="n">
        <f aca="false">(Z227+Assumptions!$B$28)*(1+U227)</f>
        <v>678287.930069679</v>
      </c>
      <c r="AB227" s="6" t="n">
        <f aca="false">AA227*(1+V227)</f>
        <v>807489.326888371</v>
      </c>
      <c r="AC227" s="6" t="n">
        <f aca="false">AB227*(1+W227)</f>
        <v>972268.764693127</v>
      </c>
      <c r="AD227" s="6" t="n">
        <f aca="false">AC227*(1+X227)</f>
        <v>1169267.17577515</v>
      </c>
      <c r="AE227" s="6" t="n">
        <f aca="false">AD227*(1+Y227)</f>
        <v>942785.160751049</v>
      </c>
      <c r="AF227" s="6" t="n">
        <f aca="false">Z227</f>
        <v>343855.10053359</v>
      </c>
      <c r="AG227" s="6" t="n">
        <f aca="false">MAX(AF227,AA227)</f>
        <v>678287.930069679</v>
      </c>
      <c r="AH227" s="6" t="n">
        <f aca="false">MAX(AG227,AB227)</f>
        <v>807489.326888371</v>
      </c>
      <c r="AI227" s="6" t="n">
        <f aca="false">MAX(AH227,AC227)</f>
        <v>972268.764693127</v>
      </c>
      <c r="AJ227" s="6" t="n">
        <f aca="false">MAX(AI227,AD227)</f>
        <v>1169267.17577515</v>
      </c>
      <c r="AK227" s="6" t="n">
        <f aca="false">MAX(AJ227,AE227)</f>
        <v>1169267.17577515</v>
      </c>
      <c r="AL227" s="8" t="n">
        <f aca="false">MIN(Z227/AF227-1,AA227/AG227-1,AB227/AH227-1,AC227/AI227-1,AD227/AJ227-1,AE227/AK227-1)</f>
        <v>-0.193695692238995</v>
      </c>
      <c r="AM227" s="6" t="n">
        <f aca="false">AE227-Assumptions!$B$35</f>
        <v>501521.164088545</v>
      </c>
    </row>
    <row r="228" customFormat="false" ht="15" hidden="false" customHeight="false" outlineLevel="0" collapsed="false">
      <c r="A228" s="0" t="n">
        <f aca="false">ROW()-1</f>
        <v>227</v>
      </c>
      <c r="B228" s="0" t="str">
        <f aca="true">IF(RAND()&lt;Assumptions!$B$11,"Bull","Bear")</f>
        <v>Bull</v>
      </c>
      <c r="C228" s="0" t="str">
        <f aca="true">IF(B228="Bull",IF(RAND()&lt;Assumptions!$B$7,"Bull","Bear"),IF(RAND()&lt;Assumptions!$B$10,"Bear","Bull"))</f>
        <v>Bull</v>
      </c>
      <c r="D228" s="0" t="str">
        <f aca="true">IF(C228="Bull",IF(RAND()&lt;Assumptions!$B$7,"Bull","Bear"),IF(RAND()&lt;Assumptions!$B$10,"Bear","Bull"))</f>
        <v>Bull</v>
      </c>
      <c r="E228" s="0" t="str">
        <f aca="true">IF(D228="Bull",IF(RAND()&lt;Assumptions!$B$7,"Bull","Bear"),IF(RAND()&lt;Assumptions!$B$10,"Bear","Bull"))</f>
        <v>Bull</v>
      </c>
      <c r="F228" s="0" t="str">
        <f aca="true">IF(E228="Bull",IF(RAND()&lt;Assumptions!$B$7,"Bull","Bear"),IF(RAND()&lt;Assumptions!$B$10,"Bear","Bull"))</f>
        <v>Bull</v>
      </c>
      <c r="G228" s="0" t="str">
        <f aca="true">IF(F228="Bull",IF(RAND()&lt;Assumptions!$B$7,"Bull","Bear"),IF(RAND()&lt;Assumptions!$B$10,"Bear","Bull"))</f>
        <v>Bull</v>
      </c>
      <c r="H228" s="8" t="n">
        <f aca="true">IF(B228="Bull",NORMINV(RAND(),Assumptions!$B$5,Assumptions!$B$6),NORMINV(RAND(),Assumptions!$B$8,Assumptions!$B$9))</f>
        <v>0.133880378744623</v>
      </c>
      <c r="I228" s="8" t="n">
        <f aca="true">IF(C228="Bull",NORMINV(RAND(),Assumptions!$B$5,Assumptions!$B$6),NORMINV(RAND(),Assumptions!$B$8,Assumptions!$B$9))</f>
        <v>0.210554609399128</v>
      </c>
      <c r="J228" s="8" t="n">
        <f aca="true">IF(D228="Bull",NORMINV(RAND(),Assumptions!$B$5,Assumptions!$B$6),NORMINV(RAND(),Assumptions!$B$8,Assumptions!$B$9))</f>
        <v>0.0791534240634874</v>
      </c>
      <c r="K228" s="8" t="n">
        <f aca="true">IF(E228="Bull",NORMINV(RAND(),Assumptions!$B$5,Assumptions!$B$6),NORMINV(RAND(),Assumptions!$B$8,Assumptions!$B$9))</f>
        <v>0.414072404607734</v>
      </c>
      <c r="L228" s="8" t="n">
        <f aca="true">IF(F228="Bull",NORMINV(RAND(),Assumptions!$B$5,Assumptions!$B$6),NORMINV(RAND(),Assumptions!$B$8,Assumptions!$B$9))</f>
        <v>0.252185982525097</v>
      </c>
      <c r="M228" s="8" t="n">
        <f aca="true">IF(G228="Bull",NORMINV(RAND(),Assumptions!$B$5,Assumptions!$B$6),NORMINV(RAND(),Assumptions!$B$8,Assumptions!$B$9))</f>
        <v>0.0860436445734637</v>
      </c>
      <c r="N228" s="8" t="n">
        <f aca="true">NORMINV(RAND(),Assumptions!$B$14,Assumptions!$B$15)</f>
        <v>0.0748175916740943</v>
      </c>
      <c r="O228" s="8" t="n">
        <f aca="true">NORMINV(RAND(),Assumptions!$B$14,Assumptions!$B$15)</f>
        <v>0.0807813749722494</v>
      </c>
      <c r="P228" s="8" t="n">
        <f aca="true">NORMINV(RAND(),Assumptions!$B$14,Assumptions!$B$15)</f>
        <v>0.0773065984007426</v>
      </c>
      <c r="Q228" s="8" t="n">
        <f aca="true">NORMINV(RAND(),Assumptions!$B$14,Assumptions!$B$15)</f>
        <v>0.0336280656595184</v>
      </c>
      <c r="R228" s="8" t="n">
        <f aca="true">NORMINV(RAND(),Assumptions!$B$14,Assumptions!$B$15)</f>
        <v>0.0641295155724937</v>
      </c>
      <c r="S228" s="8" t="n">
        <f aca="true">NORMINV(RAND(),Assumptions!$B$14,Assumptions!$B$15)</f>
        <v>0.00517243038850209</v>
      </c>
      <c r="T228" s="8" t="n">
        <f aca="false">Assumptions!$B$19*H228+(1-Assumptions!$B$19)*N228</f>
        <v>0.133880378744623</v>
      </c>
      <c r="U228" s="8" t="n">
        <f aca="false">Assumptions!$B$20*I228+(1-Assumptions!$B$20)*O228</f>
        <v>0.210554609399128</v>
      </c>
      <c r="V228" s="8" t="n">
        <f aca="false">Assumptions!$B$21*J228+(1-Assumptions!$B$21)*P228</f>
        <v>0.0791534240634874</v>
      </c>
      <c r="W228" s="8" t="n">
        <f aca="false">Assumptions!$B$22*K228+(1-Assumptions!$B$22)*Q228</f>
        <v>0.414072404607734</v>
      </c>
      <c r="X228" s="8" t="n">
        <f aca="false">Assumptions!$B$23*L228+(1-Assumptions!$B$23)*R228</f>
        <v>0.214574689134576</v>
      </c>
      <c r="Y228" s="8" t="n">
        <f aca="false">Assumptions!$B$24*M228+(1-Assumptions!$B$24)*S228</f>
        <v>0.053695158899479</v>
      </c>
      <c r="Z228" s="6" t="n">
        <f aca="false">Assumptions!$B$27*(1+T228)</f>
        <v>340164.113623387</v>
      </c>
      <c r="AA228" s="6" t="n">
        <f aca="false">(Z228+Assumptions!$B$28)*(1+U228)</f>
        <v>593370.427108829</v>
      </c>
      <c r="AB228" s="6" t="n">
        <f aca="false">AA228*(1+V228)</f>
        <v>640337.728152507</v>
      </c>
      <c r="AC228" s="6" t="n">
        <f aca="false">AB228*(1+W228)</f>
        <v>905483.911009668</v>
      </c>
      <c r="AD228" s="6" t="n">
        <f aca="false">AC228*(1+X228)</f>
        <v>1099777.83973093</v>
      </c>
      <c r="AE228" s="6" t="n">
        <f aca="false">AD228*(1+Y228)</f>
        <v>1158830.58558941</v>
      </c>
      <c r="AF228" s="6" t="n">
        <f aca="false">Z228</f>
        <v>340164.113623387</v>
      </c>
      <c r="AG228" s="6" t="n">
        <f aca="false">MAX(AF228,AA228)</f>
        <v>593370.427108829</v>
      </c>
      <c r="AH228" s="6" t="n">
        <f aca="false">MAX(AG228,AB228)</f>
        <v>640337.728152507</v>
      </c>
      <c r="AI228" s="6" t="n">
        <f aca="false">MAX(AH228,AC228)</f>
        <v>905483.911009668</v>
      </c>
      <c r="AJ228" s="6" t="n">
        <f aca="false">MAX(AI228,AD228)</f>
        <v>1099777.83973093</v>
      </c>
      <c r="AK228" s="6" t="n">
        <f aca="false">MAX(AJ228,AE228)</f>
        <v>1158830.58558941</v>
      </c>
      <c r="AL228" s="8" t="n">
        <f aca="false">MIN(Z228/AF228-1,AA228/AG228-1,AB228/AH228-1,AC228/AI228-1,AD228/AJ228-1,AE228/AK228-1)</f>
        <v>0</v>
      </c>
      <c r="AM228" s="6" t="n">
        <f aca="false">AE228-Assumptions!$B$35</f>
        <v>717566.588926903</v>
      </c>
    </row>
    <row r="229" customFormat="false" ht="15" hidden="false" customHeight="false" outlineLevel="0" collapsed="false">
      <c r="A229" s="0" t="n">
        <f aca="false">ROW()-1</f>
        <v>228</v>
      </c>
      <c r="B229" s="0" t="str">
        <f aca="true">IF(RAND()&lt;Assumptions!$B$11,"Bull","Bear")</f>
        <v>Bull</v>
      </c>
      <c r="C229" s="0" t="str">
        <f aca="true">IF(B229="Bull",IF(RAND()&lt;Assumptions!$B$7,"Bull","Bear"),IF(RAND()&lt;Assumptions!$B$10,"Bear","Bull"))</f>
        <v>Bull</v>
      </c>
      <c r="D229" s="0" t="str">
        <f aca="true">IF(C229="Bull",IF(RAND()&lt;Assumptions!$B$7,"Bull","Bear"),IF(RAND()&lt;Assumptions!$B$10,"Bear","Bull"))</f>
        <v>Bull</v>
      </c>
      <c r="E229" s="0" t="str">
        <f aca="true">IF(D229="Bull",IF(RAND()&lt;Assumptions!$B$7,"Bull","Bear"),IF(RAND()&lt;Assumptions!$B$10,"Bear","Bull"))</f>
        <v>Bull</v>
      </c>
      <c r="F229" s="0" t="str">
        <f aca="true">IF(E229="Bull",IF(RAND()&lt;Assumptions!$B$7,"Bull","Bear"),IF(RAND()&lt;Assumptions!$B$10,"Bear","Bull"))</f>
        <v>Bull</v>
      </c>
      <c r="G229" s="0" t="str">
        <f aca="true">IF(F229="Bull",IF(RAND()&lt;Assumptions!$B$7,"Bull","Bear"),IF(RAND()&lt;Assumptions!$B$10,"Bear","Bull"))</f>
        <v>Bull</v>
      </c>
      <c r="H229" s="8" t="n">
        <f aca="true">IF(B229="Bull",NORMINV(RAND(),Assumptions!$B$5,Assumptions!$B$6),NORMINV(RAND(),Assumptions!$B$8,Assumptions!$B$9))</f>
        <v>0.0725307572644622</v>
      </c>
      <c r="I229" s="8" t="n">
        <f aca="true">IF(C229="Bull",NORMINV(RAND(),Assumptions!$B$5,Assumptions!$B$6),NORMINV(RAND(),Assumptions!$B$8,Assumptions!$B$9))</f>
        <v>0.113768858734116</v>
      </c>
      <c r="J229" s="8" t="n">
        <f aca="true">IF(D229="Bull",NORMINV(RAND(),Assumptions!$B$5,Assumptions!$B$6),NORMINV(RAND(),Assumptions!$B$8,Assumptions!$B$9))</f>
        <v>0.266344559618919</v>
      </c>
      <c r="K229" s="8" t="n">
        <f aca="true">IF(E229="Bull",NORMINV(RAND(),Assumptions!$B$5,Assumptions!$B$6),NORMINV(RAND(),Assumptions!$B$8,Assumptions!$B$9))</f>
        <v>0.281931403285193</v>
      </c>
      <c r="L229" s="8" t="n">
        <f aca="true">IF(F229="Bull",NORMINV(RAND(),Assumptions!$B$5,Assumptions!$B$6),NORMINV(RAND(),Assumptions!$B$8,Assumptions!$B$9))</f>
        <v>0.24922996071962</v>
      </c>
      <c r="M229" s="8" t="n">
        <f aca="true">IF(G229="Bull",NORMINV(RAND(),Assumptions!$B$5,Assumptions!$B$6),NORMINV(RAND(),Assumptions!$B$8,Assumptions!$B$9))</f>
        <v>0.114167503951528</v>
      </c>
      <c r="N229" s="8" t="n">
        <f aca="true">NORMINV(RAND(),Assumptions!$B$14,Assumptions!$B$15)</f>
        <v>0.0934891194897409</v>
      </c>
      <c r="O229" s="8" t="n">
        <f aca="true">NORMINV(RAND(),Assumptions!$B$14,Assumptions!$B$15)</f>
        <v>0.0504274207062087</v>
      </c>
      <c r="P229" s="8" t="n">
        <f aca="true">NORMINV(RAND(),Assumptions!$B$14,Assumptions!$B$15)</f>
        <v>0.0759128153146306</v>
      </c>
      <c r="Q229" s="8" t="n">
        <f aca="true">NORMINV(RAND(),Assumptions!$B$14,Assumptions!$B$15)</f>
        <v>-0.0116980926759526</v>
      </c>
      <c r="R229" s="8" t="n">
        <f aca="true">NORMINV(RAND(),Assumptions!$B$14,Assumptions!$B$15)</f>
        <v>0.0548897884415793</v>
      </c>
      <c r="S229" s="8" t="n">
        <f aca="true">NORMINV(RAND(),Assumptions!$B$14,Assumptions!$B$15)</f>
        <v>0.0151927945570453</v>
      </c>
      <c r="T229" s="8" t="n">
        <f aca="false">Assumptions!$B$19*H229+(1-Assumptions!$B$19)*N229</f>
        <v>0.0725307572644622</v>
      </c>
      <c r="U229" s="8" t="n">
        <f aca="false">Assumptions!$B$20*I229+(1-Assumptions!$B$20)*O229</f>
        <v>0.113768858734116</v>
      </c>
      <c r="V229" s="8" t="n">
        <f aca="false">Assumptions!$B$21*J229+(1-Assumptions!$B$21)*P229</f>
        <v>0.266344559618919</v>
      </c>
      <c r="W229" s="8" t="n">
        <f aca="false">Assumptions!$B$22*K229+(1-Assumptions!$B$22)*Q229</f>
        <v>0.281931403285193</v>
      </c>
      <c r="X229" s="8" t="n">
        <f aca="false">Assumptions!$B$23*L229+(1-Assumptions!$B$23)*R229</f>
        <v>0.210361926264012</v>
      </c>
      <c r="Y229" s="8" t="n">
        <f aca="false">Assumptions!$B$24*M229+(1-Assumptions!$B$24)*S229</f>
        <v>0.074577620193735</v>
      </c>
      <c r="Z229" s="6" t="n">
        <f aca="false">Assumptions!$B$27*(1+T229)</f>
        <v>321759.227179339</v>
      </c>
      <c r="AA229" s="6" t="n">
        <f aca="false">(Z229+Assumptions!$B$28)*(1+U229)</f>
        <v>525430.736052821</v>
      </c>
      <c r="AB229" s="6" t="n">
        <f aca="false">AA229*(1+V229)</f>
        <v>665376.354057054</v>
      </c>
      <c r="AC229" s="6" t="n">
        <f aca="false">AB229*(1+W229)</f>
        <v>852966.843269144</v>
      </c>
      <c r="AD229" s="6" t="n">
        <f aca="false">AC229*(1+X229)</f>
        <v>1032398.59145857</v>
      </c>
      <c r="AE229" s="6" t="n">
        <f aca="false">AD229*(1+Y229)</f>
        <v>1109392.42150092</v>
      </c>
      <c r="AF229" s="6" t="n">
        <f aca="false">Z229</f>
        <v>321759.227179339</v>
      </c>
      <c r="AG229" s="6" t="n">
        <f aca="false">MAX(AF229,AA229)</f>
        <v>525430.736052821</v>
      </c>
      <c r="AH229" s="6" t="n">
        <f aca="false">MAX(AG229,AB229)</f>
        <v>665376.354057054</v>
      </c>
      <c r="AI229" s="6" t="n">
        <f aca="false">MAX(AH229,AC229)</f>
        <v>852966.843269144</v>
      </c>
      <c r="AJ229" s="6" t="n">
        <f aca="false">MAX(AI229,AD229)</f>
        <v>1032398.59145857</v>
      </c>
      <c r="AK229" s="6" t="n">
        <f aca="false">MAX(AJ229,AE229)</f>
        <v>1109392.42150092</v>
      </c>
      <c r="AL229" s="8" t="n">
        <f aca="false">MIN(Z229/AF229-1,AA229/AG229-1,AB229/AH229-1,AC229/AI229-1,AD229/AJ229-1,AE229/AK229-1)</f>
        <v>0</v>
      </c>
      <c r="AM229" s="6" t="n">
        <f aca="false">AE229-Assumptions!$B$35</f>
        <v>668128.424838415</v>
      </c>
    </row>
    <row r="230" customFormat="false" ht="15" hidden="false" customHeight="false" outlineLevel="0" collapsed="false">
      <c r="A230" s="0" t="n">
        <f aca="false">ROW()-1</f>
        <v>229</v>
      </c>
      <c r="B230" s="0" t="str">
        <f aca="true">IF(RAND()&lt;Assumptions!$B$11,"Bull","Bear")</f>
        <v>Bull</v>
      </c>
      <c r="C230" s="0" t="str">
        <f aca="true">IF(B230="Bull",IF(RAND()&lt;Assumptions!$B$7,"Bull","Bear"),IF(RAND()&lt;Assumptions!$B$10,"Bear","Bull"))</f>
        <v>Bull</v>
      </c>
      <c r="D230" s="0" t="str">
        <f aca="true">IF(C230="Bull",IF(RAND()&lt;Assumptions!$B$7,"Bull","Bear"),IF(RAND()&lt;Assumptions!$B$10,"Bear","Bull"))</f>
        <v>Bear</v>
      </c>
      <c r="E230" s="0" t="str">
        <f aca="true">IF(D230="Bull",IF(RAND()&lt;Assumptions!$B$7,"Bull","Bear"),IF(RAND()&lt;Assumptions!$B$10,"Bear","Bull"))</f>
        <v>Bull</v>
      </c>
      <c r="F230" s="0" t="str">
        <f aca="true">IF(E230="Bull",IF(RAND()&lt;Assumptions!$B$7,"Bull","Bear"),IF(RAND()&lt;Assumptions!$B$10,"Bear","Bull"))</f>
        <v>Bull</v>
      </c>
      <c r="G230" s="0" t="str">
        <f aca="true">IF(F230="Bull",IF(RAND()&lt;Assumptions!$B$7,"Bull","Bear"),IF(RAND()&lt;Assumptions!$B$10,"Bear","Bull"))</f>
        <v>Bull</v>
      </c>
      <c r="H230" s="8" t="n">
        <f aca="true">IF(B230="Bull",NORMINV(RAND(),Assumptions!$B$5,Assumptions!$B$6),NORMINV(RAND(),Assumptions!$B$8,Assumptions!$B$9))</f>
        <v>0.185852200018437</v>
      </c>
      <c r="I230" s="8" t="n">
        <f aca="true">IF(C230="Bull",NORMINV(RAND(),Assumptions!$B$5,Assumptions!$B$6),NORMINV(RAND(),Assumptions!$B$8,Assumptions!$B$9))</f>
        <v>0.0931921108193265</v>
      </c>
      <c r="J230" s="8" t="n">
        <f aca="true">IF(D230="Bull",NORMINV(RAND(),Assumptions!$B$5,Assumptions!$B$6),NORMINV(RAND(),Assumptions!$B$8,Assumptions!$B$9))</f>
        <v>-0.08190731606693</v>
      </c>
      <c r="K230" s="8" t="n">
        <f aca="true">IF(E230="Bull",NORMINV(RAND(),Assumptions!$B$5,Assumptions!$B$6),NORMINV(RAND(),Assumptions!$B$8,Assumptions!$B$9))</f>
        <v>0.18021657903238</v>
      </c>
      <c r="L230" s="8" t="n">
        <f aca="true">IF(F230="Bull",NORMINV(RAND(),Assumptions!$B$5,Assumptions!$B$6),NORMINV(RAND(),Assumptions!$B$8,Assumptions!$B$9))</f>
        <v>0.199928629439004</v>
      </c>
      <c r="M230" s="8" t="n">
        <f aca="true">IF(G230="Bull",NORMINV(RAND(),Assumptions!$B$5,Assumptions!$B$6),NORMINV(RAND(),Assumptions!$B$8,Assumptions!$B$9))</f>
        <v>0.203993230781115</v>
      </c>
      <c r="N230" s="8" t="n">
        <f aca="true">NORMINV(RAND(),Assumptions!$B$14,Assumptions!$B$15)</f>
        <v>0.0164815885836048</v>
      </c>
      <c r="O230" s="8" t="n">
        <f aca="true">NORMINV(RAND(),Assumptions!$B$14,Assumptions!$B$15)</f>
        <v>0.00715522567889704</v>
      </c>
      <c r="P230" s="8" t="n">
        <f aca="true">NORMINV(RAND(),Assumptions!$B$14,Assumptions!$B$15)</f>
        <v>0.0838979229994082</v>
      </c>
      <c r="Q230" s="8" t="n">
        <f aca="true">NORMINV(RAND(),Assumptions!$B$14,Assumptions!$B$15)</f>
        <v>0.0217533803807074</v>
      </c>
      <c r="R230" s="8" t="n">
        <f aca="true">NORMINV(RAND(),Assumptions!$B$14,Assumptions!$B$15)</f>
        <v>0.0534709070623448</v>
      </c>
      <c r="S230" s="8" t="n">
        <f aca="true">NORMINV(RAND(),Assumptions!$B$14,Assumptions!$B$15)</f>
        <v>0.0590357255716932</v>
      </c>
      <c r="T230" s="8" t="n">
        <f aca="false">Assumptions!$B$19*H230+(1-Assumptions!$B$19)*N230</f>
        <v>0.185852200018437</v>
      </c>
      <c r="U230" s="8" t="n">
        <f aca="false">Assumptions!$B$20*I230+(1-Assumptions!$B$20)*O230</f>
        <v>0.0931921108193265</v>
      </c>
      <c r="V230" s="8" t="n">
        <f aca="false">Assumptions!$B$21*J230+(1-Assumptions!$B$21)*P230</f>
        <v>-0.08190731606693</v>
      </c>
      <c r="W230" s="8" t="n">
        <f aca="false">Assumptions!$B$22*K230+(1-Assumptions!$B$22)*Q230</f>
        <v>0.18021657903238</v>
      </c>
      <c r="X230" s="8" t="n">
        <f aca="false">Assumptions!$B$23*L230+(1-Assumptions!$B$23)*R230</f>
        <v>0.170637084963672</v>
      </c>
      <c r="Y230" s="8" t="n">
        <f aca="false">Assumptions!$B$24*M230+(1-Assumptions!$B$24)*S230</f>
        <v>0.146010228697346</v>
      </c>
      <c r="Z230" s="6" t="n">
        <f aca="false">Assumptions!$B$27*(1+T230)</f>
        <v>355755.660005531</v>
      </c>
      <c r="AA230" s="6" t="n">
        <f aca="false">(Z230+Assumptions!$B$28)*(1+U230)</f>
        <v>552888.097520268</v>
      </c>
      <c r="AB230" s="6" t="n">
        <f aca="false">AA230*(1+V230)</f>
        <v>507602.517367032</v>
      </c>
      <c r="AC230" s="6" t="n">
        <f aca="false">AB230*(1+W230)</f>
        <v>599080.906555143</v>
      </c>
      <c r="AD230" s="6" t="n">
        <f aca="false">AC230*(1+X230)</f>
        <v>701306.326107106</v>
      </c>
      <c r="AE230" s="6" t="n">
        <f aca="false">AD230*(1+Y230)</f>
        <v>803704.223168901</v>
      </c>
      <c r="AF230" s="6" t="n">
        <f aca="false">Z230</f>
        <v>355755.660005531</v>
      </c>
      <c r="AG230" s="6" t="n">
        <f aca="false">MAX(AF230,AA230)</f>
        <v>552888.097520268</v>
      </c>
      <c r="AH230" s="6" t="n">
        <f aca="false">MAX(AG230,AB230)</f>
        <v>552888.097520268</v>
      </c>
      <c r="AI230" s="6" t="n">
        <f aca="false">MAX(AH230,AC230)</f>
        <v>599080.906555143</v>
      </c>
      <c r="AJ230" s="6" t="n">
        <f aca="false">MAX(AI230,AD230)</f>
        <v>701306.326107106</v>
      </c>
      <c r="AK230" s="6" t="n">
        <f aca="false">MAX(AJ230,AE230)</f>
        <v>803704.223168901</v>
      </c>
      <c r="AL230" s="8" t="n">
        <f aca="false">MIN(Z230/AF230-1,AA230/AG230-1,AB230/AH230-1,AC230/AI230-1,AD230/AJ230-1,AE230/AK230-1)</f>
        <v>-0.08190731606693</v>
      </c>
      <c r="AM230" s="6" t="n">
        <f aca="false">AE230-Assumptions!$B$35</f>
        <v>362440.226506397</v>
      </c>
    </row>
    <row r="231" customFormat="false" ht="15" hidden="false" customHeight="false" outlineLevel="0" collapsed="false">
      <c r="A231" s="0" t="n">
        <f aca="false">ROW()-1</f>
        <v>230</v>
      </c>
      <c r="B231" s="0" t="str">
        <f aca="true">IF(RAND()&lt;Assumptions!$B$11,"Bull","Bear")</f>
        <v>Bull</v>
      </c>
      <c r="C231" s="0" t="str">
        <f aca="true">IF(B231="Bull",IF(RAND()&lt;Assumptions!$B$7,"Bull","Bear"),IF(RAND()&lt;Assumptions!$B$10,"Bear","Bull"))</f>
        <v>Bull</v>
      </c>
      <c r="D231" s="0" t="str">
        <f aca="true">IF(C231="Bull",IF(RAND()&lt;Assumptions!$B$7,"Bull","Bear"),IF(RAND()&lt;Assumptions!$B$10,"Bear","Bull"))</f>
        <v>Bull</v>
      </c>
      <c r="E231" s="0" t="str">
        <f aca="true">IF(D231="Bull",IF(RAND()&lt;Assumptions!$B$7,"Bull","Bear"),IF(RAND()&lt;Assumptions!$B$10,"Bear","Bull"))</f>
        <v>Bear</v>
      </c>
      <c r="F231" s="0" t="str">
        <f aca="true">IF(E231="Bull",IF(RAND()&lt;Assumptions!$B$7,"Bull","Bear"),IF(RAND()&lt;Assumptions!$B$10,"Bear","Bull"))</f>
        <v>Bear</v>
      </c>
      <c r="G231" s="0" t="str">
        <f aca="true">IF(F231="Bull",IF(RAND()&lt;Assumptions!$B$7,"Bull","Bear"),IF(RAND()&lt;Assumptions!$B$10,"Bear","Bull"))</f>
        <v>Bull</v>
      </c>
      <c r="H231" s="8" t="n">
        <f aca="true">IF(B231="Bull",NORMINV(RAND(),Assumptions!$B$5,Assumptions!$B$6),NORMINV(RAND(),Assumptions!$B$8,Assumptions!$B$9))</f>
        <v>0.0172203769623409</v>
      </c>
      <c r="I231" s="8" t="n">
        <f aca="true">IF(C231="Bull",NORMINV(RAND(),Assumptions!$B$5,Assumptions!$B$6),NORMINV(RAND(),Assumptions!$B$8,Assumptions!$B$9))</f>
        <v>0.0624048230277998</v>
      </c>
      <c r="J231" s="8" t="n">
        <f aca="true">IF(D231="Bull",NORMINV(RAND(),Assumptions!$B$5,Assumptions!$B$6),NORMINV(RAND(),Assumptions!$B$8,Assumptions!$B$9))</f>
        <v>0.178077203198777</v>
      </c>
      <c r="K231" s="8" t="n">
        <f aca="true">IF(E231="Bull",NORMINV(RAND(),Assumptions!$B$5,Assumptions!$B$6),NORMINV(RAND(),Assumptions!$B$8,Assumptions!$B$9))</f>
        <v>-0.528798335588447</v>
      </c>
      <c r="L231" s="8" t="n">
        <f aca="true">IF(F231="Bull",NORMINV(RAND(),Assumptions!$B$5,Assumptions!$B$6),NORMINV(RAND(),Assumptions!$B$8,Assumptions!$B$9))</f>
        <v>-0.0166279410870339</v>
      </c>
      <c r="M231" s="8" t="n">
        <f aca="true">IF(G231="Bull",NORMINV(RAND(),Assumptions!$B$5,Assumptions!$B$6),NORMINV(RAND(),Assumptions!$B$8,Assumptions!$B$9))</f>
        <v>0.039535611782808</v>
      </c>
      <c r="N231" s="8" t="n">
        <f aca="true">NORMINV(RAND(),Assumptions!$B$14,Assumptions!$B$15)</f>
        <v>0.0284128877163158</v>
      </c>
      <c r="O231" s="8" t="n">
        <f aca="true">NORMINV(RAND(),Assumptions!$B$14,Assumptions!$B$15)</f>
        <v>0.0765566574312298</v>
      </c>
      <c r="P231" s="8" t="n">
        <f aca="true">NORMINV(RAND(),Assumptions!$B$14,Assumptions!$B$15)</f>
        <v>0.0840856317842882</v>
      </c>
      <c r="Q231" s="8" t="n">
        <f aca="true">NORMINV(RAND(),Assumptions!$B$14,Assumptions!$B$15)</f>
        <v>0.0326997060909554</v>
      </c>
      <c r="R231" s="8" t="n">
        <f aca="true">NORMINV(RAND(),Assumptions!$B$14,Assumptions!$B$15)</f>
        <v>0.0670710988987369</v>
      </c>
      <c r="S231" s="8" t="n">
        <f aca="true">NORMINV(RAND(),Assumptions!$B$14,Assumptions!$B$15)</f>
        <v>0.0752666854973254</v>
      </c>
      <c r="T231" s="8" t="n">
        <f aca="false">Assumptions!$B$19*H231+(1-Assumptions!$B$19)*N231</f>
        <v>0.0172203769623409</v>
      </c>
      <c r="U231" s="8" t="n">
        <f aca="false">Assumptions!$B$20*I231+(1-Assumptions!$B$20)*O231</f>
        <v>0.0624048230277998</v>
      </c>
      <c r="V231" s="8" t="n">
        <f aca="false">Assumptions!$B$21*J231+(1-Assumptions!$B$21)*P231</f>
        <v>0.178077203198777</v>
      </c>
      <c r="W231" s="8" t="n">
        <f aca="false">Assumptions!$B$22*K231+(1-Assumptions!$B$22)*Q231</f>
        <v>-0.528798335588447</v>
      </c>
      <c r="X231" s="8" t="n">
        <f aca="false">Assumptions!$B$23*L231+(1-Assumptions!$B$23)*R231</f>
        <v>0.000111866910120242</v>
      </c>
      <c r="Y231" s="8" t="n">
        <f aca="false">Assumptions!$B$24*M231+(1-Assumptions!$B$24)*S231</f>
        <v>0.053828041268615</v>
      </c>
      <c r="Z231" s="6" t="n">
        <f aca="false">Assumptions!$B$27*(1+T231)</f>
        <v>305166.113088702</v>
      </c>
      <c r="AA231" s="6" t="n">
        <f aca="false">(Z231+Assumptions!$B$28)*(1+U231)</f>
        <v>483570.673824254</v>
      </c>
      <c r="AB231" s="6" t="n">
        <f aca="false">AA231*(1+V231)</f>
        <v>569683.586967825</v>
      </c>
      <c r="AC231" s="6" t="n">
        <f aca="false">AB231*(1+W231)</f>
        <v>268435.854367183</v>
      </c>
      <c r="AD231" s="6" t="n">
        <f aca="false">AC231*(1+X231)</f>
        <v>268465.883456777</v>
      </c>
      <c r="AE231" s="6" t="n">
        <f aca="false">AD231*(1+Y231)</f>
        <v>282916.876110703</v>
      </c>
      <c r="AF231" s="6" t="n">
        <f aca="false">Z231</f>
        <v>305166.113088702</v>
      </c>
      <c r="AG231" s="6" t="n">
        <f aca="false">MAX(AF231,AA231)</f>
        <v>483570.673824254</v>
      </c>
      <c r="AH231" s="6" t="n">
        <f aca="false">MAX(AG231,AB231)</f>
        <v>569683.586967825</v>
      </c>
      <c r="AI231" s="6" t="n">
        <f aca="false">MAX(AH231,AC231)</f>
        <v>569683.586967825</v>
      </c>
      <c r="AJ231" s="6" t="n">
        <f aca="false">MAX(AI231,AD231)</f>
        <v>569683.586967825</v>
      </c>
      <c r="AK231" s="6" t="n">
        <f aca="false">MAX(AJ231,AE231)</f>
        <v>569683.586967825</v>
      </c>
      <c r="AL231" s="8" t="n">
        <f aca="false">MIN(Z231/AF231-1,AA231/AG231-1,AB231/AH231-1,AC231/AI231-1,AD231/AJ231-1,AE231/AK231-1)</f>
        <v>-0.528798335588447</v>
      </c>
      <c r="AM231" s="6" t="n">
        <f aca="false">AE231-Assumptions!$B$35</f>
        <v>-158347.1205518</v>
      </c>
    </row>
    <row r="232" customFormat="false" ht="15" hidden="false" customHeight="false" outlineLevel="0" collapsed="false">
      <c r="A232" s="0" t="n">
        <f aca="false">ROW()-1</f>
        <v>231</v>
      </c>
      <c r="B232" s="0" t="str">
        <f aca="true">IF(RAND()&lt;Assumptions!$B$11,"Bull","Bear")</f>
        <v>Bull</v>
      </c>
      <c r="C232" s="0" t="str">
        <f aca="true">IF(B232="Bull",IF(RAND()&lt;Assumptions!$B$7,"Bull","Bear"),IF(RAND()&lt;Assumptions!$B$10,"Bear","Bull"))</f>
        <v>Bull</v>
      </c>
      <c r="D232" s="0" t="str">
        <f aca="true">IF(C232="Bull",IF(RAND()&lt;Assumptions!$B$7,"Bull","Bear"),IF(RAND()&lt;Assumptions!$B$10,"Bear","Bull"))</f>
        <v>Bull</v>
      </c>
      <c r="E232" s="0" t="str">
        <f aca="true">IF(D232="Bull",IF(RAND()&lt;Assumptions!$B$7,"Bull","Bear"),IF(RAND()&lt;Assumptions!$B$10,"Bear","Bull"))</f>
        <v>Bull</v>
      </c>
      <c r="F232" s="0" t="str">
        <f aca="true">IF(E232="Bull",IF(RAND()&lt;Assumptions!$B$7,"Bull","Bear"),IF(RAND()&lt;Assumptions!$B$10,"Bear","Bull"))</f>
        <v>Bull</v>
      </c>
      <c r="G232" s="0" t="str">
        <f aca="true">IF(F232="Bull",IF(RAND()&lt;Assumptions!$B$7,"Bull","Bear"),IF(RAND()&lt;Assumptions!$B$10,"Bear","Bull"))</f>
        <v>Bull</v>
      </c>
      <c r="H232" s="8" t="n">
        <f aca="true">IF(B232="Bull",NORMINV(RAND(),Assumptions!$B$5,Assumptions!$B$6),NORMINV(RAND(),Assumptions!$B$8,Assumptions!$B$9))</f>
        <v>0.150273420119664</v>
      </c>
      <c r="I232" s="8" t="n">
        <f aca="true">IF(C232="Bull",NORMINV(RAND(),Assumptions!$B$5,Assumptions!$B$6),NORMINV(RAND(),Assumptions!$B$8,Assumptions!$B$9))</f>
        <v>0.114822558829585</v>
      </c>
      <c r="J232" s="8" t="n">
        <f aca="true">IF(D232="Bull",NORMINV(RAND(),Assumptions!$B$5,Assumptions!$B$6),NORMINV(RAND(),Assumptions!$B$8,Assumptions!$B$9))</f>
        <v>0.340384149871688</v>
      </c>
      <c r="K232" s="8" t="n">
        <f aca="true">IF(E232="Bull",NORMINV(RAND(),Assumptions!$B$5,Assumptions!$B$6),NORMINV(RAND(),Assumptions!$B$8,Assumptions!$B$9))</f>
        <v>0.226435393242988</v>
      </c>
      <c r="L232" s="8" t="n">
        <f aca="true">IF(F232="Bull",NORMINV(RAND(),Assumptions!$B$5,Assumptions!$B$6),NORMINV(RAND(),Assumptions!$B$8,Assumptions!$B$9))</f>
        <v>0.326567164150778</v>
      </c>
      <c r="M232" s="8" t="n">
        <f aca="true">IF(G232="Bull",NORMINV(RAND(),Assumptions!$B$5,Assumptions!$B$6),NORMINV(RAND(),Assumptions!$B$8,Assumptions!$B$9))</f>
        <v>0.0763543273781915</v>
      </c>
      <c r="N232" s="8" t="n">
        <f aca="true">NORMINV(RAND(),Assumptions!$B$14,Assumptions!$B$15)</f>
        <v>0.0560048454904789</v>
      </c>
      <c r="O232" s="8" t="n">
        <f aca="true">NORMINV(RAND(),Assumptions!$B$14,Assumptions!$B$15)</f>
        <v>0.0432819146929423</v>
      </c>
      <c r="P232" s="8" t="n">
        <f aca="true">NORMINV(RAND(),Assumptions!$B$14,Assumptions!$B$15)</f>
        <v>0.041867359046668</v>
      </c>
      <c r="Q232" s="8" t="n">
        <f aca="true">NORMINV(RAND(),Assumptions!$B$14,Assumptions!$B$15)</f>
        <v>0.0440780893257392</v>
      </c>
      <c r="R232" s="8" t="n">
        <f aca="true">NORMINV(RAND(),Assumptions!$B$14,Assumptions!$B$15)</f>
        <v>0.113600543834611</v>
      </c>
      <c r="S232" s="8" t="n">
        <f aca="true">NORMINV(RAND(),Assumptions!$B$14,Assumptions!$B$15)</f>
        <v>0.106596535911562</v>
      </c>
      <c r="T232" s="8" t="n">
        <f aca="false">Assumptions!$B$19*H232+(1-Assumptions!$B$19)*N232</f>
        <v>0.150273420119664</v>
      </c>
      <c r="U232" s="8" t="n">
        <f aca="false">Assumptions!$B$20*I232+(1-Assumptions!$B$20)*O232</f>
        <v>0.114822558829585</v>
      </c>
      <c r="V232" s="8" t="n">
        <f aca="false">Assumptions!$B$21*J232+(1-Assumptions!$B$21)*P232</f>
        <v>0.340384149871688</v>
      </c>
      <c r="W232" s="8" t="n">
        <f aca="false">Assumptions!$B$22*K232+(1-Assumptions!$B$22)*Q232</f>
        <v>0.226435393242988</v>
      </c>
      <c r="X232" s="8" t="n">
        <f aca="false">Assumptions!$B$23*L232+(1-Assumptions!$B$23)*R232</f>
        <v>0.283973840087544</v>
      </c>
      <c r="Y232" s="8" t="n">
        <f aca="false">Assumptions!$B$24*M232+(1-Assumptions!$B$24)*S232</f>
        <v>0.0884512107915396</v>
      </c>
      <c r="Z232" s="6" t="n">
        <f aca="false">Assumptions!$B$27*(1+T232)</f>
        <v>345082.026035899</v>
      </c>
      <c r="AA232" s="6" t="n">
        <f aca="false">(Z232+Assumptions!$B$28)*(1+U232)</f>
        <v>551928.611095876</v>
      </c>
      <c r="AB232" s="6" t="n">
        <f aca="false">AA232*(1+V232)</f>
        <v>739796.362173608</v>
      </c>
      <c r="AC232" s="6" t="n">
        <f aca="false">AB232*(1+W232)</f>
        <v>907312.442362121</v>
      </c>
      <c r="AD232" s="6" t="n">
        <f aca="false">AC232*(1+X232)</f>
        <v>1164965.4407789</v>
      </c>
      <c r="AE232" s="6" t="n">
        <f aca="false">AD232*(1+Y232)</f>
        <v>1268008.04454609</v>
      </c>
      <c r="AF232" s="6" t="n">
        <f aca="false">Z232</f>
        <v>345082.026035899</v>
      </c>
      <c r="AG232" s="6" t="n">
        <f aca="false">MAX(AF232,AA232)</f>
        <v>551928.611095876</v>
      </c>
      <c r="AH232" s="6" t="n">
        <f aca="false">MAX(AG232,AB232)</f>
        <v>739796.362173608</v>
      </c>
      <c r="AI232" s="6" t="n">
        <f aca="false">MAX(AH232,AC232)</f>
        <v>907312.442362121</v>
      </c>
      <c r="AJ232" s="6" t="n">
        <f aca="false">MAX(AI232,AD232)</f>
        <v>1164965.4407789</v>
      </c>
      <c r="AK232" s="6" t="n">
        <f aca="false">MAX(AJ232,AE232)</f>
        <v>1268008.04454609</v>
      </c>
      <c r="AL232" s="8" t="n">
        <f aca="false">MIN(Z232/AF232-1,AA232/AG232-1,AB232/AH232-1,AC232/AI232-1,AD232/AJ232-1,AE232/AK232-1)</f>
        <v>0</v>
      </c>
      <c r="AM232" s="6" t="n">
        <f aca="false">AE232-Assumptions!$B$35</f>
        <v>826744.047883591</v>
      </c>
    </row>
    <row r="233" customFormat="false" ht="15" hidden="false" customHeight="false" outlineLevel="0" collapsed="false">
      <c r="A233" s="0" t="n">
        <f aca="false">ROW()-1</f>
        <v>232</v>
      </c>
      <c r="B233" s="0" t="str">
        <f aca="true">IF(RAND()&lt;Assumptions!$B$11,"Bull","Bear")</f>
        <v>Bull</v>
      </c>
      <c r="C233" s="0" t="str">
        <f aca="true">IF(B233="Bull",IF(RAND()&lt;Assumptions!$B$7,"Bull","Bear"),IF(RAND()&lt;Assumptions!$B$10,"Bear","Bull"))</f>
        <v>Bull</v>
      </c>
      <c r="D233" s="0" t="str">
        <f aca="true">IF(C233="Bull",IF(RAND()&lt;Assumptions!$B$7,"Bull","Bear"),IF(RAND()&lt;Assumptions!$B$10,"Bear","Bull"))</f>
        <v>Bear</v>
      </c>
      <c r="E233" s="0" t="str">
        <f aca="true">IF(D233="Bull",IF(RAND()&lt;Assumptions!$B$7,"Bull","Bear"),IF(RAND()&lt;Assumptions!$B$10,"Bear","Bull"))</f>
        <v>Bull</v>
      </c>
      <c r="F233" s="0" t="str">
        <f aca="true">IF(E233="Bull",IF(RAND()&lt;Assumptions!$B$7,"Bull","Bear"),IF(RAND()&lt;Assumptions!$B$10,"Bear","Bull"))</f>
        <v>Bull</v>
      </c>
      <c r="G233" s="0" t="str">
        <f aca="true">IF(F233="Bull",IF(RAND()&lt;Assumptions!$B$7,"Bull","Bear"),IF(RAND()&lt;Assumptions!$B$10,"Bear","Bull"))</f>
        <v>Bull</v>
      </c>
      <c r="H233" s="8" t="n">
        <f aca="true">IF(B233="Bull",NORMINV(RAND(),Assumptions!$B$5,Assumptions!$B$6),NORMINV(RAND(),Assumptions!$B$8,Assumptions!$B$9))</f>
        <v>0.0623168267067451</v>
      </c>
      <c r="I233" s="8" t="n">
        <f aca="true">IF(C233="Bull",NORMINV(RAND(),Assumptions!$B$5,Assumptions!$B$6),NORMINV(RAND(),Assumptions!$B$8,Assumptions!$B$9))</f>
        <v>0.166764577675857</v>
      </c>
      <c r="J233" s="8" t="n">
        <f aca="true">IF(D233="Bull",NORMINV(RAND(),Assumptions!$B$5,Assumptions!$B$6),NORMINV(RAND(),Assumptions!$B$8,Assumptions!$B$9))</f>
        <v>-0.513123052798955</v>
      </c>
      <c r="K233" s="8" t="n">
        <f aca="true">IF(E233="Bull",NORMINV(RAND(),Assumptions!$B$5,Assumptions!$B$6),NORMINV(RAND(),Assumptions!$B$8,Assumptions!$B$9))</f>
        <v>0.112598863248441</v>
      </c>
      <c r="L233" s="8" t="n">
        <f aca="true">IF(F233="Bull",NORMINV(RAND(),Assumptions!$B$5,Assumptions!$B$6),NORMINV(RAND(),Assumptions!$B$8,Assumptions!$B$9))</f>
        <v>0.198563647173025</v>
      </c>
      <c r="M233" s="8" t="n">
        <f aca="true">IF(G233="Bull",NORMINV(RAND(),Assumptions!$B$5,Assumptions!$B$6),NORMINV(RAND(),Assumptions!$B$8,Assumptions!$B$9))</f>
        <v>0.313865636196652</v>
      </c>
      <c r="N233" s="8" t="n">
        <f aca="true">NORMINV(RAND(),Assumptions!$B$14,Assumptions!$B$15)</f>
        <v>0.0394446091303507</v>
      </c>
      <c r="O233" s="8" t="n">
        <f aca="true">NORMINV(RAND(),Assumptions!$B$14,Assumptions!$B$15)</f>
        <v>0.0270157495451311</v>
      </c>
      <c r="P233" s="8" t="n">
        <f aca="true">NORMINV(RAND(),Assumptions!$B$14,Assumptions!$B$15)</f>
        <v>0.0470468739577349</v>
      </c>
      <c r="Q233" s="8" t="n">
        <f aca="true">NORMINV(RAND(),Assumptions!$B$14,Assumptions!$B$15)</f>
        <v>0.013787320887087</v>
      </c>
      <c r="R233" s="8" t="n">
        <f aca="true">NORMINV(RAND(),Assumptions!$B$14,Assumptions!$B$15)</f>
        <v>0.038529679237029</v>
      </c>
      <c r="S233" s="8" t="n">
        <f aca="true">NORMINV(RAND(),Assumptions!$B$14,Assumptions!$B$15)</f>
        <v>0.0652975311393421</v>
      </c>
      <c r="T233" s="8" t="n">
        <f aca="false">Assumptions!$B$19*H233+(1-Assumptions!$B$19)*N233</f>
        <v>0.0623168267067451</v>
      </c>
      <c r="U233" s="8" t="n">
        <f aca="false">Assumptions!$B$20*I233+(1-Assumptions!$B$20)*O233</f>
        <v>0.166764577675857</v>
      </c>
      <c r="V233" s="8" t="n">
        <f aca="false">Assumptions!$B$21*J233+(1-Assumptions!$B$21)*P233</f>
        <v>-0.513123052798955</v>
      </c>
      <c r="W233" s="8" t="n">
        <f aca="false">Assumptions!$B$22*K233+(1-Assumptions!$B$22)*Q233</f>
        <v>0.112598863248441</v>
      </c>
      <c r="X233" s="8" t="n">
        <f aca="false">Assumptions!$B$23*L233+(1-Assumptions!$B$23)*R233</f>
        <v>0.166556853585826</v>
      </c>
      <c r="Y233" s="8" t="n">
        <f aca="false">Assumptions!$B$24*M233+(1-Assumptions!$B$24)*S233</f>
        <v>0.214438394173728</v>
      </c>
      <c r="Z233" s="6" t="n">
        <f aca="false">Assumptions!$B$27*(1+T233)</f>
        <v>318695.048012024</v>
      </c>
      <c r="AA233" s="6" t="n">
        <f aca="false">(Z233+Assumptions!$B$28)*(1+U233)</f>
        <v>546856.779752514</v>
      </c>
      <c r="AB233" s="6" t="n">
        <f aca="false">AA233*(1+V233)</f>
        <v>266251.959482099</v>
      </c>
      <c r="AC233" s="6" t="n">
        <f aca="false">AB233*(1+W233)</f>
        <v>296231.627457453</v>
      </c>
      <c r="AD233" s="6" t="n">
        <f aca="false">AC233*(1+X233)</f>
        <v>345571.035259375</v>
      </c>
      <c r="AE233" s="6" t="n">
        <f aca="false">AD233*(1+Y233)</f>
        <v>419674.733133348</v>
      </c>
      <c r="AF233" s="6" t="n">
        <f aca="false">Z233</f>
        <v>318695.048012024</v>
      </c>
      <c r="AG233" s="6" t="n">
        <f aca="false">MAX(AF233,AA233)</f>
        <v>546856.779752514</v>
      </c>
      <c r="AH233" s="6" t="n">
        <f aca="false">MAX(AG233,AB233)</f>
        <v>546856.779752514</v>
      </c>
      <c r="AI233" s="6" t="n">
        <f aca="false">MAX(AH233,AC233)</f>
        <v>546856.779752514</v>
      </c>
      <c r="AJ233" s="6" t="n">
        <f aca="false">MAX(AI233,AD233)</f>
        <v>546856.779752514</v>
      </c>
      <c r="AK233" s="6" t="n">
        <f aca="false">MAX(AJ233,AE233)</f>
        <v>546856.779752514</v>
      </c>
      <c r="AL233" s="8" t="n">
        <f aca="false">MIN(Z233/AF233-1,AA233/AG233-1,AB233/AH233-1,AC233/AI233-1,AD233/AJ233-1,AE233/AK233-1)</f>
        <v>-0.513123052798955</v>
      </c>
      <c r="AM233" s="6" t="n">
        <f aca="false">AE233-Assumptions!$B$35</f>
        <v>-21589.2635291559</v>
      </c>
    </row>
    <row r="234" customFormat="false" ht="15" hidden="false" customHeight="false" outlineLevel="0" collapsed="false">
      <c r="A234" s="0" t="n">
        <f aca="false">ROW()-1</f>
        <v>233</v>
      </c>
      <c r="B234" s="0" t="str">
        <f aca="true">IF(RAND()&lt;Assumptions!$B$11,"Bull","Bear")</f>
        <v>Bear</v>
      </c>
      <c r="C234" s="0" t="str">
        <f aca="true">IF(B234="Bull",IF(RAND()&lt;Assumptions!$B$7,"Bull","Bear"),IF(RAND()&lt;Assumptions!$B$10,"Bear","Bull"))</f>
        <v>Bear</v>
      </c>
      <c r="D234" s="0" t="str">
        <f aca="true">IF(C234="Bull",IF(RAND()&lt;Assumptions!$B$7,"Bull","Bear"),IF(RAND()&lt;Assumptions!$B$10,"Bear","Bull"))</f>
        <v>Bull</v>
      </c>
      <c r="E234" s="0" t="str">
        <f aca="true">IF(D234="Bull",IF(RAND()&lt;Assumptions!$B$7,"Bull","Bear"),IF(RAND()&lt;Assumptions!$B$10,"Bear","Bull"))</f>
        <v>Bull</v>
      </c>
      <c r="F234" s="0" t="str">
        <f aca="true">IF(E234="Bull",IF(RAND()&lt;Assumptions!$B$7,"Bull","Bear"),IF(RAND()&lt;Assumptions!$B$10,"Bear","Bull"))</f>
        <v>Bull</v>
      </c>
      <c r="G234" s="0" t="str">
        <f aca="true">IF(F234="Bull",IF(RAND()&lt;Assumptions!$B$7,"Bull","Bear"),IF(RAND()&lt;Assumptions!$B$10,"Bear","Bull"))</f>
        <v>Bull</v>
      </c>
      <c r="H234" s="8" t="n">
        <f aca="true">IF(B234="Bull",NORMINV(RAND(),Assumptions!$B$5,Assumptions!$B$6),NORMINV(RAND(),Assumptions!$B$8,Assumptions!$B$9))</f>
        <v>-0.118498639195229</v>
      </c>
      <c r="I234" s="8" t="n">
        <f aca="true">IF(C234="Bull",NORMINV(RAND(),Assumptions!$B$5,Assumptions!$B$6),NORMINV(RAND(),Assumptions!$B$8,Assumptions!$B$9))</f>
        <v>-0.29881578872903</v>
      </c>
      <c r="J234" s="8" t="n">
        <f aca="true">IF(D234="Bull",NORMINV(RAND(),Assumptions!$B$5,Assumptions!$B$6),NORMINV(RAND(),Assumptions!$B$8,Assumptions!$B$9))</f>
        <v>0.172474485352411</v>
      </c>
      <c r="K234" s="8" t="n">
        <f aca="true">IF(E234="Bull",NORMINV(RAND(),Assumptions!$B$5,Assumptions!$B$6),NORMINV(RAND(),Assumptions!$B$8,Assumptions!$B$9))</f>
        <v>0.110213676037747</v>
      </c>
      <c r="L234" s="8" t="n">
        <f aca="true">IF(F234="Bull",NORMINV(RAND(),Assumptions!$B$5,Assumptions!$B$6),NORMINV(RAND(),Assumptions!$B$8,Assumptions!$B$9))</f>
        <v>0.122509694129229</v>
      </c>
      <c r="M234" s="8" t="n">
        <f aca="true">IF(G234="Bull",NORMINV(RAND(),Assumptions!$B$5,Assumptions!$B$6),NORMINV(RAND(),Assumptions!$B$8,Assumptions!$B$9))</f>
        <v>0.127321815100017</v>
      </c>
      <c r="N234" s="8" t="n">
        <f aca="true">NORMINV(RAND(),Assumptions!$B$14,Assumptions!$B$15)</f>
        <v>0.0837933255687985</v>
      </c>
      <c r="O234" s="8" t="n">
        <f aca="true">NORMINV(RAND(),Assumptions!$B$14,Assumptions!$B$15)</f>
        <v>0.0916948556852288</v>
      </c>
      <c r="P234" s="8" t="n">
        <f aca="true">NORMINV(RAND(),Assumptions!$B$14,Assumptions!$B$15)</f>
        <v>0.0123101285059426</v>
      </c>
      <c r="Q234" s="8" t="n">
        <f aca="true">NORMINV(RAND(),Assumptions!$B$14,Assumptions!$B$15)</f>
        <v>0.0826154367382042</v>
      </c>
      <c r="R234" s="8" t="n">
        <f aca="true">NORMINV(RAND(),Assumptions!$B$14,Assumptions!$B$15)</f>
        <v>0.0681048975746677</v>
      </c>
      <c r="S234" s="8" t="n">
        <f aca="true">NORMINV(RAND(),Assumptions!$B$14,Assumptions!$B$15)</f>
        <v>0.0521766026380792</v>
      </c>
      <c r="T234" s="8" t="n">
        <f aca="false">Assumptions!$B$19*H234+(1-Assumptions!$B$19)*N234</f>
        <v>-0.118498639195229</v>
      </c>
      <c r="U234" s="8" t="n">
        <f aca="false">Assumptions!$B$20*I234+(1-Assumptions!$B$20)*O234</f>
        <v>-0.29881578872903</v>
      </c>
      <c r="V234" s="8" t="n">
        <f aca="false">Assumptions!$B$21*J234+(1-Assumptions!$B$21)*P234</f>
        <v>0.172474485352411</v>
      </c>
      <c r="W234" s="8" t="n">
        <f aca="false">Assumptions!$B$22*K234+(1-Assumptions!$B$22)*Q234</f>
        <v>0.110213676037747</v>
      </c>
      <c r="X234" s="8" t="n">
        <f aca="false">Assumptions!$B$23*L234+(1-Assumptions!$B$23)*R234</f>
        <v>0.111628734818317</v>
      </c>
      <c r="Y234" s="8" t="n">
        <f aca="false">Assumptions!$B$24*M234+(1-Assumptions!$B$24)*S234</f>
        <v>0.0972637301152417</v>
      </c>
      <c r="Z234" s="6" t="n">
        <f aca="false">Assumptions!$B$27*(1+T234)</f>
        <v>264450.408241431</v>
      </c>
      <c r="AA234" s="6" t="n">
        <f aca="false">(Z234+Assumptions!$B$28)*(1+U234)</f>
        <v>290606.082613699</v>
      </c>
      <c r="AB234" s="6" t="n">
        <f aca="false">AA234*(1+V234)</f>
        <v>340728.217152777</v>
      </c>
      <c r="AC234" s="6" t="n">
        <f aca="false">AB234*(1+W234)</f>
        <v>378281.126494973</v>
      </c>
      <c r="AD234" s="6" t="n">
        <f aca="false">AC234*(1+X234)</f>
        <v>420508.170051254</v>
      </c>
      <c r="AE234" s="6" t="n">
        <f aca="false">AD234*(1+Y234)</f>
        <v>461408.363214373</v>
      </c>
      <c r="AF234" s="6" t="n">
        <f aca="false">Z234</f>
        <v>264450.408241431</v>
      </c>
      <c r="AG234" s="6" t="n">
        <f aca="false">MAX(AF234,AA234)</f>
        <v>290606.082613699</v>
      </c>
      <c r="AH234" s="6" t="n">
        <f aca="false">MAX(AG234,AB234)</f>
        <v>340728.217152777</v>
      </c>
      <c r="AI234" s="6" t="n">
        <f aca="false">MAX(AH234,AC234)</f>
        <v>378281.126494973</v>
      </c>
      <c r="AJ234" s="6" t="n">
        <f aca="false">MAX(AI234,AD234)</f>
        <v>420508.170051254</v>
      </c>
      <c r="AK234" s="6" t="n">
        <f aca="false">MAX(AJ234,AE234)</f>
        <v>461408.363214373</v>
      </c>
      <c r="AL234" s="8" t="n">
        <f aca="false">MIN(Z234/AF234-1,AA234/AG234-1,AB234/AH234-1,AC234/AI234-1,AD234/AJ234-1,AE234/AK234-1)</f>
        <v>0</v>
      </c>
      <c r="AM234" s="6" t="n">
        <f aca="false">AE234-Assumptions!$B$35</f>
        <v>20144.3665518698</v>
      </c>
    </row>
    <row r="235" customFormat="false" ht="15" hidden="false" customHeight="false" outlineLevel="0" collapsed="false">
      <c r="A235" s="0" t="n">
        <f aca="false">ROW()-1</f>
        <v>234</v>
      </c>
      <c r="B235" s="0" t="str">
        <f aca="true">IF(RAND()&lt;Assumptions!$B$11,"Bull","Bear")</f>
        <v>Bull</v>
      </c>
      <c r="C235" s="0" t="str">
        <f aca="true">IF(B235="Bull",IF(RAND()&lt;Assumptions!$B$7,"Bull","Bear"),IF(RAND()&lt;Assumptions!$B$10,"Bear","Bull"))</f>
        <v>Bull</v>
      </c>
      <c r="D235" s="0" t="str">
        <f aca="true">IF(C235="Bull",IF(RAND()&lt;Assumptions!$B$7,"Bull","Bear"),IF(RAND()&lt;Assumptions!$B$10,"Bear","Bull"))</f>
        <v>Bull</v>
      </c>
      <c r="E235" s="0" t="str">
        <f aca="true">IF(D235="Bull",IF(RAND()&lt;Assumptions!$B$7,"Bull","Bear"),IF(RAND()&lt;Assumptions!$B$10,"Bear","Bull"))</f>
        <v>Bull</v>
      </c>
      <c r="F235" s="0" t="str">
        <f aca="true">IF(E235="Bull",IF(RAND()&lt;Assumptions!$B$7,"Bull","Bear"),IF(RAND()&lt;Assumptions!$B$10,"Bear","Bull"))</f>
        <v>Bull</v>
      </c>
      <c r="G235" s="0" t="str">
        <f aca="true">IF(F235="Bull",IF(RAND()&lt;Assumptions!$B$7,"Bull","Bear"),IF(RAND()&lt;Assumptions!$B$10,"Bear","Bull"))</f>
        <v>Bear</v>
      </c>
      <c r="H235" s="8" t="n">
        <f aca="true">IF(B235="Bull",NORMINV(RAND(),Assumptions!$B$5,Assumptions!$B$6),NORMINV(RAND(),Assumptions!$B$8,Assumptions!$B$9))</f>
        <v>0.270967746992176</v>
      </c>
      <c r="I235" s="8" t="n">
        <f aca="true">IF(C235="Bull",NORMINV(RAND(),Assumptions!$B$5,Assumptions!$B$6),NORMINV(RAND(),Assumptions!$B$8,Assumptions!$B$9))</f>
        <v>0.117874741748266</v>
      </c>
      <c r="J235" s="8" t="n">
        <f aca="true">IF(D235="Bull",NORMINV(RAND(),Assumptions!$B$5,Assumptions!$B$6),NORMINV(RAND(),Assumptions!$B$8,Assumptions!$B$9))</f>
        <v>0.194074045464674</v>
      </c>
      <c r="K235" s="8" t="n">
        <f aca="true">IF(E235="Bull",NORMINV(RAND(),Assumptions!$B$5,Assumptions!$B$6),NORMINV(RAND(),Assumptions!$B$8,Assumptions!$B$9))</f>
        <v>0.083255609134469</v>
      </c>
      <c r="L235" s="8" t="n">
        <f aca="true">IF(F235="Bull",NORMINV(RAND(),Assumptions!$B$5,Assumptions!$B$6),NORMINV(RAND(),Assumptions!$B$8,Assumptions!$B$9))</f>
        <v>0.0377205398543799</v>
      </c>
      <c r="M235" s="8" t="n">
        <f aca="true">IF(G235="Bull",NORMINV(RAND(),Assumptions!$B$5,Assumptions!$B$6),NORMINV(RAND(),Assumptions!$B$8,Assumptions!$B$9))</f>
        <v>-0.038069197045801</v>
      </c>
      <c r="N235" s="8" t="n">
        <f aca="true">NORMINV(RAND(),Assumptions!$B$14,Assumptions!$B$15)</f>
        <v>0.0670510036607727</v>
      </c>
      <c r="O235" s="8" t="n">
        <f aca="true">NORMINV(RAND(),Assumptions!$B$14,Assumptions!$B$15)</f>
        <v>0.0966175464916099</v>
      </c>
      <c r="P235" s="8" t="n">
        <f aca="true">NORMINV(RAND(),Assumptions!$B$14,Assumptions!$B$15)</f>
        <v>0.0581717189625522</v>
      </c>
      <c r="Q235" s="8" t="n">
        <f aca="true">NORMINV(RAND(),Assumptions!$B$14,Assumptions!$B$15)</f>
        <v>0.0482455926551099</v>
      </c>
      <c r="R235" s="8" t="n">
        <f aca="true">NORMINV(RAND(),Assumptions!$B$14,Assumptions!$B$15)</f>
        <v>0.0507877584473297</v>
      </c>
      <c r="S235" s="8" t="n">
        <f aca="true">NORMINV(RAND(),Assumptions!$B$14,Assumptions!$B$15)</f>
        <v>0.0469397423373768</v>
      </c>
      <c r="T235" s="8" t="n">
        <f aca="false">Assumptions!$B$19*H235+(1-Assumptions!$B$19)*N235</f>
        <v>0.270967746992176</v>
      </c>
      <c r="U235" s="8" t="n">
        <f aca="false">Assumptions!$B$20*I235+(1-Assumptions!$B$20)*O235</f>
        <v>0.117874741748266</v>
      </c>
      <c r="V235" s="8" t="n">
        <f aca="false">Assumptions!$B$21*J235+(1-Assumptions!$B$21)*P235</f>
        <v>0.194074045464674</v>
      </c>
      <c r="W235" s="8" t="n">
        <f aca="false">Assumptions!$B$22*K235+(1-Assumptions!$B$22)*Q235</f>
        <v>0.083255609134469</v>
      </c>
      <c r="X235" s="8" t="n">
        <f aca="false">Assumptions!$B$23*L235+(1-Assumptions!$B$23)*R235</f>
        <v>0.0403339835729698</v>
      </c>
      <c r="Y235" s="8" t="n">
        <f aca="false">Assumptions!$B$24*M235+(1-Assumptions!$B$24)*S235</f>
        <v>-0.00406562129252984</v>
      </c>
      <c r="Z235" s="6" t="n">
        <f aca="false">Assumptions!$B$27*(1+T235)</f>
        <v>381290.324097653</v>
      </c>
      <c r="AA235" s="6" t="n">
        <f aca="false">(Z235+Assumptions!$B$28)*(1+U235)</f>
        <v>593916.033844016</v>
      </c>
      <c r="AB235" s="6" t="n">
        <f aca="false">AA235*(1+V235)</f>
        <v>709179.721198459</v>
      </c>
      <c r="AC235" s="6" t="n">
        <f aca="false">AB235*(1+W235)</f>
        <v>768222.910872649</v>
      </c>
      <c r="AD235" s="6" t="n">
        <f aca="false">AC235*(1+X235)</f>
        <v>799208.401140166</v>
      </c>
      <c r="AE235" s="6" t="n">
        <f aca="false">AD235*(1+Y235)</f>
        <v>795959.122447322</v>
      </c>
      <c r="AF235" s="6" t="n">
        <f aca="false">Z235</f>
        <v>381290.324097653</v>
      </c>
      <c r="AG235" s="6" t="n">
        <f aca="false">MAX(AF235,AA235)</f>
        <v>593916.033844016</v>
      </c>
      <c r="AH235" s="6" t="n">
        <f aca="false">MAX(AG235,AB235)</f>
        <v>709179.721198459</v>
      </c>
      <c r="AI235" s="6" t="n">
        <f aca="false">MAX(AH235,AC235)</f>
        <v>768222.910872649</v>
      </c>
      <c r="AJ235" s="6" t="n">
        <f aca="false">MAX(AI235,AD235)</f>
        <v>799208.401140166</v>
      </c>
      <c r="AK235" s="6" t="n">
        <f aca="false">MAX(AJ235,AE235)</f>
        <v>799208.401140166</v>
      </c>
      <c r="AL235" s="8" t="n">
        <f aca="false">MIN(Z235/AF235-1,AA235/AG235-1,AB235/AH235-1,AC235/AI235-1,AD235/AJ235-1,AE235/AK235-1)</f>
        <v>-0.00406562129252985</v>
      </c>
      <c r="AM235" s="6" t="n">
        <f aca="false">AE235-Assumptions!$B$35</f>
        <v>354695.125784818</v>
      </c>
    </row>
    <row r="236" customFormat="false" ht="15" hidden="false" customHeight="false" outlineLevel="0" collapsed="false">
      <c r="A236" s="0" t="n">
        <f aca="false">ROW()-1</f>
        <v>235</v>
      </c>
      <c r="B236" s="0" t="str">
        <f aca="true">IF(RAND()&lt;Assumptions!$B$11,"Bull","Bear")</f>
        <v>Bull</v>
      </c>
      <c r="C236" s="0" t="str">
        <f aca="true">IF(B236="Bull",IF(RAND()&lt;Assumptions!$B$7,"Bull","Bear"),IF(RAND()&lt;Assumptions!$B$10,"Bear","Bull"))</f>
        <v>Bull</v>
      </c>
      <c r="D236" s="0" t="str">
        <f aca="true">IF(C236="Bull",IF(RAND()&lt;Assumptions!$B$7,"Bull","Bear"),IF(RAND()&lt;Assumptions!$B$10,"Bear","Bull"))</f>
        <v>Bull</v>
      </c>
      <c r="E236" s="0" t="str">
        <f aca="true">IF(D236="Bull",IF(RAND()&lt;Assumptions!$B$7,"Bull","Bear"),IF(RAND()&lt;Assumptions!$B$10,"Bear","Bull"))</f>
        <v>Bull</v>
      </c>
      <c r="F236" s="0" t="str">
        <f aca="true">IF(E236="Bull",IF(RAND()&lt;Assumptions!$B$7,"Bull","Bear"),IF(RAND()&lt;Assumptions!$B$10,"Bear","Bull"))</f>
        <v>Bull</v>
      </c>
      <c r="G236" s="0" t="str">
        <f aca="true">IF(F236="Bull",IF(RAND()&lt;Assumptions!$B$7,"Bull","Bear"),IF(RAND()&lt;Assumptions!$B$10,"Bear","Bull"))</f>
        <v>Bull</v>
      </c>
      <c r="H236" s="8" t="n">
        <f aca="true">IF(B236="Bull",NORMINV(RAND(),Assumptions!$B$5,Assumptions!$B$6),NORMINV(RAND(),Assumptions!$B$8,Assumptions!$B$9))</f>
        <v>0.141640645520135</v>
      </c>
      <c r="I236" s="8" t="n">
        <f aca="true">IF(C236="Bull",NORMINV(RAND(),Assumptions!$B$5,Assumptions!$B$6),NORMINV(RAND(),Assumptions!$B$8,Assumptions!$B$9))</f>
        <v>0.263491384026849</v>
      </c>
      <c r="J236" s="8" t="n">
        <f aca="true">IF(D236="Bull",NORMINV(RAND(),Assumptions!$B$5,Assumptions!$B$6),NORMINV(RAND(),Assumptions!$B$8,Assumptions!$B$9))</f>
        <v>0.0679741849312665</v>
      </c>
      <c r="K236" s="8" t="n">
        <f aca="true">IF(E236="Bull",NORMINV(RAND(),Assumptions!$B$5,Assumptions!$B$6),NORMINV(RAND(),Assumptions!$B$8,Assumptions!$B$9))</f>
        <v>0.226676726431941</v>
      </c>
      <c r="L236" s="8" t="n">
        <f aca="true">IF(F236="Bull",NORMINV(RAND(),Assumptions!$B$5,Assumptions!$B$6),NORMINV(RAND(),Assumptions!$B$8,Assumptions!$B$9))</f>
        <v>0.154606577381411</v>
      </c>
      <c r="M236" s="8" t="n">
        <f aca="true">IF(G236="Bull",NORMINV(RAND(),Assumptions!$B$5,Assumptions!$B$6),NORMINV(RAND(),Assumptions!$B$8,Assumptions!$B$9))</f>
        <v>0.0494862553617646</v>
      </c>
      <c r="N236" s="8" t="n">
        <f aca="true">NORMINV(RAND(),Assumptions!$B$14,Assumptions!$B$15)</f>
        <v>0.075532144463329</v>
      </c>
      <c r="O236" s="8" t="n">
        <f aca="true">NORMINV(RAND(),Assumptions!$B$14,Assumptions!$B$15)</f>
        <v>0.0179665004601978</v>
      </c>
      <c r="P236" s="8" t="n">
        <f aca="true">NORMINV(RAND(),Assumptions!$B$14,Assumptions!$B$15)</f>
        <v>0.0926964863051208</v>
      </c>
      <c r="Q236" s="8" t="n">
        <f aca="true">NORMINV(RAND(),Assumptions!$B$14,Assumptions!$B$15)</f>
        <v>0.0699332762541257</v>
      </c>
      <c r="R236" s="8" t="n">
        <f aca="true">NORMINV(RAND(),Assumptions!$B$14,Assumptions!$B$15)</f>
        <v>0.0640453998883328</v>
      </c>
      <c r="S236" s="8" t="n">
        <f aca="true">NORMINV(RAND(),Assumptions!$B$14,Assumptions!$B$15)</f>
        <v>0.0044341622432634</v>
      </c>
      <c r="T236" s="8" t="n">
        <f aca="false">Assumptions!$B$19*H236+(1-Assumptions!$B$19)*N236</f>
        <v>0.141640645520135</v>
      </c>
      <c r="U236" s="8" t="n">
        <f aca="false">Assumptions!$B$20*I236+(1-Assumptions!$B$20)*O236</f>
        <v>0.263491384026849</v>
      </c>
      <c r="V236" s="8" t="n">
        <f aca="false">Assumptions!$B$21*J236+(1-Assumptions!$B$21)*P236</f>
        <v>0.0679741849312665</v>
      </c>
      <c r="W236" s="8" t="n">
        <f aca="false">Assumptions!$B$22*K236+(1-Assumptions!$B$22)*Q236</f>
        <v>0.226676726431941</v>
      </c>
      <c r="X236" s="8" t="n">
        <f aca="false">Assumptions!$B$23*L236+(1-Assumptions!$B$23)*R236</f>
        <v>0.136494341882795</v>
      </c>
      <c r="Y236" s="8" t="n">
        <f aca="false">Assumptions!$B$24*M236+(1-Assumptions!$B$24)*S236</f>
        <v>0.0314654181143641</v>
      </c>
      <c r="Z236" s="6" t="n">
        <f aca="false">Assumptions!$B$27*(1+T236)</f>
        <v>342492.19365604</v>
      </c>
      <c r="AA236" s="6" t="n">
        <f aca="false">(Z236+Assumptions!$B$28)*(1+U236)</f>
        <v>622259.643384889</v>
      </c>
      <c r="AB236" s="6" t="n">
        <f aca="false">AA236*(1+V236)</f>
        <v>664557.235459598</v>
      </c>
      <c r="AC236" s="6" t="n">
        <f aca="false">AB236*(1+W236)</f>
        <v>815196.89412024</v>
      </c>
      <c r="AD236" s="6" t="n">
        <f aca="false">AC236*(1+X236)</f>
        <v>926466.657688081</v>
      </c>
      <c r="AE236" s="6" t="n">
        <f aca="false">AD236*(1+Y236)</f>
        <v>955618.318441254</v>
      </c>
      <c r="AF236" s="6" t="n">
        <f aca="false">Z236</f>
        <v>342492.19365604</v>
      </c>
      <c r="AG236" s="6" t="n">
        <f aca="false">MAX(AF236,AA236)</f>
        <v>622259.643384889</v>
      </c>
      <c r="AH236" s="6" t="n">
        <f aca="false">MAX(AG236,AB236)</f>
        <v>664557.235459598</v>
      </c>
      <c r="AI236" s="6" t="n">
        <f aca="false">MAX(AH236,AC236)</f>
        <v>815196.89412024</v>
      </c>
      <c r="AJ236" s="6" t="n">
        <f aca="false">MAX(AI236,AD236)</f>
        <v>926466.657688081</v>
      </c>
      <c r="AK236" s="6" t="n">
        <f aca="false">MAX(AJ236,AE236)</f>
        <v>955618.318441254</v>
      </c>
      <c r="AL236" s="8" t="n">
        <f aca="false">MIN(Z236/AF236-1,AA236/AG236-1,AB236/AH236-1,AC236/AI236-1,AD236/AJ236-1,AE236/AK236-1)</f>
        <v>0</v>
      </c>
      <c r="AM236" s="6" t="n">
        <f aca="false">AE236-Assumptions!$B$35</f>
        <v>514354.32177875</v>
      </c>
    </row>
    <row r="237" customFormat="false" ht="15" hidden="false" customHeight="false" outlineLevel="0" collapsed="false">
      <c r="A237" s="0" t="n">
        <f aca="false">ROW()-1</f>
        <v>236</v>
      </c>
      <c r="B237" s="0" t="str">
        <f aca="true">IF(RAND()&lt;Assumptions!$B$11,"Bull","Bear")</f>
        <v>Bear</v>
      </c>
      <c r="C237" s="0" t="str">
        <f aca="true">IF(B237="Bull",IF(RAND()&lt;Assumptions!$B$7,"Bull","Bear"),IF(RAND()&lt;Assumptions!$B$10,"Bear","Bull"))</f>
        <v>Bear</v>
      </c>
      <c r="D237" s="0" t="str">
        <f aca="true">IF(C237="Bull",IF(RAND()&lt;Assumptions!$B$7,"Bull","Bear"),IF(RAND()&lt;Assumptions!$B$10,"Bear","Bull"))</f>
        <v>Bull</v>
      </c>
      <c r="E237" s="0" t="str">
        <f aca="true">IF(D237="Bull",IF(RAND()&lt;Assumptions!$B$7,"Bull","Bear"),IF(RAND()&lt;Assumptions!$B$10,"Bear","Bull"))</f>
        <v>Bull</v>
      </c>
      <c r="F237" s="0" t="str">
        <f aca="true">IF(E237="Bull",IF(RAND()&lt;Assumptions!$B$7,"Bull","Bear"),IF(RAND()&lt;Assumptions!$B$10,"Bear","Bull"))</f>
        <v>Bull</v>
      </c>
      <c r="G237" s="0" t="str">
        <f aca="true">IF(F237="Bull",IF(RAND()&lt;Assumptions!$B$7,"Bull","Bear"),IF(RAND()&lt;Assumptions!$B$10,"Bear","Bull"))</f>
        <v>Bull</v>
      </c>
      <c r="H237" s="8" t="n">
        <f aca="true">IF(B237="Bull",NORMINV(RAND(),Assumptions!$B$5,Assumptions!$B$6),NORMINV(RAND(),Assumptions!$B$8,Assumptions!$B$9))</f>
        <v>-0.429915460834921</v>
      </c>
      <c r="I237" s="8" t="n">
        <f aca="true">IF(C237="Bull",NORMINV(RAND(),Assumptions!$B$5,Assumptions!$B$6),NORMINV(RAND(),Assumptions!$B$8,Assumptions!$B$9))</f>
        <v>-0.104221629375854</v>
      </c>
      <c r="J237" s="8" t="n">
        <f aca="true">IF(D237="Bull",NORMINV(RAND(),Assumptions!$B$5,Assumptions!$B$6),NORMINV(RAND(),Assumptions!$B$8,Assumptions!$B$9))</f>
        <v>0.112675555015203</v>
      </c>
      <c r="K237" s="8" t="n">
        <f aca="true">IF(E237="Bull",NORMINV(RAND(),Assumptions!$B$5,Assumptions!$B$6),NORMINV(RAND(),Assumptions!$B$8,Assumptions!$B$9))</f>
        <v>0.0519780134359247</v>
      </c>
      <c r="L237" s="8" t="n">
        <f aca="true">IF(F237="Bull",NORMINV(RAND(),Assumptions!$B$5,Assumptions!$B$6),NORMINV(RAND(),Assumptions!$B$8,Assumptions!$B$9))</f>
        <v>0.23459433771522</v>
      </c>
      <c r="M237" s="8" t="n">
        <f aca="true">IF(G237="Bull",NORMINV(RAND(),Assumptions!$B$5,Assumptions!$B$6),NORMINV(RAND(),Assumptions!$B$8,Assumptions!$B$9))</f>
        <v>0.198399463125722</v>
      </c>
      <c r="N237" s="8" t="n">
        <f aca="true">NORMINV(RAND(),Assumptions!$B$14,Assumptions!$B$15)</f>
        <v>0.0254768055295338</v>
      </c>
      <c r="O237" s="8" t="n">
        <f aca="true">NORMINV(RAND(),Assumptions!$B$14,Assumptions!$B$15)</f>
        <v>0.0525775622940379</v>
      </c>
      <c r="P237" s="8" t="n">
        <f aca="true">NORMINV(RAND(),Assumptions!$B$14,Assumptions!$B$15)</f>
        <v>-0.000257428375002096</v>
      </c>
      <c r="Q237" s="8" t="n">
        <f aca="true">NORMINV(RAND(),Assumptions!$B$14,Assumptions!$B$15)</f>
        <v>0.0381626912643213</v>
      </c>
      <c r="R237" s="8" t="n">
        <f aca="true">NORMINV(RAND(),Assumptions!$B$14,Assumptions!$B$15)</f>
        <v>0.0575901171041575</v>
      </c>
      <c r="S237" s="8" t="n">
        <f aca="true">NORMINV(RAND(),Assumptions!$B$14,Assumptions!$B$15)</f>
        <v>0.106344331286656</v>
      </c>
      <c r="T237" s="8" t="n">
        <f aca="false">Assumptions!$B$19*H237+(1-Assumptions!$B$19)*N237</f>
        <v>-0.429915460834921</v>
      </c>
      <c r="U237" s="8" t="n">
        <f aca="false">Assumptions!$B$20*I237+(1-Assumptions!$B$20)*O237</f>
        <v>-0.104221629375854</v>
      </c>
      <c r="V237" s="8" t="n">
        <f aca="false">Assumptions!$B$21*J237+(1-Assumptions!$B$21)*P237</f>
        <v>0.112675555015203</v>
      </c>
      <c r="W237" s="8" t="n">
        <f aca="false">Assumptions!$B$22*K237+(1-Assumptions!$B$22)*Q237</f>
        <v>0.0519780134359247</v>
      </c>
      <c r="X237" s="8" t="n">
        <f aca="false">Assumptions!$B$23*L237+(1-Assumptions!$B$23)*R237</f>
        <v>0.199193493593008</v>
      </c>
      <c r="Y237" s="8" t="n">
        <f aca="false">Assumptions!$B$24*M237+(1-Assumptions!$B$24)*S237</f>
        <v>0.161577410390096</v>
      </c>
      <c r="Z237" s="6" t="n">
        <f aca="false">Assumptions!$B$27*(1+T237)</f>
        <v>171025.361749524</v>
      </c>
      <c r="AA237" s="6" t="n">
        <f aca="false">(Z237+Assumptions!$B$28)*(1+U237)</f>
        <v>287567.575477015</v>
      </c>
      <c r="AB237" s="6" t="n">
        <f aca="false">AA237*(1+V237)</f>
        <v>319969.411648264</v>
      </c>
      <c r="AC237" s="6" t="n">
        <f aca="false">AB237*(1+W237)</f>
        <v>336600.786026003</v>
      </c>
      <c r="AD237" s="6" t="n">
        <f aca="false">AC237*(1+X237)</f>
        <v>403649.472540675</v>
      </c>
      <c r="AE237" s="6" t="n">
        <f aca="false">AD237*(1+Y237)</f>
        <v>468870.109019125</v>
      </c>
      <c r="AF237" s="6" t="n">
        <f aca="false">Z237</f>
        <v>171025.361749524</v>
      </c>
      <c r="AG237" s="6" t="n">
        <f aca="false">MAX(AF237,AA237)</f>
        <v>287567.575477015</v>
      </c>
      <c r="AH237" s="6" t="n">
        <f aca="false">MAX(AG237,AB237)</f>
        <v>319969.411648264</v>
      </c>
      <c r="AI237" s="6" t="n">
        <f aca="false">MAX(AH237,AC237)</f>
        <v>336600.786026003</v>
      </c>
      <c r="AJ237" s="6" t="n">
        <f aca="false">MAX(AI237,AD237)</f>
        <v>403649.472540675</v>
      </c>
      <c r="AK237" s="6" t="n">
        <f aca="false">MAX(AJ237,AE237)</f>
        <v>468870.109019125</v>
      </c>
      <c r="AL237" s="8" t="n">
        <f aca="false">MIN(Z237/AF237-1,AA237/AG237-1,AB237/AH237-1,AC237/AI237-1,AD237/AJ237-1,AE237/AK237-1)</f>
        <v>0</v>
      </c>
      <c r="AM237" s="6" t="n">
        <f aca="false">AE237-Assumptions!$B$35</f>
        <v>27606.1123566214</v>
      </c>
    </row>
    <row r="238" customFormat="false" ht="15" hidden="false" customHeight="false" outlineLevel="0" collapsed="false">
      <c r="A238" s="0" t="n">
        <f aca="false">ROW()-1</f>
        <v>237</v>
      </c>
      <c r="B238" s="0" t="str">
        <f aca="true">IF(RAND()&lt;Assumptions!$B$11,"Bull","Bear")</f>
        <v>Bull</v>
      </c>
      <c r="C238" s="0" t="str">
        <f aca="true">IF(B238="Bull",IF(RAND()&lt;Assumptions!$B$7,"Bull","Bear"),IF(RAND()&lt;Assumptions!$B$10,"Bear","Bull"))</f>
        <v>Bull</v>
      </c>
      <c r="D238" s="0" t="str">
        <f aca="true">IF(C238="Bull",IF(RAND()&lt;Assumptions!$B$7,"Bull","Bear"),IF(RAND()&lt;Assumptions!$B$10,"Bear","Bull"))</f>
        <v>Bull</v>
      </c>
      <c r="E238" s="0" t="str">
        <f aca="true">IF(D238="Bull",IF(RAND()&lt;Assumptions!$B$7,"Bull","Bear"),IF(RAND()&lt;Assumptions!$B$10,"Bear","Bull"))</f>
        <v>Bull</v>
      </c>
      <c r="F238" s="0" t="str">
        <f aca="true">IF(E238="Bull",IF(RAND()&lt;Assumptions!$B$7,"Bull","Bear"),IF(RAND()&lt;Assumptions!$B$10,"Bear","Bull"))</f>
        <v>Bull</v>
      </c>
      <c r="G238" s="0" t="str">
        <f aca="true">IF(F238="Bull",IF(RAND()&lt;Assumptions!$B$7,"Bull","Bear"),IF(RAND()&lt;Assumptions!$B$10,"Bear","Bull"))</f>
        <v>Bull</v>
      </c>
      <c r="H238" s="8" t="n">
        <f aca="true">IF(B238="Bull",NORMINV(RAND(),Assumptions!$B$5,Assumptions!$B$6),NORMINV(RAND(),Assumptions!$B$8,Assumptions!$B$9))</f>
        <v>0.21459313307309</v>
      </c>
      <c r="I238" s="8" t="n">
        <f aca="true">IF(C238="Bull",NORMINV(RAND(),Assumptions!$B$5,Assumptions!$B$6),NORMINV(RAND(),Assumptions!$B$8,Assumptions!$B$9))</f>
        <v>0.324004147372051</v>
      </c>
      <c r="J238" s="8" t="n">
        <f aca="true">IF(D238="Bull",NORMINV(RAND(),Assumptions!$B$5,Assumptions!$B$6),NORMINV(RAND(),Assumptions!$B$8,Assumptions!$B$9))</f>
        <v>0.148099186198724</v>
      </c>
      <c r="K238" s="8" t="n">
        <f aca="true">IF(E238="Bull",NORMINV(RAND(),Assumptions!$B$5,Assumptions!$B$6),NORMINV(RAND(),Assumptions!$B$8,Assumptions!$B$9))</f>
        <v>0.0964727505628565</v>
      </c>
      <c r="L238" s="8" t="n">
        <f aca="true">IF(F238="Bull",NORMINV(RAND(),Assumptions!$B$5,Assumptions!$B$6),NORMINV(RAND(),Assumptions!$B$8,Assumptions!$B$9))</f>
        <v>0.144397842966639</v>
      </c>
      <c r="M238" s="8" t="n">
        <f aca="true">IF(G238="Bull",NORMINV(RAND(),Assumptions!$B$5,Assumptions!$B$6),NORMINV(RAND(),Assumptions!$B$8,Assumptions!$B$9))</f>
        <v>0.180237085631429</v>
      </c>
      <c r="N238" s="8" t="n">
        <f aca="true">NORMINV(RAND(),Assumptions!$B$14,Assumptions!$B$15)</f>
        <v>0.0507376279937438</v>
      </c>
      <c r="O238" s="8" t="n">
        <f aca="true">NORMINV(RAND(),Assumptions!$B$14,Assumptions!$B$15)</f>
        <v>0.0723246268747181</v>
      </c>
      <c r="P238" s="8" t="n">
        <f aca="true">NORMINV(RAND(),Assumptions!$B$14,Assumptions!$B$15)</f>
        <v>0.0984179465680892</v>
      </c>
      <c r="Q238" s="8" t="n">
        <f aca="true">NORMINV(RAND(),Assumptions!$B$14,Assumptions!$B$15)</f>
        <v>0.0683966927786382</v>
      </c>
      <c r="R238" s="8" t="n">
        <f aca="true">NORMINV(RAND(),Assumptions!$B$14,Assumptions!$B$15)</f>
        <v>0.0835370215153795</v>
      </c>
      <c r="S238" s="8" t="n">
        <f aca="true">NORMINV(RAND(),Assumptions!$B$14,Assumptions!$B$15)</f>
        <v>0.0668444185182085</v>
      </c>
      <c r="T238" s="8" t="n">
        <f aca="false">Assumptions!$B$19*H238+(1-Assumptions!$B$19)*N238</f>
        <v>0.21459313307309</v>
      </c>
      <c r="U238" s="8" t="n">
        <f aca="false">Assumptions!$B$20*I238+(1-Assumptions!$B$20)*O238</f>
        <v>0.324004147372051</v>
      </c>
      <c r="V238" s="8" t="n">
        <f aca="false">Assumptions!$B$21*J238+(1-Assumptions!$B$21)*P238</f>
        <v>0.148099186198724</v>
      </c>
      <c r="W238" s="8" t="n">
        <f aca="false">Assumptions!$B$22*K238+(1-Assumptions!$B$22)*Q238</f>
        <v>0.0964727505628565</v>
      </c>
      <c r="X238" s="8" t="n">
        <f aca="false">Assumptions!$B$23*L238+(1-Assumptions!$B$23)*R238</f>
        <v>0.132225678676387</v>
      </c>
      <c r="Y238" s="8" t="n">
        <f aca="false">Assumptions!$B$24*M238+(1-Assumptions!$B$24)*S238</f>
        <v>0.134880018786141</v>
      </c>
      <c r="Z238" s="6" t="n">
        <f aca="false">Assumptions!$B$27*(1+T238)</f>
        <v>364377.939921927</v>
      </c>
      <c r="AA238" s="6" t="n">
        <f aca="false">(Z238+Assumptions!$B$28)*(1+U238)</f>
        <v>681038.525773323</v>
      </c>
      <c r="AB238" s="6" t="n">
        <f aca="false">AA238*(1+V238)</f>
        <v>781899.777210331</v>
      </c>
      <c r="AC238" s="6" t="n">
        <f aca="false">AB238*(1+W238)</f>
        <v>857331.799382297</v>
      </c>
      <c r="AD238" s="6" t="n">
        <f aca="false">AC238*(1+X238)</f>
        <v>970693.078406469</v>
      </c>
      <c r="AE238" s="6" t="n">
        <f aca="false">AD238*(1+Y238)</f>
        <v>1101620.17905751</v>
      </c>
      <c r="AF238" s="6" t="n">
        <f aca="false">Z238</f>
        <v>364377.939921927</v>
      </c>
      <c r="AG238" s="6" t="n">
        <f aca="false">MAX(AF238,AA238)</f>
        <v>681038.525773323</v>
      </c>
      <c r="AH238" s="6" t="n">
        <f aca="false">MAX(AG238,AB238)</f>
        <v>781899.777210331</v>
      </c>
      <c r="AI238" s="6" t="n">
        <f aca="false">MAX(AH238,AC238)</f>
        <v>857331.799382297</v>
      </c>
      <c r="AJ238" s="6" t="n">
        <f aca="false">MAX(AI238,AD238)</f>
        <v>970693.078406469</v>
      </c>
      <c r="AK238" s="6" t="n">
        <f aca="false">MAX(AJ238,AE238)</f>
        <v>1101620.17905751</v>
      </c>
      <c r="AL238" s="8" t="n">
        <f aca="false">MIN(Z238/AF238-1,AA238/AG238-1,AB238/AH238-1,AC238/AI238-1,AD238/AJ238-1,AE238/AK238-1)</f>
        <v>0</v>
      </c>
      <c r="AM238" s="6" t="n">
        <f aca="false">AE238-Assumptions!$B$35</f>
        <v>660356.182395007</v>
      </c>
    </row>
    <row r="239" customFormat="false" ht="15" hidden="false" customHeight="false" outlineLevel="0" collapsed="false">
      <c r="A239" s="0" t="n">
        <f aca="false">ROW()-1</f>
        <v>238</v>
      </c>
      <c r="B239" s="0" t="str">
        <f aca="true">IF(RAND()&lt;Assumptions!$B$11,"Bull","Bear")</f>
        <v>Bull</v>
      </c>
      <c r="C239" s="0" t="str">
        <f aca="true">IF(B239="Bull",IF(RAND()&lt;Assumptions!$B$7,"Bull","Bear"),IF(RAND()&lt;Assumptions!$B$10,"Bear","Bull"))</f>
        <v>Bull</v>
      </c>
      <c r="D239" s="0" t="str">
        <f aca="true">IF(C239="Bull",IF(RAND()&lt;Assumptions!$B$7,"Bull","Bear"),IF(RAND()&lt;Assumptions!$B$10,"Bear","Bull"))</f>
        <v>Bull</v>
      </c>
      <c r="E239" s="0" t="str">
        <f aca="true">IF(D239="Bull",IF(RAND()&lt;Assumptions!$B$7,"Bull","Bear"),IF(RAND()&lt;Assumptions!$B$10,"Bear","Bull"))</f>
        <v>Bull</v>
      </c>
      <c r="F239" s="0" t="str">
        <f aca="true">IF(E239="Bull",IF(RAND()&lt;Assumptions!$B$7,"Bull","Bear"),IF(RAND()&lt;Assumptions!$B$10,"Bear","Bull"))</f>
        <v>Bull</v>
      </c>
      <c r="G239" s="0" t="str">
        <f aca="true">IF(F239="Bull",IF(RAND()&lt;Assumptions!$B$7,"Bull","Bear"),IF(RAND()&lt;Assumptions!$B$10,"Bear","Bull"))</f>
        <v>Bull</v>
      </c>
      <c r="H239" s="8" t="n">
        <f aca="true">IF(B239="Bull",NORMINV(RAND(),Assumptions!$B$5,Assumptions!$B$6),NORMINV(RAND(),Assumptions!$B$8,Assumptions!$B$9))</f>
        <v>-0.0270392770651356</v>
      </c>
      <c r="I239" s="8" t="n">
        <f aca="true">IF(C239="Bull",NORMINV(RAND(),Assumptions!$B$5,Assumptions!$B$6),NORMINV(RAND(),Assumptions!$B$8,Assumptions!$B$9))</f>
        <v>0.309765708573579</v>
      </c>
      <c r="J239" s="8" t="n">
        <f aca="true">IF(D239="Bull",NORMINV(RAND(),Assumptions!$B$5,Assumptions!$B$6),NORMINV(RAND(),Assumptions!$B$8,Assumptions!$B$9))</f>
        <v>0.281116105971987</v>
      </c>
      <c r="K239" s="8" t="n">
        <f aca="true">IF(E239="Bull",NORMINV(RAND(),Assumptions!$B$5,Assumptions!$B$6),NORMINV(RAND(),Assumptions!$B$8,Assumptions!$B$9))</f>
        <v>0.0174063410895317</v>
      </c>
      <c r="L239" s="8" t="n">
        <f aca="true">IF(F239="Bull",NORMINV(RAND(),Assumptions!$B$5,Assumptions!$B$6),NORMINV(RAND(),Assumptions!$B$8,Assumptions!$B$9))</f>
        <v>0.308004271149125</v>
      </c>
      <c r="M239" s="8" t="n">
        <f aca="true">IF(G239="Bull",NORMINV(RAND(),Assumptions!$B$5,Assumptions!$B$6),NORMINV(RAND(),Assumptions!$B$8,Assumptions!$B$9))</f>
        <v>0.232438826754691</v>
      </c>
      <c r="N239" s="8" t="n">
        <f aca="true">NORMINV(RAND(),Assumptions!$B$14,Assumptions!$B$15)</f>
        <v>0.0483755346524642</v>
      </c>
      <c r="O239" s="8" t="n">
        <f aca="true">NORMINV(RAND(),Assumptions!$B$14,Assumptions!$B$15)</f>
        <v>-0.027220923277237</v>
      </c>
      <c r="P239" s="8" t="n">
        <f aca="true">NORMINV(RAND(),Assumptions!$B$14,Assumptions!$B$15)</f>
        <v>0.0767781348029529</v>
      </c>
      <c r="Q239" s="8" t="n">
        <f aca="true">NORMINV(RAND(),Assumptions!$B$14,Assumptions!$B$15)</f>
        <v>0.0577978531744478</v>
      </c>
      <c r="R239" s="8" t="n">
        <f aca="true">NORMINV(RAND(),Assumptions!$B$14,Assumptions!$B$15)</f>
        <v>0.0287668852798422</v>
      </c>
      <c r="S239" s="8" t="n">
        <f aca="true">NORMINV(RAND(),Assumptions!$B$14,Assumptions!$B$15)</f>
        <v>0.0354004250440342</v>
      </c>
      <c r="T239" s="8" t="n">
        <f aca="false">Assumptions!$B$19*H239+(1-Assumptions!$B$19)*N239</f>
        <v>-0.0270392770651356</v>
      </c>
      <c r="U239" s="8" t="n">
        <f aca="false">Assumptions!$B$20*I239+(1-Assumptions!$B$20)*O239</f>
        <v>0.309765708573579</v>
      </c>
      <c r="V239" s="8" t="n">
        <f aca="false">Assumptions!$B$21*J239+(1-Assumptions!$B$21)*P239</f>
        <v>0.281116105971987</v>
      </c>
      <c r="W239" s="8" t="n">
        <f aca="false">Assumptions!$B$22*K239+(1-Assumptions!$B$22)*Q239</f>
        <v>0.0174063410895317</v>
      </c>
      <c r="X239" s="8" t="n">
        <f aca="false">Assumptions!$B$23*L239+(1-Assumptions!$B$23)*R239</f>
        <v>0.252156793975269</v>
      </c>
      <c r="Y239" s="8" t="n">
        <f aca="false">Assumptions!$B$24*M239+(1-Assumptions!$B$24)*S239</f>
        <v>0.153623466070428</v>
      </c>
      <c r="Z239" s="6" t="n">
        <f aca="false">Assumptions!$B$27*(1+T239)</f>
        <v>291888.216880459</v>
      </c>
      <c r="AA239" s="6" t="n">
        <f aca="false">(Z239+Assumptions!$B$28)*(1+U239)</f>
        <v>578770.03349275</v>
      </c>
      <c r="AB239" s="6" t="n">
        <f aca="false">AA239*(1+V239)</f>
        <v>741471.611561509</v>
      </c>
      <c r="AC239" s="6" t="n">
        <f aca="false">AB239*(1+W239)</f>
        <v>754377.919340553</v>
      </c>
      <c r="AD239" s="6" t="n">
        <f aca="false">AC239*(1+X239)</f>
        <v>944599.436927201</v>
      </c>
      <c r="AE239" s="6" t="n">
        <f aca="false">AD239*(1+Y239)</f>
        <v>1089712.07647613</v>
      </c>
      <c r="AF239" s="6" t="n">
        <f aca="false">Z239</f>
        <v>291888.216880459</v>
      </c>
      <c r="AG239" s="6" t="n">
        <f aca="false">MAX(AF239,AA239)</f>
        <v>578770.03349275</v>
      </c>
      <c r="AH239" s="6" t="n">
        <f aca="false">MAX(AG239,AB239)</f>
        <v>741471.611561509</v>
      </c>
      <c r="AI239" s="6" t="n">
        <f aca="false">MAX(AH239,AC239)</f>
        <v>754377.919340553</v>
      </c>
      <c r="AJ239" s="6" t="n">
        <f aca="false">MAX(AI239,AD239)</f>
        <v>944599.436927201</v>
      </c>
      <c r="AK239" s="6" t="n">
        <f aca="false">MAX(AJ239,AE239)</f>
        <v>1089712.07647613</v>
      </c>
      <c r="AL239" s="8" t="n">
        <f aca="false">MIN(Z239/AF239-1,AA239/AG239-1,AB239/AH239-1,AC239/AI239-1,AD239/AJ239-1,AE239/AK239-1)</f>
        <v>0</v>
      </c>
      <c r="AM239" s="6" t="n">
        <f aca="false">AE239-Assumptions!$B$35</f>
        <v>648448.079813629</v>
      </c>
    </row>
    <row r="240" customFormat="false" ht="15" hidden="false" customHeight="false" outlineLevel="0" collapsed="false">
      <c r="A240" s="0" t="n">
        <f aca="false">ROW()-1</f>
        <v>239</v>
      </c>
      <c r="B240" s="0" t="str">
        <f aca="true">IF(RAND()&lt;Assumptions!$B$11,"Bull","Bear")</f>
        <v>Bull</v>
      </c>
      <c r="C240" s="0" t="str">
        <f aca="true">IF(B240="Bull",IF(RAND()&lt;Assumptions!$B$7,"Bull","Bear"),IF(RAND()&lt;Assumptions!$B$10,"Bear","Bull"))</f>
        <v>Bull</v>
      </c>
      <c r="D240" s="0" t="str">
        <f aca="true">IF(C240="Bull",IF(RAND()&lt;Assumptions!$B$7,"Bull","Bear"),IF(RAND()&lt;Assumptions!$B$10,"Bear","Bull"))</f>
        <v>Bull</v>
      </c>
      <c r="E240" s="0" t="str">
        <f aca="true">IF(D240="Bull",IF(RAND()&lt;Assumptions!$B$7,"Bull","Bear"),IF(RAND()&lt;Assumptions!$B$10,"Bear","Bull"))</f>
        <v>Bull</v>
      </c>
      <c r="F240" s="0" t="str">
        <f aca="true">IF(E240="Bull",IF(RAND()&lt;Assumptions!$B$7,"Bull","Bear"),IF(RAND()&lt;Assumptions!$B$10,"Bear","Bull"))</f>
        <v>Bull</v>
      </c>
      <c r="G240" s="0" t="str">
        <f aca="true">IF(F240="Bull",IF(RAND()&lt;Assumptions!$B$7,"Bull","Bear"),IF(RAND()&lt;Assumptions!$B$10,"Bear","Bull"))</f>
        <v>Bull</v>
      </c>
      <c r="H240" s="8" t="n">
        <f aca="true">IF(B240="Bull",NORMINV(RAND(),Assumptions!$B$5,Assumptions!$B$6),NORMINV(RAND(),Assumptions!$B$8,Assumptions!$B$9))</f>
        <v>-0.05139365184828</v>
      </c>
      <c r="I240" s="8" t="n">
        <f aca="true">IF(C240="Bull",NORMINV(RAND(),Assumptions!$B$5,Assumptions!$B$6),NORMINV(RAND(),Assumptions!$B$8,Assumptions!$B$9))</f>
        <v>0.0588313208194811</v>
      </c>
      <c r="J240" s="8" t="n">
        <f aca="true">IF(D240="Bull",NORMINV(RAND(),Assumptions!$B$5,Assumptions!$B$6),NORMINV(RAND(),Assumptions!$B$8,Assumptions!$B$9))</f>
        <v>0.125735323208439</v>
      </c>
      <c r="K240" s="8" t="n">
        <f aca="true">IF(E240="Bull",NORMINV(RAND(),Assumptions!$B$5,Assumptions!$B$6),NORMINV(RAND(),Assumptions!$B$8,Assumptions!$B$9))</f>
        <v>0.044903557447069</v>
      </c>
      <c r="L240" s="8" t="n">
        <f aca="true">IF(F240="Bull",NORMINV(RAND(),Assumptions!$B$5,Assumptions!$B$6),NORMINV(RAND(),Assumptions!$B$8,Assumptions!$B$9))</f>
        <v>0.324224229658223</v>
      </c>
      <c r="M240" s="8" t="n">
        <f aca="true">IF(G240="Bull",NORMINV(RAND(),Assumptions!$B$5,Assumptions!$B$6),NORMINV(RAND(),Assumptions!$B$8,Assumptions!$B$9))</f>
        <v>0.0383573699422216</v>
      </c>
      <c r="N240" s="8" t="n">
        <f aca="true">NORMINV(RAND(),Assumptions!$B$14,Assumptions!$B$15)</f>
        <v>0.043794447285662</v>
      </c>
      <c r="O240" s="8" t="n">
        <f aca="true">NORMINV(RAND(),Assumptions!$B$14,Assumptions!$B$15)</f>
        <v>0.0415739086707458</v>
      </c>
      <c r="P240" s="8" t="n">
        <f aca="true">NORMINV(RAND(),Assumptions!$B$14,Assumptions!$B$15)</f>
        <v>0.0288658855577329</v>
      </c>
      <c r="Q240" s="8" t="n">
        <f aca="true">NORMINV(RAND(),Assumptions!$B$14,Assumptions!$B$15)</f>
        <v>0.0631019518139716</v>
      </c>
      <c r="R240" s="8" t="n">
        <f aca="true">NORMINV(RAND(),Assumptions!$B$14,Assumptions!$B$15)</f>
        <v>0.042646393165784</v>
      </c>
      <c r="S240" s="8" t="n">
        <f aca="true">NORMINV(RAND(),Assumptions!$B$14,Assumptions!$B$15)</f>
        <v>0.0969599740700692</v>
      </c>
      <c r="T240" s="8" t="n">
        <f aca="false">Assumptions!$B$19*H240+(1-Assumptions!$B$19)*N240</f>
        <v>-0.05139365184828</v>
      </c>
      <c r="U240" s="8" t="n">
        <f aca="false">Assumptions!$B$20*I240+(1-Assumptions!$B$20)*O240</f>
        <v>0.0588313208194811</v>
      </c>
      <c r="V240" s="8" t="n">
        <f aca="false">Assumptions!$B$21*J240+(1-Assumptions!$B$21)*P240</f>
        <v>0.125735323208439</v>
      </c>
      <c r="W240" s="8" t="n">
        <f aca="false">Assumptions!$B$22*K240+(1-Assumptions!$B$22)*Q240</f>
        <v>0.044903557447069</v>
      </c>
      <c r="X240" s="8" t="n">
        <f aca="false">Assumptions!$B$23*L240+(1-Assumptions!$B$23)*R240</f>
        <v>0.267908662359735</v>
      </c>
      <c r="Y240" s="8" t="n">
        <f aca="false">Assumptions!$B$24*M240+(1-Assumptions!$B$24)*S240</f>
        <v>0.0617984115933606</v>
      </c>
      <c r="Z240" s="6" t="n">
        <f aca="false">Assumptions!$B$27*(1+T240)</f>
        <v>284581.904445516</v>
      </c>
      <c r="AA240" s="6" t="n">
        <f aca="false">(Z240+Assumptions!$B$28)*(1+U240)</f>
        <v>460148.931888291</v>
      </c>
      <c r="AB240" s="6" t="n">
        <f aca="false">AA240*(1+V240)</f>
        <v>518005.906563284</v>
      </c>
      <c r="AC240" s="6" t="n">
        <f aca="false">AB240*(1+W240)</f>
        <v>541266.214546569</v>
      </c>
      <c r="AD240" s="6" t="n">
        <f aca="false">AC240*(1+X240)</f>
        <v>686276.122066258</v>
      </c>
      <c r="AE240" s="6" t="n">
        <f aca="false">AD240*(1+Y240)</f>
        <v>728686.896324404</v>
      </c>
      <c r="AF240" s="6" t="n">
        <f aca="false">Z240</f>
        <v>284581.904445516</v>
      </c>
      <c r="AG240" s="6" t="n">
        <f aca="false">MAX(AF240,AA240)</f>
        <v>460148.931888291</v>
      </c>
      <c r="AH240" s="6" t="n">
        <f aca="false">MAX(AG240,AB240)</f>
        <v>518005.906563284</v>
      </c>
      <c r="AI240" s="6" t="n">
        <f aca="false">MAX(AH240,AC240)</f>
        <v>541266.214546569</v>
      </c>
      <c r="AJ240" s="6" t="n">
        <f aca="false">MAX(AI240,AD240)</f>
        <v>686276.122066258</v>
      </c>
      <c r="AK240" s="6" t="n">
        <f aca="false">MAX(AJ240,AE240)</f>
        <v>728686.896324404</v>
      </c>
      <c r="AL240" s="8" t="n">
        <f aca="false">MIN(Z240/AF240-1,AA240/AG240-1,AB240/AH240-1,AC240/AI240-1,AD240/AJ240-1,AE240/AK240-1)</f>
        <v>0</v>
      </c>
      <c r="AM240" s="6" t="n">
        <f aca="false">AE240-Assumptions!$B$35</f>
        <v>287422.8996619</v>
      </c>
    </row>
    <row r="241" customFormat="false" ht="15" hidden="false" customHeight="false" outlineLevel="0" collapsed="false">
      <c r="A241" s="0" t="n">
        <f aca="false">ROW()-1</f>
        <v>240</v>
      </c>
      <c r="B241" s="0" t="str">
        <f aca="true">IF(RAND()&lt;Assumptions!$B$11,"Bull","Bear")</f>
        <v>Bear</v>
      </c>
      <c r="C241" s="0" t="str">
        <f aca="true">IF(B241="Bull",IF(RAND()&lt;Assumptions!$B$7,"Bull","Bear"),IF(RAND()&lt;Assumptions!$B$10,"Bear","Bull"))</f>
        <v>Bear</v>
      </c>
      <c r="D241" s="0" t="str">
        <f aca="true">IF(C241="Bull",IF(RAND()&lt;Assumptions!$B$7,"Bull","Bear"),IF(RAND()&lt;Assumptions!$B$10,"Bear","Bull"))</f>
        <v>Bull</v>
      </c>
      <c r="E241" s="0" t="str">
        <f aca="true">IF(D241="Bull",IF(RAND()&lt;Assumptions!$B$7,"Bull","Bear"),IF(RAND()&lt;Assumptions!$B$10,"Bear","Bull"))</f>
        <v>Bull</v>
      </c>
      <c r="F241" s="0" t="str">
        <f aca="true">IF(E241="Bull",IF(RAND()&lt;Assumptions!$B$7,"Bull","Bear"),IF(RAND()&lt;Assumptions!$B$10,"Bear","Bull"))</f>
        <v>Bull</v>
      </c>
      <c r="G241" s="0" t="str">
        <f aca="true">IF(F241="Bull",IF(RAND()&lt;Assumptions!$B$7,"Bull","Bear"),IF(RAND()&lt;Assumptions!$B$10,"Bear","Bull"))</f>
        <v>Bull</v>
      </c>
      <c r="H241" s="8" t="n">
        <f aca="true">IF(B241="Bull",NORMINV(RAND(),Assumptions!$B$5,Assumptions!$B$6),NORMINV(RAND(),Assumptions!$B$8,Assumptions!$B$9))</f>
        <v>-0.12574805903866</v>
      </c>
      <c r="I241" s="8" t="n">
        <f aca="true">IF(C241="Bull",NORMINV(RAND(),Assumptions!$B$5,Assumptions!$B$6),NORMINV(RAND(),Assumptions!$B$8,Assumptions!$B$9))</f>
        <v>-0.00946857627684611</v>
      </c>
      <c r="J241" s="8" t="n">
        <f aca="true">IF(D241="Bull",NORMINV(RAND(),Assumptions!$B$5,Assumptions!$B$6),NORMINV(RAND(),Assumptions!$B$8,Assumptions!$B$9))</f>
        <v>0.110253958520438</v>
      </c>
      <c r="K241" s="8" t="n">
        <f aca="true">IF(E241="Bull",NORMINV(RAND(),Assumptions!$B$5,Assumptions!$B$6),NORMINV(RAND(),Assumptions!$B$8,Assumptions!$B$9))</f>
        <v>-0.0186878990754989</v>
      </c>
      <c r="L241" s="8" t="n">
        <f aca="true">IF(F241="Bull",NORMINV(RAND(),Assumptions!$B$5,Assumptions!$B$6),NORMINV(RAND(),Assumptions!$B$8,Assumptions!$B$9))</f>
        <v>0.164164244479696</v>
      </c>
      <c r="M241" s="8" t="n">
        <f aca="true">IF(G241="Bull",NORMINV(RAND(),Assumptions!$B$5,Assumptions!$B$6),NORMINV(RAND(),Assumptions!$B$8,Assumptions!$B$9))</f>
        <v>0.0775508810360042</v>
      </c>
      <c r="N241" s="8" t="n">
        <f aca="true">NORMINV(RAND(),Assumptions!$B$14,Assumptions!$B$15)</f>
        <v>0.0728629925618956</v>
      </c>
      <c r="O241" s="8" t="n">
        <f aca="true">NORMINV(RAND(),Assumptions!$B$14,Assumptions!$B$15)</f>
        <v>0.0588798215993453</v>
      </c>
      <c r="P241" s="8" t="n">
        <f aca="true">NORMINV(RAND(),Assumptions!$B$14,Assumptions!$B$15)</f>
        <v>0.0138702039870163</v>
      </c>
      <c r="Q241" s="8" t="n">
        <f aca="true">NORMINV(RAND(),Assumptions!$B$14,Assumptions!$B$15)</f>
        <v>0.0281221118736355</v>
      </c>
      <c r="R241" s="8" t="n">
        <f aca="true">NORMINV(RAND(),Assumptions!$B$14,Assumptions!$B$15)</f>
        <v>0.0987760254353945</v>
      </c>
      <c r="S241" s="8" t="n">
        <f aca="true">NORMINV(RAND(),Assumptions!$B$14,Assumptions!$B$15)</f>
        <v>0.0192191553800951</v>
      </c>
      <c r="T241" s="8" t="n">
        <f aca="false">Assumptions!$B$19*H241+(1-Assumptions!$B$19)*N241</f>
        <v>-0.12574805903866</v>
      </c>
      <c r="U241" s="8" t="n">
        <f aca="false">Assumptions!$B$20*I241+(1-Assumptions!$B$20)*O241</f>
        <v>-0.00946857627684611</v>
      </c>
      <c r="V241" s="8" t="n">
        <f aca="false">Assumptions!$B$21*J241+(1-Assumptions!$B$21)*P241</f>
        <v>0.110253958520438</v>
      </c>
      <c r="W241" s="8" t="n">
        <f aca="false">Assumptions!$B$22*K241+(1-Assumptions!$B$22)*Q241</f>
        <v>-0.0186878990754989</v>
      </c>
      <c r="X241" s="8" t="n">
        <f aca="false">Assumptions!$B$23*L241+(1-Assumptions!$B$23)*R241</f>
        <v>0.151086600670836</v>
      </c>
      <c r="Y241" s="8" t="n">
        <f aca="false">Assumptions!$B$24*M241+(1-Assumptions!$B$24)*S241</f>
        <v>0.0542181907736405</v>
      </c>
      <c r="Z241" s="6" t="n">
        <f aca="false">Assumptions!$B$27*(1+T241)</f>
        <v>262275.582288402</v>
      </c>
      <c r="AA241" s="6" t="n">
        <f aca="false">(Z241+Assumptions!$B$28)*(1+U241)</f>
        <v>408371.919490423</v>
      </c>
      <c r="AB241" s="6" t="n">
        <f aca="false">AA241*(1+V241)</f>
        <v>453396.540162832</v>
      </c>
      <c r="AC241" s="6" t="n">
        <f aca="false">AB241*(1+W241)</f>
        <v>444923.511379089</v>
      </c>
      <c r="AD241" s="6" t="n">
        <f aca="false">AC241*(1+X241)</f>
        <v>512145.492271887</v>
      </c>
      <c r="AE241" s="6" t="n">
        <f aca="false">AD241*(1+Y241)</f>
        <v>539913.094275744</v>
      </c>
      <c r="AF241" s="6" t="n">
        <f aca="false">Z241</f>
        <v>262275.582288402</v>
      </c>
      <c r="AG241" s="6" t="n">
        <f aca="false">MAX(AF241,AA241)</f>
        <v>408371.919490423</v>
      </c>
      <c r="AH241" s="6" t="n">
        <f aca="false">MAX(AG241,AB241)</f>
        <v>453396.540162832</v>
      </c>
      <c r="AI241" s="6" t="n">
        <f aca="false">MAX(AH241,AC241)</f>
        <v>453396.540162832</v>
      </c>
      <c r="AJ241" s="6" t="n">
        <f aca="false">MAX(AI241,AD241)</f>
        <v>512145.492271887</v>
      </c>
      <c r="AK241" s="6" t="n">
        <f aca="false">MAX(AJ241,AE241)</f>
        <v>539913.094275744</v>
      </c>
      <c r="AL241" s="8" t="n">
        <f aca="false">MIN(Z241/AF241-1,AA241/AG241-1,AB241/AH241-1,AC241/AI241-1,AD241/AJ241-1,AE241/AK241-1)</f>
        <v>-0.0186878990754989</v>
      </c>
      <c r="AM241" s="6" t="n">
        <f aca="false">AE241-Assumptions!$B$35</f>
        <v>98649.0976132408</v>
      </c>
    </row>
    <row r="242" customFormat="false" ht="15" hidden="false" customHeight="false" outlineLevel="0" collapsed="false">
      <c r="A242" s="0" t="n">
        <f aca="false">ROW()-1</f>
        <v>241</v>
      </c>
      <c r="B242" s="0" t="str">
        <f aca="true">IF(RAND()&lt;Assumptions!$B$11,"Bull","Bear")</f>
        <v>Bear</v>
      </c>
      <c r="C242" s="0" t="str">
        <f aca="true">IF(B242="Bull",IF(RAND()&lt;Assumptions!$B$7,"Bull","Bear"),IF(RAND()&lt;Assumptions!$B$10,"Bear","Bull"))</f>
        <v>Bull</v>
      </c>
      <c r="D242" s="0" t="str">
        <f aca="true">IF(C242="Bull",IF(RAND()&lt;Assumptions!$B$7,"Bull","Bear"),IF(RAND()&lt;Assumptions!$B$10,"Bear","Bull"))</f>
        <v>Bull</v>
      </c>
      <c r="E242" s="0" t="str">
        <f aca="true">IF(D242="Bull",IF(RAND()&lt;Assumptions!$B$7,"Bull","Bear"),IF(RAND()&lt;Assumptions!$B$10,"Bear","Bull"))</f>
        <v>Bull</v>
      </c>
      <c r="F242" s="0" t="str">
        <f aca="true">IF(E242="Bull",IF(RAND()&lt;Assumptions!$B$7,"Bull","Bear"),IF(RAND()&lt;Assumptions!$B$10,"Bear","Bull"))</f>
        <v>Bull</v>
      </c>
      <c r="G242" s="0" t="str">
        <f aca="true">IF(F242="Bull",IF(RAND()&lt;Assumptions!$B$7,"Bull","Bear"),IF(RAND()&lt;Assumptions!$B$10,"Bear","Bull"))</f>
        <v>Bull</v>
      </c>
      <c r="H242" s="8" t="n">
        <f aca="true">IF(B242="Bull",NORMINV(RAND(),Assumptions!$B$5,Assumptions!$B$6),NORMINV(RAND(),Assumptions!$B$8,Assumptions!$B$9))</f>
        <v>-0.336372224872942</v>
      </c>
      <c r="I242" s="8" t="n">
        <f aca="true">IF(C242="Bull",NORMINV(RAND(),Assumptions!$B$5,Assumptions!$B$6),NORMINV(RAND(),Assumptions!$B$8,Assumptions!$B$9))</f>
        <v>0.38661033009645</v>
      </c>
      <c r="J242" s="8" t="n">
        <f aca="true">IF(D242="Bull",NORMINV(RAND(),Assumptions!$B$5,Assumptions!$B$6),NORMINV(RAND(),Assumptions!$B$8,Assumptions!$B$9))</f>
        <v>0.0354297560344328</v>
      </c>
      <c r="K242" s="8" t="n">
        <f aca="true">IF(E242="Bull",NORMINV(RAND(),Assumptions!$B$5,Assumptions!$B$6),NORMINV(RAND(),Assumptions!$B$8,Assumptions!$B$9))</f>
        <v>0.0039756966807491</v>
      </c>
      <c r="L242" s="8" t="n">
        <f aca="true">IF(F242="Bull",NORMINV(RAND(),Assumptions!$B$5,Assumptions!$B$6),NORMINV(RAND(),Assumptions!$B$8,Assumptions!$B$9))</f>
        <v>0.193253096112164</v>
      </c>
      <c r="M242" s="8" t="n">
        <f aca="true">IF(G242="Bull",NORMINV(RAND(),Assumptions!$B$5,Assumptions!$B$6),NORMINV(RAND(),Assumptions!$B$8,Assumptions!$B$9))</f>
        <v>0.386953125327411</v>
      </c>
      <c r="N242" s="8" t="n">
        <f aca="true">NORMINV(RAND(),Assumptions!$B$14,Assumptions!$B$15)</f>
        <v>0.113695299537503</v>
      </c>
      <c r="O242" s="8" t="n">
        <f aca="true">NORMINV(RAND(),Assumptions!$B$14,Assumptions!$B$15)</f>
        <v>0.104167588110141</v>
      </c>
      <c r="P242" s="8" t="n">
        <f aca="true">NORMINV(RAND(),Assumptions!$B$14,Assumptions!$B$15)</f>
        <v>0.00749260966219489</v>
      </c>
      <c r="Q242" s="8" t="n">
        <f aca="true">NORMINV(RAND(),Assumptions!$B$14,Assumptions!$B$15)</f>
        <v>0.021780870666559</v>
      </c>
      <c r="R242" s="8" t="n">
        <f aca="true">NORMINV(RAND(),Assumptions!$B$14,Assumptions!$B$15)</f>
        <v>0.0173030795407765</v>
      </c>
      <c r="S242" s="8" t="n">
        <f aca="true">NORMINV(RAND(),Assumptions!$B$14,Assumptions!$B$15)</f>
        <v>0.0846220185923393</v>
      </c>
      <c r="T242" s="8" t="n">
        <f aca="false">Assumptions!$B$19*H242+(1-Assumptions!$B$19)*N242</f>
        <v>-0.336372224872942</v>
      </c>
      <c r="U242" s="8" t="n">
        <f aca="false">Assumptions!$B$20*I242+(1-Assumptions!$B$20)*O242</f>
        <v>0.38661033009645</v>
      </c>
      <c r="V242" s="8" t="n">
        <f aca="false">Assumptions!$B$21*J242+(1-Assumptions!$B$21)*P242</f>
        <v>0.0354297560344328</v>
      </c>
      <c r="W242" s="8" t="n">
        <f aca="false">Assumptions!$B$22*K242+(1-Assumptions!$B$22)*Q242</f>
        <v>0.0039756966807491</v>
      </c>
      <c r="X242" s="8" t="n">
        <f aca="false">Assumptions!$B$23*L242+(1-Assumptions!$B$23)*R242</f>
        <v>0.158063092797886</v>
      </c>
      <c r="Y242" s="8" t="n">
        <f aca="false">Assumptions!$B$24*M242+(1-Assumptions!$B$24)*S242</f>
        <v>0.266020682633382</v>
      </c>
      <c r="Z242" s="6" t="n">
        <f aca="false">Assumptions!$B$27*(1+T242)</f>
        <v>199088.332538118</v>
      </c>
      <c r="AA242" s="6" t="n">
        <f aca="false">(Z242+Assumptions!$B$28)*(1+U242)</f>
        <v>484049.488013499</v>
      </c>
      <c r="AB242" s="6" t="n">
        <f aca="false">AA242*(1+V242)</f>
        <v>501199.243282409</v>
      </c>
      <c r="AC242" s="6" t="n">
        <f aca="false">AB242*(1+W242)</f>
        <v>503191.859450321</v>
      </c>
      <c r="AD242" s="6" t="n">
        <f aca="false">AC242*(1+X242)</f>
        <v>582727.921025758</v>
      </c>
      <c r="AE242" s="6" t="n">
        <f aca="false">AD242*(1+Y242)</f>
        <v>737745.600366561</v>
      </c>
      <c r="AF242" s="6" t="n">
        <f aca="false">Z242</f>
        <v>199088.332538118</v>
      </c>
      <c r="AG242" s="6" t="n">
        <f aca="false">MAX(AF242,AA242)</f>
        <v>484049.488013499</v>
      </c>
      <c r="AH242" s="6" t="n">
        <f aca="false">MAX(AG242,AB242)</f>
        <v>501199.243282409</v>
      </c>
      <c r="AI242" s="6" t="n">
        <f aca="false">MAX(AH242,AC242)</f>
        <v>503191.859450321</v>
      </c>
      <c r="AJ242" s="6" t="n">
        <f aca="false">MAX(AI242,AD242)</f>
        <v>582727.921025758</v>
      </c>
      <c r="AK242" s="6" t="n">
        <f aca="false">MAX(AJ242,AE242)</f>
        <v>737745.600366561</v>
      </c>
      <c r="AL242" s="8" t="n">
        <f aca="false">MIN(Z242/AF242-1,AA242/AG242-1,AB242/AH242-1,AC242/AI242-1,AD242/AJ242-1,AE242/AK242-1)</f>
        <v>0</v>
      </c>
      <c r="AM242" s="6" t="n">
        <f aca="false">AE242-Assumptions!$B$35</f>
        <v>296481.603704058</v>
      </c>
    </row>
    <row r="243" customFormat="false" ht="15" hidden="false" customHeight="false" outlineLevel="0" collapsed="false">
      <c r="A243" s="0" t="n">
        <f aca="false">ROW()-1</f>
        <v>242</v>
      </c>
      <c r="B243" s="0" t="str">
        <f aca="true">IF(RAND()&lt;Assumptions!$B$11,"Bull","Bear")</f>
        <v>Bull</v>
      </c>
      <c r="C243" s="0" t="str">
        <f aca="true">IF(B243="Bull",IF(RAND()&lt;Assumptions!$B$7,"Bull","Bear"),IF(RAND()&lt;Assumptions!$B$10,"Bear","Bull"))</f>
        <v>Bull</v>
      </c>
      <c r="D243" s="0" t="str">
        <f aca="true">IF(C243="Bull",IF(RAND()&lt;Assumptions!$B$7,"Bull","Bear"),IF(RAND()&lt;Assumptions!$B$10,"Bear","Bull"))</f>
        <v>Bear</v>
      </c>
      <c r="E243" s="0" t="str">
        <f aca="true">IF(D243="Bull",IF(RAND()&lt;Assumptions!$B$7,"Bull","Bear"),IF(RAND()&lt;Assumptions!$B$10,"Bear","Bull"))</f>
        <v>Bull</v>
      </c>
      <c r="F243" s="0" t="str">
        <f aca="true">IF(E243="Bull",IF(RAND()&lt;Assumptions!$B$7,"Bull","Bear"),IF(RAND()&lt;Assumptions!$B$10,"Bear","Bull"))</f>
        <v>Bull</v>
      </c>
      <c r="G243" s="0" t="str">
        <f aca="true">IF(F243="Bull",IF(RAND()&lt;Assumptions!$B$7,"Bull","Bear"),IF(RAND()&lt;Assumptions!$B$10,"Bear","Bull"))</f>
        <v>Bull</v>
      </c>
      <c r="H243" s="8" t="n">
        <f aca="true">IF(B243="Bull",NORMINV(RAND(),Assumptions!$B$5,Assumptions!$B$6),NORMINV(RAND(),Assumptions!$B$8,Assumptions!$B$9))</f>
        <v>0.0921372524764445</v>
      </c>
      <c r="I243" s="8" t="n">
        <f aca="true">IF(C243="Bull",NORMINV(RAND(),Assumptions!$B$5,Assumptions!$B$6),NORMINV(RAND(),Assumptions!$B$8,Assumptions!$B$9))</f>
        <v>0.104080860309577</v>
      </c>
      <c r="J243" s="8" t="n">
        <f aca="true">IF(D243="Bull",NORMINV(RAND(),Assumptions!$B$5,Assumptions!$B$6),NORMINV(RAND(),Assumptions!$B$8,Assumptions!$B$9))</f>
        <v>0.19172570540406</v>
      </c>
      <c r="K243" s="8" t="n">
        <f aca="true">IF(E243="Bull",NORMINV(RAND(),Assumptions!$B$5,Assumptions!$B$6),NORMINV(RAND(),Assumptions!$B$8,Assumptions!$B$9))</f>
        <v>0.102030615667923</v>
      </c>
      <c r="L243" s="8" t="n">
        <f aca="true">IF(F243="Bull",NORMINV(RAND(),Assumptions!$B$5,Assumptions!$B$6),NORMINV(RAND(),Assumptions!$B$8,Assumptions!$B$9))</f>
        <v>0.202364348430513</v>
      </c>
      <c r="M243" s="8" t="n">
        <f aca="true">IF(G243="Bull",NORMINV(RAND(),Assumptions!$B$5,Assumptions!$B$6),NORMINV(RAND(),Assumptions!$B$8,Assumptions!$B$9))</f>
        <v>0.280085060353225</v>
      </c>
      <c r="N243" s="8" t="n">
        <f aca="true">NORMINV(RAND(),Assumptions!$B$14,Assumptions!$B$15)</f>
        <v>0.0505375676576541</v>
      </c>
      <c r="O243" s="8" t="n">
        <f aca="true">NORMINV(RAND(),Assumptions!$B$14,Assumptions!$B$15)</f>
        <v>0.030244205724719</v>
      </c>
      <c r="P243" s="8" t="n">
        <f aca="true">NORMINV(RAND(),Assumptions!$B$14,Assumptions!$B$15)</f>
        <v>0.0431720026779431</v>
      </c>
      <c r="Q243" s="8" t="n">
        <f aca="true">NORMINV(RAND(),Assumptions!$B$14,Assumptions!$B$15)</f>
        <v>0.0624118914117838</v>
      </c>
      <c r="R243" s="8" t="n">
        <f aca="true">NORMINV(RAND(),Assumptions!$B$14,Assumptions!$B$15)</f>
        <v>0.0258981814187923</v>
      </c>
      <c r="S243" s="8" t="n">
        <f aca="true">NORMINV(RAND(),Assumptions!$B$14,Assumptions!$B$15)</f>
        <v>0.0643758738016231</v>
      </c>
      <c r="T243" s="8" t="n">
        <f aca="false">Assumptions!$B$19*H243+(1-Assumptions!$B$19)*N243</f>
        <v>0.0921372524764445</v>
      </c>
      <c r="U243" s="8" t="n">
        <f aca="false">Assumptions!$B$20*I243+(1-Assumptions!$B$20)*O243</f>
        <v>0.104080860309577</v>
      </c>
      <c r="V243" s="8" t="n">
        <f aca="false">Assumptions!$B$21*J243+(1-Assumptions!$B$21)*P243</f>
        <v>0.19172570540406</v>
      </c>
      <c r="W243" s="8" t="n">
        <f aca="false">Assumptions!$B$22*K243+(1-Assumptions!$B$22)*Q243</f>
        <v>0.102030615667923</v>
      </c>
      <c r="X243" s="8" t="n">
        <f aca="false">Assumptions!$B$23*L243+(1-Assumptions!$B$23)*R243</f>
        <v>0.167071115028169</v>
      </c>
      <c r="Y243" s="8" t="n">
        <f aca="false">Assumptions!$B$24*M243+(1-Assumptions!$B$24)*S243</f>
        <v>0.193801385732584</v>
      </c>
      <c r="Z243" s="6" t="n">
        <f aca="false">Assumptions!$B$27*(1+T243)</f>
        <v>327641.175742933</v>
      </c>
      <c r="AA243" s="6" t="n">
        <f aca="false">(Z243+Assumptions!$B$28)*(1+U243)</f>
        <v>527354.480233536</v>
      </c>
      <c r="AB243" s="6" t="n">
        <f aca="false">AA243*(1+V243)</f>
        <v>628461.889954302</v>
      </c>
      <c r="AC243" s="6" t="n">
        <f aca="false">AB243*(1+W243)</f>
        <v>692584.243510166</v>
      </c>
      <c r="AD243" s="6" t="n">
        <f aca="false">AC243*(1+X243)</f>
        <v>808295.065324351</v>
      </c>
      <c r="AE243" s="6" t="n">
        <f aca="false">AD243*(1+Y243)</f>
        <v>964943.769065019</v>
      </c>
      <c r="AF243" s="6" t="n">
        <f aca="false">Z243</f>
        <v>327641.175742933</v>
      </c>
      <c r="AG243" s="6" t="n">
        <f aca="false">MAX(AF243,AA243)</f>
        <v>527354.480233536</v>
      </c>
      <c r="AH243" s="6" t="n">
        <f aca="false">MAX(AG243,AB243)</f>
        <v>628461.889954302</v>
      </c>
      <c r="AI243" s="6" t="n">
        <f aca="false">MAX(AH243,AC243)</f>
        <v>692584.243510166</v>
      </c>
      <c r="AJ243" s="6" t="n">
        <f aca="false">MAX(AI243,AD243)</f>
        <v>808295.065324351</v>
      </c>
      <c r="AK243" s="6" t="n">
        <f aca="false">MAX(AJ243,AE243)</f>
        <v>964943.769065019</v>
      </c>
      <c r="AL243" s="8" t="n">
        <f aca="false">MIN(Z243/AF243-1,AA243/AG243-1,AB243/AH243-1,AC243/AI243-1,AD243/AJ243-1,AE243/AK243-1)</f>
        <v>0</v>
      </c>
      <c r="AM243" s="6" t="n">
        <f aca="false">AE243-Assumptions!$B$35</f>
        <v>523679.772402516</v>
      </c>
    </row>
    <row r="244" customFormat="false" ht="15" hidden="false" customHeight="false" outlineLevel="0" collapsed="false">
      <c r="A244" s="0" t="n">
        <f aca="false">ROW()-1</f>
        <v>243</v>
      </c>
      <c r="B244" s="0" t="str">
        <f aca="true">IF(RAND()&lt;Assumptions!$B$11,"Bull","Bear")</f>
        <v>Bull</v>
      </c>
      <c r="C244" s="0" t="str">
        <f aca="true">IF(B244="Bull",IF(RAND()&lt;Assumptions!$B$7,"Bull","Bear"),IF(RAND()&lt;Assumptions!$B$10,"Bear","Bull"))</f>
        <v>Bull</v>
      </c>
      <c r="D244" s="0" t="str">
        <f aca="true">IF(C244="Bull",IF(RAND()&lt;Assumptions!$B$7,"Bull","Bear"),IF(RAND()&lt;Assumptions!$B$10,"Bear","Bull"))</f>
        <v>Bear</v>
      </c>
      <c r="E244" s="0" t="str">
        <f aca="true">IF(D244="Bull",IF(RAND()&lt;Assumptions!$B$7,"Bull","Bear"),IF(RAND()&lt;Assumptions!$B$10,"Bear","Bull"))</f>
        <v>Bull</v>
      </c>
      <c r="F244" s="0" t="str">
        <f aca="true">IF(E244="Bull",IF(RAND()&lt;Assumptions!$B$7,"Bull","Bear"),IF(RAND()&lt;Assumptions!$B$10,"Bear","Bull"))</f>
        <v>Bull</v>
      </c>
      <c r="G244" s="0" t="str">
        <f aca="true">IF(F244="Bull",IF(RAND()&lt;Assumptions!$B$7,"Bull","Bear"),IF(RAND()&lt;Assumptions!$B$10,"Bear","Bull"))</f>
        <v>Bull</v>
      </c>
      <c r="H244" s="8" t="n">
        <f aca="true">IF(B244="Bull",NORMINV(RAND(),Assumptions!$B$5,Assumptions!$B$6),NORMINV(RAND(),Assumptions!$B$8,Assumptions!$B$9))</f>
        <v>0.219724253857045</v>
      </c>
      <c r="I244" s="8" t="n">
        <f aca="true">IF(C244="Bull",NORMINV(RAND(),Assumptions!$B$5,Assumptions!$B$6),NORMINV(RAND(),Assumptions!$B$8,Assumptions!$B$9))</f>
        <v>0.204691873596978</v>
      </c>
      <c r="J244" s="8" t="n">
        <f aca="true">IF(D244="Bull",NORMINV(RAND(),Assumptions!$B$5,Assumptions!$B$6),NORMINV(RAND(),Assumptions!$B$8,Assumptions!$B$9))</f>
        <v>0.0972282230027027</v>
      </c>
      <c r="K244" s="8" t="n">
        <f aca="true">IF(E244="Bull",NORMINV(RAND(),Assumptions!$B$5,Assumptions!$B$6),NORMINV(RAND(),Assumptions!$B$8,Assumptions!$B$9))</f>
        <v>0.211582655531006</v>
      </c>
      <c r="L244" s="8" t="n">
        <f aca="true">IF(F244="Bull",NORMINV(RAND(),Assumptions!$B$5,Assumptions!$B$6),NORMINV(RAND(),Assumptions!$B$8,Assumptions!$B$9))</f>
        <v>0.189024600872874</v>
      </c>
      <c r="M244" s="8" t="n">
        <f aca="true">IF(G244="Bull",NORMINV(RAND(),Assumptions!$B$5,Assumptions!$B$6),NORMINV(RAND(),Assumptions!$B$8,Assumptions!$B$9))</f>
        <v>0.11698806287809</v>
      </c>
      <c r="N244" s="8" t="n">
        <f aca="true">NORMINV(RAND(),Assumptions!$B$14,Assumptions!$B$15)</f>
        <v>0.0545407362955965</v>
      </c>
      <c r="O244" s="8" t="n">
        <f aca="true">NORMINV(RAND(),Assumptions!$B$14,Assumptions!$B$15)</f>
        <v>0.0687775006829909</v>
      </c>
      <c r="P244" s="8" t="n">
        <f aca="true">NORMINV(RAND(),Assumptions!$B$14,Assumptions!$B$15)</f>
        <v>0.0993536631643305</v>
      </c>
      <c r="Q244" s="8" t="n">
        <f aca="true">NORMINV(RAND(),Assumptions!$B$14,Assumptions!$B$15)</f>
        <v>0.0119349079318189</v>
      </c>
      <c r="R244" s="8" t="n">
        <f aca="true">NORMINV(RAND(),Assumptions!$B$14,Assumptions!$B$15)</f>
        <v>0.0364703696350841</v>
      </c>
      <c r="S244" s="8" t="n">
        <f aca="true">NORMINV(RAND(),Assumptions!$B$14,Assumptions!$B$15)</f>
        <v>0.0608804440630501</v>
      </c>
      <c r="T244" s="8" t="n">
        <f aca="false">Assumptions!$B$19*H244+(1-Assumptions!$B$19)*N244</f>
        <v>0.219724253857045</v>
      </c>
      <c r="U244" s="8" t="n">
        <f aca="false">Assumptions!$B$20*I244+(1-Assumptions!$B$20)*O244</f>
        <v>0.204691873596978</v>
      </c>
      <c r="V244" s="8" t="n">
        <f aca="false">Assumptions!$B$21*J244+(1-Assumptions!$B$21)*P244</f>
        <v>0.0972282230027027</v>
      </c>
      <c r="W244" s="8" t="n">
        <f aca="false">Assumptions!$B$22*K244+(1-Assumptions!$B$22)*Q244</f>
        <v>0.211582655531006</v>
      </c>
      <c r="X244" s="8" t="n">
        <f aca="false">Assumptions!$B$23*L244+(1-Assumptions!$B$23)*R244</f>
        <v>0.158513754625316</v>
      </c>
      <c r="Y244" s="8" t="n">
        <f aca="false">Assumptions!$B$24*M244+(1-Assumptions!$B$24)*S244</f>
        <v>0.0945450153520742</v>
      </c>
      <c r="Z244" s="6" t="n">
        <f aca="false">Assumptions!$B$27*(1+T244)</f>
        <v>365917.276157113</v>
      </c>
      <c r="AA244" s="6" t="n">
        <f aca="false">(Z244+Assumptions!$B$28)*(1+U244)</f>
        <v>621521.350034763</v>
      </c>
      <c r="AB244" s="6" t="n">
        <f aca="false">AA244*(1+V244)</f>
        <v>681950.766456883</v>
      </c>
      <c r="AC244" s="6" t="n">
        <f aca="false">AB244*(1+W244)</f>
        <v>826239.720565235</v>
      </c>
      <c r="AD244" s="6" t="n">
        <f aca="false">AC244*(1+X244)</f>
        <v>957210.080892603</v>
      </c>
      <c r="AE244" s="6" t="n">
        <f aca="false">AD244*(1+Y244)</f>
        <v>1047709.52268575</v>
      </c>
      <c r="AF244" s="6" t="n">
        <f aca="false">Z244</f>
        <v>365917.276157113</v>
      </c>
      <c r="AG244" s="6" t="n">
        <f aca="false">MAX(AF244,AA244)</f>
        <v>621521.350034763</v>
      </c>
      <c r="AH244" s="6" t="n">
        <f aca="false">MAX(AG244,AB244)</f>
        <v>681950.766456883</v>
      </c>
      <c r="AI244" s="6" t="n">
        <f aca="false">MAX(AH244,AC244)</f>
        <v>826239.720565235</v>
      </c>
      <c r="AJ244" s="6" t="n">
        <f aca="false">MAX(AI244,AD244)</f>
        <v>957210.080892603</v>
      </c>
      <c r="AK244" s="6" t="n">
        <f aca="false">MAX(AJ244,AE244)</f>
        <v>1047709.52268575</v>
      </c>
      <c r="AL244" s="8" t="n">
        <f aca="false">MIN(Z244/AF244-1,AA244/AG244-1,AB244/AH244-1,AC244/AI244-1,AD244/AJ244-1,AE244/AK244-1)</f>
        <v>0</v>
      </c>
      <c r="AM244" s="6" t="n">
        <f aca="false">AE244-Assumptions!$B$35</f>
        <v>606445.526023251</v>
      </c>
    </row>
    <row r="245" customFormat="false" ht="15" hidden="false" customHeight="false" outlineLevel="0" collapsed="false">
      <c r="A245" s="0" t="n">
        <f aca="false">ROW()-1</f>
        <v>244</v>
      </c>
      <c r="B245" s="0" t="str">
        <f aca="true">IF(RAND()&lt;Assumptions!$B$11,"Bull","Bear")</f>
        <v>Bull</v>
      </c>
      <c r="C245" s="0" t="str">
        <f aca="true">IF(B245="Bull",IF(RAND()&lt;Assumptions!$B$7,"Bull","Bear"),IF(RAND()&lt;Assumptions!$B$10,"Bear","Bull"))</f>
        <v>Bear</v>
      </c>
      <c r="D245" s="0" t="str">
        <f aca="true">IF(C245="Bull",IF(RAND()&lt;Assumptions!$B$7,"Bull","Bear"),IF(RAND()&lt;Assumptions!$B$10,"Bear","Bull"))</f>
        <v>Bull</v>
      </c>
      <c r="E245" s="0" t="str">
        <f aca="true">IF(D245="Bull",IF(RAND()&lt;Assumptions!$B$7,"Bull","Bear"),IF(RAND()&lt;Assumptions!$B$10,"Bear","Bull"))</f>
        <v>Bull</v>
      </c>
      <c r="F245" s="0" t="str">
        <f aca="true">IF(E245="Bull",IF(RAND()&lt;Assumptions!$B$7,"Bull","Bear"),IF(RAND()&lt;Assumptions!$B$10,"Bear","Bull"))</f>
        <v>Bull</v>
      </c>
      <c r="G245" s="0" t="str">
        <f aca="true">IF(F245="Bull",IF(RAND()&lt;Assumptions!$B$7,"Bull","Bear"),IF(RAND()&lt;Assumptions!$B$10,"Bear","Bull"))</f>
        <v>Bull</v>
      </c>
      <c r="H245" s="8" t="n">
        <f aca="true">IF(B245="Bull",NORMINV(RAND(),Assumptions!$B$5,Assumptions!$B$6),NORMINV(RAND(),Assumptions!$B$8,Assumptions!$B$9))</f>
        <v>0.202890104220306</v>
      </c>
      <c r="I245" s="8" t="n">
        <f aca="true">IF(C245="Bull",NORMINV(RAND(),Assumptions!$B$5,Assumptions!$B$6),NORMINV(RAND(),Assumptions!$B$8,Assumptions!$B$9))</f>
        <v>-0.134274119092342</v>
      </c>
      <c r="J245" s="8" t="n">
        <f aca="true">IF(D245="Bull",NORMINV(RAND(),Assumptions!$B$5,Assumptions!$B$6),NORMINV(RAND(),Assumptions!$B$8,Assumptions!$B$9))</f>
        <v>0.12211303059392</v>
      </c>
      <c r="K245" s="8" t="n">
        <f aca="true">IF(E245="Bull",NORMINV(RAND(),Assumptions!$B$5,Assumptions!$B$6),NORMINV(RAND(),Assumptions!$B$8,Assumptions!$B$9))</f>
        <v>0.278453580136418</v>
      </c>
      <c r="L245" s="8" t="n">
        <f aca="true">IF(F245="Bull",NORMINV(RAND(),Assumptions!$B$5,Assumptions!$B$6),NORMINV(RAND(),Assumptions!$B$8,Assumptions!$B$9))</f>
        <v>0.140462027100487</v>
      </c>
      <c r="M245" s="8" t="n">
        <f aca="true">IF(G245="Bull",NORMINV(RAND(),Assumptions!$B$5,Assumptions!$B$6),NORMINV(RAND(),Assumptions!$B$8,Assumptions!$B$9))</f>
        <v>0.0771154113371152</v>
      </c>
      <c r="N245" s="8" t="n">
        <f aca="true">NORMINV(RAND(),Assumptions!$B$14,Assumptions!$B$15)</f>
        <v>-0.00563330827304639</v>
      </c>
      <c r="O245" s="8" t="n">
        <f aca="true">NORMINV(RAND(),Assumptions!$B$14,Assumptions!$B$15)</f>
        <v>0.0305577276790377</v>
      </c>
      <c r="P245" s="8" t="n">
        <f aca="true">NORMINV(RAND(),Assumptions!$B$14,Assumptions!$B$15)</f>
        <v>0.066961819867624</v>
      </c>
      <c r="Q245" s="8" t="n">
        <f aca="true">NORMINV(RAND(),Assumptions!$B$14,Assumptions!$B$15)</f>
        <v>0.0525840945606566</v>
      </c>
      <c r="R245" s="8" t="n">
        <f aca="true">NORMINV(RAND(),Assumptions!$B$14,Assumptions!$B$15)</f>
        <v>0.0566119045354445</v>
      </c>
      <c r="S245" s="8" t="n">
        <f aca="true">NORMINV(RAND(),Assumptions!$B$14,Assumptions!$B$15)</f>
        <v>0.0685496782893562</v>
      </c>
      <c r="T245" s="8" t="n">
        <f aca="false">Assumptions!$B$19*H245+(1-Assumptions!$B$19)*N245</f>
        <v>0.202890104220306</v>
      </c>
      <c r="U245" s="8" t="n">
        <f aca="false">Assumptions!$B$20*I245+(1-Assumptions!$B$20)*O245</f>
        <v>-0.134274119092342</v>
      </c>
      <c r="V245" s="8" t="n">
        <f aca="false">Assumptions!$B$21*J245+(1-Assumptions!$B$21)*P245</f>
        <v>0.12211303059392</v>
      </c>
      <c r="W245" s="8" t="n">
        <f aca="false">Assumptions!$B$22*K245+(1-Assumptions!$B$22)*Q245</f>
        <v>0.278453580136418</v>
      </c>
      <c r="X245" s="8" t="n">
        <f aca="false">Assumptions!$B$23*L245+(1-Assumptions!$B$23)*R245</f>
        <v>0.123692002587478</v>
      </c>
      <c r="Y245" s="8" t="n">
        <f aca="false">Assumptions!$B$24*M245+(1-Assumptions!$B$24)*S245</f>
        <v>0.0736891181180116</v>
      </c>
      <c r="Z245" s="6" t="n">
        <f aca="false">Assumptions!$B$27*(1+T245)</f>
        <v>360867.031266092</v>
      </c>
      <c r="AA245" s="6" t="n">
        <f aca="false">(Z245+Assumptions!$B$28)*(1+U245)</f>
        <v>442270.810669517</v>
      </c>
      <c r="AB245" s="6" t="n">
        <f aca="false">AA245*(1+V245)</f>
        <v>496277.839703602</v>
      </c>
      <c r="AC245" s="6" t="n">
        <f aca="false">AB245*(1+W245)</f>
        <v>634468.180911437</v>
      </c>
      <c r="AD245" s="6" t="n">
        <f aca="false">AC245*(1+X245)</f>
        <v>712946.820786407</v>
      </c>
      <c r="AE245" s="6" t="n">
        <f aca="false">AD245*(1+Y245)</f>
        <v>765483.243275197</v>
      </c>
      <c r="AF245" s="6" t="n">
        <f aca="false">Z245</f>
        <v>360867.031266092</v>
      </c>
      <c r="AG245" s="6" t="n">
        <f aca="false">MAX(AF245,AA245)</f>
        <v>442270.810669517</v>
      </c>
      <c r="AH245" s="6" t="n">
        <f aca="false">MAX(AG245,AB245)</f>
        <v>496277.839703602</v>
      </c>
      <c r="AI245" s="6" t="n">
        <f aca="false">MAX(AH245,AC245)</f>
        <v>634468.180911437</v>
      </c>
      <c r="AJ245" s="6" t="n">
        <f aca="false">MAX(AI245,AD245)</f>
        <v>712946.820786407</v>
      </c>
      <c r="AK245" s="6" t="n">
        <f aca="false">MAX(AJ245,AE245)</f>
        <v>765483.243275197</v>
      </c>
      <c r="AL245" s="8" t="n">
        <f aca="false">MIN(Z245/AF245-1,AA245/AG245-1,AB245/AH245-1,AC245/AI245-1,AD245/AJ245-1,AE245/AK245-1)</f>
        <v>0</v>
      </c>
      <c r="AM245" s="6" t="n">
        <f aca="false">AE245-Assumptions!$B$35</f>
        <v>324219.246612694</v>
      </c>
    </row>
    <row r="246" customFormat="false" ht="15" hidden="false" customHeight="false" outlineLevel="0" collapsed="false">
      <c r="A246" s="0" t="n">
        <f aca="false">ROW()-1</f>
        <v>245</v>
      </c>
      <c r="B246" s="0" t="str">
        <f aca="true">IF(RAND()&lt;Assumptions!$B$11,"Bull","Bear")</f>
        <v>Bear</v>
      </c>
      <c r="C246" s="0" t="str">
        <f aca="true">IF(B246="Bull",IF(RAND()&lt;Assumptions!$B$7,"Bull","Bear"),IF(RAND()&lt;Assumptions!$B$10,"Bear","Bull"))</f>
        <v>Bull</v>
      </c>
      <c r="D246" s="0" t="str">
        <f aca="true">IF(C246="Bull",IF(RAND()&lt;Assumptions!$B$7,"Bull","Bear"),IF(RAND()&lt;Assumptions!$B$10,"Bear","Bull"))</f>
        <v>Bull</v>
      </c>
      <c r="E246" s="0" t="str">
        <f aca="true">IF(D246="Bull",IF(RAND()&lt;Assumptions!$B$7,"Bull","Bear"),IF(RAND()&lt;Assumptions!$B$10,"Bear","Bull"))</f>
        <v>Bull</v>
      </c>
      <c r="F246" s="0" t="str">
        <f aca="true">IF(E246="Bull",IF(RAND()&lt;Assumptions!$B$7,"Bull","Bear"),IF(RAND()&lt;Assumptions!$B$10,"Bear","Bull"))</f>
        <v>Bull</v>
      </c>
      <c r="G246" s="0" t="str">
        <f aca="true">IF(F246="Bull",IF(RAND()&lt;Assumptions!$B$7,"Bull","Bear"),IF(RAND()&lt;Assumptions!$B$10,"Bear","Bull"))</f>
        <v>Bear</v>
      </c>
      <c r="H246" s="8" t="n">
        <f aca="true">IF(B246="Bull",NORMINV(RAND(),Assumptions!$B$5,Assumptions!$B$6),NORMINV(RAND(),Assumptions!$B$8,Assumptions!$B$9))</f>
        <v>-0.245109249454025</v>
      </c>
      <c r="I246" s="8" t="n">
        <f aca="true">IF(C246="Bull",NORMINV(RAND(),Assumptions!$B$5,Assumptions!$B$6),NORMINV(RAND(),Assumptions!$B$8,Assumptions!$B$9))</f>
        <v>0.412704469988468</v>
      </c>
      <c r="J246" s="8" t="n">
        <f aca="true">IF(D246="Bull",NORMINV(RAND(),Assumptions!$B$5,Assumptions!$B$6),NORMINV(RAND(),Assumptions!$B$8,Assumptions!$B$9))</f>
        <v>0.237513824264473</v>
      </c>
      <c r="K246" s="8" t="n">
        <f aca="true">IF(E246="Bull",NORMINV(RAND(),Assumptions!$B$5,Assumptions!$B$6),NORMINV(RAND(),Assumptions!$B$8,Assumptions!$B$9))</f>
        <v>0.00275634964670562</v>
      </c>
      <c r="L246" s="8" t="n">
        <f aca="true">IF(F246="Bull",NORMINV(RAND(),Assumptions!$B$5,Assumptions!$B$6),NORMINV(RAND(),Assumptions!$B$8,Assumptions!$B$9))</f>
        <v>-0.0108389444458583</v>
      </c>
      <c r="M246" s="8" t="n">
        <f aca="true">IF(G246="Bull",NORMINV(RAND(),Assumptions!$B$5,Assumptions!$B$6),NORMINV(RAND(),Assumptions!$B$8,Assumptions!$B$9))</f>
        <v>0.0338812274288327</v>
      </c>
      <c r="N246" s="8" t="n">
        <f aca="true">NORMINV(RAND(),Assumptions!$B$14,Assumptions!$B$15)</f>
        <v>0.0442629419670743</v>
      </c>
      <c r="O246" s="8" t="n">
        <f aca="true">NORMINV(RAND(),Assumptions!$B$14,Assumptions!$B$15)</f>
        <v>0.0680921241473907</v>
      </c>
      <c r="P246" s="8" t="n">
        <f aca="true">NORMINV(RAND(),Assumptions!$B$14,Assumptions!$B$15)</f>
        <v>0.0378380062312586</v>
      </c>
      <c r="Q246" s="8" t="n">
        <f aca="true">NORMINV(RAND(),Assumptions!$B$14,Assumptions!$B$15)</f>
        <v>0.0866694883887742</v>
      </c>
      <c r="R246" s="8" t="n">
        <f aca="true">NORMINV(RAND(),Assumptions!$B$14,Assumptions!$B$15)</f>
        <v>0.0529128214990876</v>
      </c>
      <c r="S246" s="8" t="n">
        <f aca="true">NORMINV(RAND(),Assumptions!$B$14,Assumptions!$B$15)</f>
        <v>0.0697466213278935</v>
      </c>
      <c r="T246" s="8" t="n">
        <f aca="false">Assumptions!$B$19*H246+(1-Assumptions!$B$19)*N246</f>
        <v>-0.245109249454025</v>
      </c>
      <c r="U246" s="8" t="n">
        <f aca="false">Assumptions!$B$20*I246+(1-Assumptions!$B$20)*O246</f>
        <v>0.412704469988468</v>
      </c>
      <c r="V246" s="8" t="n">
        <f aca="false">Assumptions!$B$21*J246+(1-Assumptions!$B$21)*P246</f>
        <v>0.237513824264473</v>
      </c>
      <c r="W246" s="8" t="n">
        <f aca="false">Assumptions!$B$22*K246+(1-Assumptions!$B$22)*Q246</f>
        <v>0.00275634964670562</v>
      </c>
      <c r="X246" s="8" t="n">
        <f aca="false">Assumptions!$B$23*L246+(1-Assumptions!$B$23)*R246</f>
        <v>0.00191140874313087</v>
      </c>
      <c r="Y246" s="8" t="n">
        <f aca="false">Assumptions!$B$24*M246+(1-Assumptions!$B$24)*S246</f>
        <v>0.048227384988457</v>
      </c>
      <c r="Z246" s="6" t="n">
        <f aca="false">Assumptions!$B$27*(1+T246)</f>
        <v>226467.225163793</v>
      </c>
      <c r="AA246" s="6" t="n">
        <f aca="false">(Z246+Assumptions!$B$28)*(1+U246)</f>
        <v>531836.931793045</v>
      </c>
      <c r="AB246" s="6" t="n">
        <f aca="false">AA246*(1+V246)</f>
        <v>658155.555348295</v>
      </c>
      <c r="AC246" s="6" t="n">
        <f aca="false">AB246*(1+W246)</f>
        <v>659969.662180756</v>
      </c>
      <c r="AD246" s="6" t="n">
        <f aca="false">AC246*(1+X246)</f>
        <v>661231.13396325</v>
      </c>
      <c r="AE246" s="6" t="n">
        <f aca="false">AD246*(1+Y246)</f>
        <v>693120.582427249</v>
      </c>
      <c r="AF246" s="6" t="n">
        <f aca="false">Z246</f>
        <v>226467.225163793</v>
      </c>
      <c r="AG246" s="6" t="n">
        <f aca="false">MAX(AF246,AA246)</f>
        <v>531836.931793045</v>
      </c>
      <c r="AH246" s="6" t="n">
        <f aca="false">MAX(AG246,AB246)</f>
        <v>658155.555348295</v>
      </c>
      <c r="AI246" s="6" t="n">
        <f aca="false">MAX(AH246,AC246)</f>
        <v>659969.662180756</v>
      </c>
      <c r="AJ246" s="6" t="n">
        <f aca="false">MAX(AI246,AD246)</f>
        <v>661231.13396325</v>
      </c>
      <c r="AK246" s="6" t="n">
        <f aca="false">MAX(AJ246,AE246)</f>
        <v>693120.582427249</v>
      </c>
      <c r="AL246" s="8" t="n">
        <f aca="false">MIN(Z246/AF246-1,AA246/AG246-1,AB246/AH246-1,AC246/AI246-1,AD246/AJ246-1,AE246/AK246-1)</f>
        <v>0</v>
      </c>
      <c r="AM246" s="6" t="n">
        <f aca="false">AE246-Assumptions!$B$35</f>
        <v>251856.585764746</v>
      </c>
    </row>
    <row r="247" customFormat="false" ht="15" hidden="false" customHeight="false" outlineLevel="0" collapsed="false">
      <c r="A247" s="0" t="n">
        <f aca="false">ROW()-1</f>
        <v>246</v>
      </c>
      <c r="B247" s="0" t="str">
        <f aca="true">IF(RAND()&lt;Assumptions!$B$11,"Bull","Bear")</f>
        <v>Bear</v>
      </c>
      <c r="C247" s="0" t="str">
        <f aca="true">IF(B247="Bull",IF(RAND()&lt;Assumptions!$B$7,"Bull","Bear"),IF(RAND()&lt;Assumptions!$B$10,"Bear","Bull"))</f>
        <v>Bear</v>
      </c>
      <c r="D247" s="0" t="str">
        <f aca="true">IF(C247="Bull",IF(RAND()&lt;Assumptions!$B$7,"Bull","Bear"),IF(RAND()&lt;Assumptions!$B$10,"Bear","Bull"))</f>
        <v>Bull</v>
      </c>
      <c r="E247" s="0" t="str">
        <f aca="true">IF(D247="Bull",IF(RAND()&lt;Assumptions!$B$7,"Bull","Bear"),IF(RAND()&lt;Assumptions!$B$10,"Bear","Bull"))</f>
        <v>Bull</v>
      </c>
      <c r="F247" s="0" t="str">
        <f aca="true">IF(E247="Bull",IF(RAND()&lt;Assumptions!$B$7,"Bull","Bear"),IF(RAND()&lt;Assumptions!$B$10,"Bear","Bull"))</f>
        <v>Bull</v>
      </c>
      <c r="G247" s="0" t="str">
        <f aca="true">IF(F247="Bull",IF(RAND()&lt;Assumptions!$B$7,"Bull","Bear"),IF(RAND()&lt;Assumptions!$B$10,"Bear","Bull"))</f>
        <v>Bull</v>
      </c>
      <c r="H247" s="8" t="n">
        <f aca="true">IF(B247="Bull",NORMINV(RAND(),Assumptions!$B$5,Assumptions!$B$6),NORMINV(RAND(),Assumptions!$B$8,Assumptions!$B$9))</f>
        <v>-0.21222753021453</v>
      </c>
      <c r="I247" s="8" t="n">
        <f aca="true">IF(C247="Bull",NORMINV(RAND(),Assumptions!$B$5,Assumptions!$B$6),NORMINV(RAND(),Assumptions!$B$8,Assumptions!$B$9))</f>
        <v>-0.111169435909417</v>
      </c>
      <c r="J247" s="8" t="n">
        <f aca="true">IF(D247="Bull",NORMINV(RAND(),Assumptions!$B$5,Assumptions!$B$6),NORMINV(RAND(),Assumptions!$B$8,Assumptions!$B$9))</f>
        <v>0.172045772267551</v>
      </c>
      <c r="K247" s="8" t="n">
        <f aca="true">IF(E247="Bull",NORMINV(RAND(),Assumptions!$B$5,Assumptions!$B$6),NORMINV(RAND(),Assumptions!$B$8,Assumptions!$B$9))</f>
        <v>0.115670177598331</v>
      </c>
      <c r="L247" s="8" t="n">
        <f aca="true">IF(F247="Bull",NORMINV(RAND(),Assumptions!$B$5,Assumptions!$B$6),NORMINV(RAND(),Assumptions!$B$8,Assumptions!$B$9))</f>
        <v>0.0881451625899415</v>
      </c>
      <c r="M247" s="8" t="n">
        <f aca="true">IF(G247="Bull",NORMINV(RAND(),Assumptions!$B$5,Assumptions!$B$6),NORMINV(RAND(),Assumptions!$B$8,Assumptions!$B$9))</f>
        <v>0.195447672782114</v>
      </c>
      <c r="N247" s="8" t="n">
        <f aca="true">NORMINV(RAND(),Assumptions!$B$14,Assumptions!$B$15)</f>
        <v>0.0131433678176524</v>
      </c>
      <c r="O247" s="8" t="n">
        <f aca="true">NORMINV(RAND(),Assumptions!$B$14,Assumptions!$B$15)</f>
        <v>0.0747767773091236</v>
      </c>
      <c r="P247" s="8" t="n">
        <f aca="true">NORMINV(RAND(),Assumptions!$B$14,Assumptions!$B$15)</f>
        <v>0.0323772713429608</v>
      </c>
      <c r="Q247" s="8" t="n">
        <f aca="true">NORMINV(RAND(),Assumptions!$B$14,Assumptions!$B$15)</f>
        <v>0.00184154791648111</v>
      </c>
      <c r="R247" s="8" t="n">
        <f aca="true">NORMINV(RAND(),Assumptions!$B$14,Assumptions!$B$15)</f>
        <v>0.0347090728142046</v>
      </c>
      <c r="S247" s="8" t="n">
        <f aca="true">NORMINV(RAND(),Assumptions!$B$14,Assumptions!$B$15)</f>
        <v>0.103866143587997</v>
      </c>
      <c r="T247" s="8" t="n">
        <f aca="false">Assumptions!$B$19*H247+(1-Assumptions!$B$19)*N247</f>
        <v>-0.21222753021453</v>
      </c>
      <c r="U247" s="8" t="n">
        <f aca="false">Assumptions!$B$20*I247+(1-Assumptions!$B$20)*O247</f>
        <v>-0.111169435909417</v>
      </c>
      <c r="V247" s="8" t="n">
        <f aca="false">Assumptions!$B$21*J247+(1-Assumptions!$B$21)*P247</f>
        <v>0.172045772267551</v>
      </c>
      <c r="W247" s="8" t="n">
        <f aca="false">Assumptions!$B$22*K247+(1-Assumptions!$B$22)*Q247</f>
        <v>0.115670177598331</v>
      </c>
      <c r="X247" s="8" t="n">
        <f aca="false">Assumptions!$B$23*L247+(1-Assumptions!$B$23)*R247</f>
        <v>0.0774579446347942</v>
      </c>
      <c r="Y247" s="8" t="n">
        <f aca="false">Assumptions!$B$24*M247+(1-Assumptions!$B$24)*S247</f>
        <v>0.158815061104467</v>
      </c>
      <c r="Z247" s="6" t="n">
        <f aca="false">Assumptions!$B$27*(1+T247)</f>
        <v>236331.740935641</v>
      </c>
      <c r="AA247" s="6" t="n">
        <f aca="false">(Z247+Assumptions!$B$28)*(1+U247)</f>
        <v>343383.459221923</v>
      </c>
      <c r="AB247" s="6" t="n">
        <f aca="false">AA247*(1+V247)</f>
        <v>402461.131647662</v>
      </c>
      <c r="AC247" s="6" t="n">
        <f aca="false">AB247*(1+W247)</f>
        <v>449013.882221772</v>
      </c>
      <c r="AD247" s="6" t="n">
        <f aca="false">AC247*(1+X247)</f>
        <v>483793.57465116</v>
      </c>
      <c r="AE247" s="6" t="n">
        <f aca="false">AD247*(1+Y247)</f>
        <v>560627.280771333</v>
      </c>
      <c r="AF247" s="6" t="n">
        <f aca="false">Z247</f>
        <v>236331.740935641</v>
      </c>
      <c r="AG247" s="6" t="n">
        <f aca="false">MAX(AF247,AA247)</f>
        <v>343383.459221923</v>
      </c>
      <c r="AH247" s="6" t="n">
        <f aca="false">MAX(AG247,AB247)</f>
        <v>402461.131647662</v>
      </c>
      <c r="AI247" s="6" t="n">
        <f aca="false">MAX(AH247,AC247)</f>
        <v>449013.882221772</v>
      </c>
      <c r="AJ247" s="6" t="n">
        <f aca="false">MAX(AI247,AD247)</f>
        <v>483793.57465116</v>
      </c>
      <c r="AK247" s="6" t="n">
        <f aca="false">MAX(AJ247,AE247)</f>
        <v>560627.280771333</v>
      </c>
      <c r="AL247" s="8" t="n">
        <f aca="false">MIN(Z247/AF247-1,AA247/AG247-1,AB247/AH247-1,AC247/AI247-1,AD247/AJ247-1,AE247/AK247-1)</f>
        <v>0</v>
      </c>
      <c r="AM247" s="6" t="n">
        <f aca="false">AE247-Assumptions!$B$35</f>
        <v>119363.284108829</v>
      </c>
    </row>
    <row r="248" customFormat="false" ht="15" hidden="false" customHeight="false" outlineLevel="0" collapsed="false">
      <c r="A248" s="0" t="n">
        <f aca="false">ROW()-1</f>
        <v>247</v>
      </c>
      <c r="B248" s="0" t="str">
        <f aca="true">IF(RAND()&lt;Assumptions!$B$11,"Bull","Bear")</f>
        <v>Bull</v>
      </c>
      <c r="C248" s="0" t="str">
        <f aca="true">IF(B248="Bull",IF(RAND()&lt;Assumptions!$B$7,"Bull","Bear"),IF(RAND()&lt;Assumptions!$B$10,"Bear","Bull"))</f>
        <v>Bull</v>
      </c>
      <c r="D248" s="0" t="str">
        <f aca="true">IF(C248="Bull",IF(RAND()&lt;Assumptions!$B$7,"Bull","Bear"),IF(RAND()&lt;Assumptions!$B$10,"Bear","Bull"))</f>
        <v>Bull</v>
      </c>
      <c r="E248" s="0" t="str">
        <f aca="true">IF(D248="Bull",IF(RAND()&lt;Assumptions!$B$7,"Bull","Bear"),IF(RAND()&lt;Assumptions!$B$10,"Bear","Bull"))</f>
        <v>Bull</v>
      </c>
      <c r="F248" s="0" t="str">
        <f aca="true">IF(E248="Bull",IF(RAND()&lt;Assumptions!$B$7,"Bull","Bear"),IF(RAND()&lt;Assumptions!$B$10,"Bear","Bull"))</f>
        <v>Bull</v>
      </c>
      <c r="G248" s="0" t="str">
        <f aca="true">IF(F248="Bull",IF(RAND()&lt;Assumptions!$B$7,"Bull","Bear"),IF(RAND()&lt;Assumptions!$B$10,"Bear","Bull"))</f>
        <v>Bear</v>
      </c>
      <c r="H248" s="8" t="n">
        <f aca="true">IF(B248="Bull",NORMINV(RAND(),Assumptions!$B$5,Assumptions!$B$6),NORMINV(RAND(),Assumptions!$B$8,Assumptions!$B$9))</f>
        <v>0.174429891633783</v>
      </c>
      <c r="I248" s="8" t="n">
        <f aca="true">IF(C248="Bull",NORMINV(RAND(),Assumptions!$B$5,Assumptions!$B$6),NORMINV(RAND(),Assumptions!$B$8,Assumptions!$B$9))</f>
        <v>0.1333720850029</v>
      </c>
      <c r="J248" s="8" t="n">
        <f aca="true">IF(D248="Bull",NORMINV(RAND(),Assumptions!$B$5,Assumptions!$B$6),NORMINV(RAND(),Assumptions!$B$8,Assumptions!$B$9))</f>
        <v>0.104148052359663</v>
      </c>
      <c r="K248" s="8" t="n">
        <f aca="true">IF(E248="Bull",NORMINV(RAND(),Assumptions!$B$5,Assumptions!$B$6),NORMINV(RAND(),Assumptions!$B$8,Assumptions!$B$9))</f>
        <v>0.12485919368539</v>
      </c>
      <c r="L248" s="8" t="n">
        <f aca="true">IF(F248="Bull",NORMINV(RAND(),Assumptions!$B$5,Assumptions!$B$6),NORMINV(RAND(),Assumptions!$B$8,Assumptions!$B$9))</f>
        <v>0.301554562068391</v>
      </c>
      <c r="M248" s="8" t="n">
        <f aca="true">IF(G248="Bull",NORMINV(RAND(),Assumptions!$B$5,Assumptions!$B$6),NORMINV(RAND(),Assumptions!$B$8,Assumptions!$B$9))</f>
        <v>-0.51321654635107</v>
      </c>
      <c r="N248" s="8" t="n">
        <f aca="true">NORMINV(RAND(),Assumptions!$B$14,Assumptions!$B$15)</f>
        <v>0.0357262588959208</v>
      </c>
      <c r="O248" s="8" t="n">
        <f aca="true">NORMINV(RAND(),Assumptions!$B$14,Assumptions!$B$15)</f>
        <v>0.0402981873874989</v>
      </c>
      <c r="P248" s="8" t="n">
        <f aca="true">NORMINV(RAND(),Assumptions!$B$14,Assumptions!$B$15)</f>
        <v>-0.00937544871837762</v>
      </c>
      <c r="Q248" s="8" t="n">
        <f aca="true">NORMINV(RAND(),Assumptions!$B$14,Assumptions!$B$15)</f>
        <v>0.0104988398508223</v>
      </c>
      <c r="R248" s="8" t="n">
        <f aca="true">NORMINV(RAND(),Assumptions!$B$14,Assumptions!$B$15)</f>
        <v>0.0149367142697357</v>
      </c>
      <c r="S248" s="8" t="n">
        <f aca="true">NORMINV(RAND(),Assumptions!$B$14,Assumptions!$B$15)</f>
        <v>-0.00110100726346431</v>
      </c>
      <c r="T248" s="8" t="n">
        <f aca="false">Assumptions!$B$19*H248+(1-Assumptions!$B$19)*N248</f>
        <v>0.174429891633783</v>
      </c>
      <c r="U248" s="8" t="n">
        <f aca="false">Assumptions!$B$20*I248+(1-Assumptions!$B$20)*O248</f>
        <v>0.1333720850029</v>
      </c>
      <c r="V248" s="8" t="n">
        <f aca="false">Assumptions!$B$21*J248+(1-Assumptions!$B$21)*P248</f>
        <v>0.104148052359663</v>
      </c>
      <c r="W248" s="8" t="n">
        <f aca="false">Assumptions!$B$22*K248+(1-Assumptions!$B$22)*Q248</f>
        <v>0.12485919368539</v>
      </c>
      <c r="X248" s="8" t="n">
        <f aca="false">Assumptions!$B$23*L248+(1-Assumptions!$B$23)*R248</f>
        <v>0.24423099250866</v>
      </c>
      <c r="Y248" s="8" t="n">
        <f aca="false">Assumptions!$B$24*M248+(1-Assumptions!$B$24)*S248</f>
        <v>-0.308370330716028</v>
      </c>
      <c r="Z248" s="6" t="n">
        <f aca="false">Assumptions!$B$27*(1+T248)</f>
        <v>352328.967490135</v>
      </c>
      <c r="AA248" s="6" t="n">
        <f aca="false">(Z248+Assumptions!$B$28)*(1+U248)</f>
        <v>569325.629241648</v>
      </c>
      <c r="AB248" s="6" t="n">
        <f aca="false">AA248*(1+V248)</f>
        <v>628619.784685606</v>
      </c>
      <c r="AC248" s="6" t="n">
        <f aca="false">AB248*(1+W248)</f>
        <v>707108.744136134</v>
      </c>
      <c r="AD248" s="6" t="n">
        <f aca="false">AC248*(1+X248)</f>
        <v>879806.614528054</v>
      </c>
      <c r="AE248" s="6" t="n">
        <f aca="false">AD248*(1+Y248)</f>
        <v>608500.35783989</v>
      </c>
      <c r="AF248" s="6" t="n">
        <f aca="false">Z248</f>
        <v>352328.967490135</v>
      </c>
      <c r="AG248" s="6" t="n">
        <f aca="false">MAX(AF248,AA248)</f>
        <v>569325.629241648</v>
      </c>
      <c r="AH248" s="6" t="n">
        <f aca="false">MAX(AG248,AB248)</f>
        <v>628619.784685606</v>
      </c>
      <c r="AI248" s="6" t="n">
        <f aca="false">MAX(AH248,AC248)</f>
        <v>707108.744136134</v>
      </c>
      <c r="AJ248" s="6" t="n">
        <f aca="false">MAX(AI248,AD248)</f>
        <v>879806.614528054</v>
      </c>
      <c r="AK248" s="6" t="n">
        <f aca="false">MAX(AJ248,AE248)</f>
        <v>879806.614528054</v>
      </c>
      <c r="AL248" s="8" t="n">
        <f aca="false">MIN(Z248/AF248-1,AA248/AG248-1,AB248/AH248-1,AC248/AI248-1,AD248/AJ248-1,AE248/AK248-1)</f>
        <v>-0.308370330716027</v>
      </c>
      <c r="AM248" s="6" t="n">
        <f aca="false">AE248-Assumptions!$B$35</f>
        <v>167236.361177386</v>
      </c>
    </row>
    <row r="249" customFormat="false" ht="15" hidden="false" customHeight="false" outlineLevel="0" collapsed="false">
      <c r="A249" s="0" t="n">
        <f aca="false">ROW()-1</f>
        <v>248</v>
      </c>
      <c r="B249" s="0" t="str">
        <f aca="true">IF(RAND()&lt;Assumptions!$B$11,"Bull","Bear")</f>
        <v>Bull</v>
      </c>
      <c r="C249" s="0" t="str">
        <f aca="true">IF(B249="Bull",IF(RAND()&lt;Assumptions!$B$7,"Bull","Bear"),IF(RAND()&lt;Assumptions!$B$10,"Bear","Bull"))</f>
        <v>Bull</v>
      </c>
      <c r="D249" s="0" t="str">
        <f aca="true">IF(C249="Bull",IF(RAND()&lt;Assumptions!$B$7,"Bull","Bear"),IF(RAND()&lt;Assumptions!$B$10,"Bear","Bull"))</f>
        <v>Bull</v>
      </c>
      <c r="E249" s="0" t="str">
        <f aca="true">IF(D249="Bull",IF(RAND()&lt;Assumptions!$B$7,"Bull","Bear"),IF(RAND()&lt;Assumptions!$B$10,"Bear","Bull"))</f>
        <v>Bull</v>
      </c>
      <c r="F249" s="0" t="str">
        <f aca="true">IF(E249="Bull",IF(RAND()&lt;Assumptions!$B$7,"Bull","Bear"),IF(RAND()&lt;Assumptions!$B$10,"Bear","Bull"))</f>
        <v>Bull</v>
      </c>
      <c r="G249" s="0" t="str">
        <f aca="true">IF(F249="Bull",IF(RAND()&lt;Assumptions!$B$7,"Bull","Bear"),IF(RAND()&lt;Assumptions!$B$10,"Bear","Bull"))</f>
        <v>Bull</v>
      </c>
      <c r="H249" s="8" t="n">
        <f aca="true">IF(B249="Bull",NORMINV(RAND(),Assumptions!$B$5,Assumptions!$B$6),NORMINV(RAND(),Assumptions!$B$8,Assumptions!$B$9))</f>
        <v>0.131901807419675</v>
      </c>
      <c r="I249" s="8" t="n">
        <f aca="true">IF(C249="Bull",NORMINV(RAND(),Assumptions!$B$5,Assumptions!$B$6),NORMINV(RAND(),Assumptions!$B$8,Assumptions!$B$9))</f>
        <v>0.140459658802551</v>
      </c>
      <c r="J249" s="8" t="n">
        <f aca="true">IF(D249="Bull",NORMINV(RAND(),Assumptions!$B$5,Assumptions!$B$6),NORMINV(RAND(),Assumptions!$B$8,Assumptions!$B$9))</f>
        <v>0.0998600303931904</v>
      </c>
      <c r="K249" s="8" t="n">
        <f aca="true">IF(E249="Bull",NORMINV(RAND(),Assumptions!$B$5,Assumptions!$B$6),NORMINV(RAND(),Assumptions!$B$8,Assumptions!$B$9))</f>
        <v>0.136199009464894</v>
      </c>
      <c r="L249" s="8" t="n">
        <f aca="true">IF(F249="Bull",NORMINV(RAND(),Assumptions!$B$5,Assumptions!$B$6),NORMINV(RAND(),Assumptions!$B$8,Assumptions!$B$9))</f>
        <v>0.201291721682812</v>
      </c>
      <c r="M249" s="8" t="n">
        <f aca="true">IF(G249="Bull",NORMINV(RAND(),Assumptions!$B$5,Assumptions!$B$6),NORMINV(RAND(),Assumptions!$B$8,Assumptions!$B$9))</f>
        <v>0.0219226833887157</v>
      </c>
      <c r="N249" s="8" t="n">
        <f aca="true">NORMINV(RAND(),Assumptions!$B$14,Assumptions!$B$15)</f>
        <v>0.03667128973304</v>
      </c>
      <c r="O249" s="8" t="n">
        <f aca="true">NORMINV(RAND(),Assumptions!$B$14,Assumptions!$B$15)</f>
        <v>0.0126528540599585</v>
      </c>
      <c r="P249" s="8" t="n">
        <f aca="true">NORMINV(RAND(),Assumptions!$B$14,Assumptions!$B$15)</f>
        <v>0.0354941388752508</v>
      </c>
      <c r="Q249" s="8" t="n">
        <f aca="true">NORMINV(RAND(),Assumptions!$B$14,Assumptions!$B$15)</f>
        <v>0.134566680768502</v>
      </c>
      <c r="R249" s="8" t="n">
        <f aca="true">NORMINV(RAND(),Assumptions!$B$14,Assumptions!$B$15)</f>
        <v>0.107256124688534</v>
      </c>
      <c r="S249" s="8" t="n">
        <f aca="true">NORMINV(RAND(),Assumptions!$B$14,Assumptions!$B$15)</f>
        <v>0.0511526917089909</v>
      </c>
      <c r="T249" s="8" t="n">
        <f aca="false">Assumptions!$B$19*H249+(1-Assumptions!$B$19)*N249</f>
        <v>0.131901807419675</v>
      </c>
      <c r="U249" s="8" t="n">
        <f aca="false">Assumptions!$B$20*I249+(1-Assumptions!$B$20)*O249</f>
        <v>0.140459658802551</v>
      </c>
      <c r="V249" s="8" t="n">
        <f aca="false">Assumptions!$B$21*J249+(1-Assumptions!$B$21)*P249</f>
        <v>0.0998600303931904</v>
      </c>
      <c r="W249" s="8" t="n">
        <f aca="false">Assumptions!$B$22*K249+(1-Assumptions!$B$22)*Q249</f>
        <v>0.136199009464894</v>
      </c>
      <c r="X249" s="8" t="n">
        <f aca="false">Assumptions!$B$23*L249+(1-Assumptions!$B$23)*R249</f>
        <v>0.182484602283957</v>
      </c>
      <c r="Y249" s="8" t="n">
        <f aca="false">Assumptions!$B$24*M249+(1-Assumptions!$B$24)*S249</f>
        <v>0.0336146867168257</v>
      </c>
      <c r="Z249" s="6" t="n">
        <f aca="false">Assumptions!$B$27*(1+T249)</f>
        <v>339570.542225902</v>
      </c>
      <c r="AA249" s="6" t="n">
        <f aca="false">(Z249+Assumptions!$B$28)*(1+U249)</f>
        <v>558335.453546732</v>
      </c>
      <c r="AB249" s="6" t="n">
        <f aca="false">AA249*(1+V249)</f>
        <v>614090.848907505</v>
      </c>
      <c r="AC249" s="6" t="n">
        <f aca="false">AB249*(1+W249)</f>
        <v>697729.414250163</v>
      </c>
      <c r="AD249" s="6" t="n">
        <f aca="false">AC249*(1+X249)</f>
        <v>825054.288911422</v>
      </c>
      <c r="AE249" s="6" t="n">
        <f aca="false">AD249*(1+Y249)</f>
        <v>852788.230357553</v>
      </c>
      <c r="AF249" s="6" t="n">
        <f aca="false">Z249</f>
        <v>339570.542225902</v>
      </c>
      <c r="AG249" s="6" t="n">
        <f aca="false">MAX(AF249,AA249)</f>
        <v>558335.453546732</v>
      </c>
      <c r="AH249" s="6" t="n">
        <f aca="false">MAX(AG249,AB249)</f>
        <v>614090.848907505</v>
      </c>
      <c r="AI249" s="6" t="n">
        <f aca="false">MAX(AH249,AC249)</f>
        <v>697729.414250163</v>
      </c>
      <c r="AJ249" s="6" t="n">
        <f aca="false">MAX(AI249,AD249)</f>
        <v>825054.288911422</v>
      </c>
      <c r="AK249" s="6" t="n">
        <f aca="false">MAX(AJ249,AE249)</f>
        <v>852788.230357553</v>
      </c>
      <c r="AL249" s="8" t="n">
        <f aca="false">MIN(Z249/AF249-1,AA249/AG249-1,AB249/AH249-1,AC249/AI249-1,AD249/AJ249-1,AE249/AK249-1)</f>
        <v>0</v>
      </c>
      <c r="AM249" s="6" t="n">
        <f aca="false">AE249-Assumptions!$B$35</f>
        <v>411524.233695049</v>
      </c>
    </row>
    <row r="250" customFormat="false" ht="15" hidden="false" customHeight="false" outlineLevel="0" collapsed="false">
      <c r="A250" s="0" t="n">
        <f aca="false">ROW()-1</f>
        <v>249</v>
      </c>
      <c r="B250" s="0" t="str">
        <f aca="true">IF(RAND()&lt;Assumptions!$B$11,"Bull","Bear")</f>
        <v>Bear</v>
      </c>
      <c r="C250" s="0" t="str">
        <f aca="true">IF(B250="Bull",IF(RAND()&lt;Assumptions!$B$7,"Bull","Bear"),IF(RAND()&lt;Assumptions!$B$10,"Bear","Bull"))</f>
        <v>Bear</v>
      </c>
      <c r="D250" s="0" t="str">
        <f aca="true">IF(C250="Bull",IF(RAND()&lt;Assumptions!$B$7,"Bull","Bear"),IF(RAND()&lt;Assumptions!$B$10,"Bear","Bull"))</f>
        <v>Bull</v>
      </c>
      <c r="E250" s="0" t="str">
        <f aca="true">IF(D250="Bull",IF(RAND()&lt;Assumptions!$B$7,"Bull","Bear"),IF(RAND()&lt;Assumptions!$B$10,"Bear","Bull"))</f>
        <v>Bear</v>
      </c>
      <c r="F250" s="0" t="str">
        <f aca="true">IF(E250="Bull",IF(RAND()&lt;Assumptions!$B$7,"Bull","Bear"),IF(RAND()&lt;Assumptions!$B$10,"Bear","Bull"))</f>
        <v>Bear</v>
      </c>
      <c r="G250" s="0" t="str">
        <f aca="true">IF(F250="Bull",IF(RAND()&lt;Assumptions!$B$7,"Bull","Bear"),IF(RAND()&lt;Assumptions!$B$10,"Bear","Bull"))</f>
        <v>Bull</v>
      </c>
      <c r="H250" s="8" t="n">
        <f aca="true">IF(B250="Bull",NORMINV(RAND(),Assumptions!$B$5,Assumptions!$B$6),NORMINV(RAND(),Assumptions!$B$8,Assumptions!$B$9))</f>
        <v>-0.440384808197845</v>
      </c>
      <c r="I250" s="8" t="n">
        <f aca="true">IF(C250="Bull",NORMINV(RAND(),Assumptions!$B$5,Assumptions!$B$6),NORMINV(RAND(),Assumptions!$B$8,Assumptions!$B$9))</f>
        <v>-0.141521320078107</v>
      </c>
      <c r="J250" s="8" t="n">
        <f aca="true">IF(D250="Bull",NORMINV(RAND(),Assumptions!$B$5,Assumptions!$B$6),NORMINV(RAND(),Assumptions!$B$8,Assumptions!$B$9))</f>
        <v>0.138857129438191</v>
      </c>
      <c r="K250" s="8" t="n">
        <f aca="true">IF(E250="Bull",NORMINV(RAND(),Assumptions!$B$5,Assumptions!$B$6),NORMINV(RAND(),Assumptions!$B$8,Assumptions!$B$9))</f>
        <v>0.0373211729138561</v>
      </c>
      <c r="L250" s="8" t="n">
        <f aca="true">IF(F250="Bull",NORMINV(RAND(),Assumptions!$B$5,Assumptions!$B$6),NORMINV(RAND(),Assumptions!$B$8,Assumptions!$B$9))</f>
        <v>0.0414659761948552</v>
      </c>
      <c r="M250" s="8" t="n">
        <f aca="true">IF(G250="Bull",NORMINV(RAND(),Assumptions!$B$5,Assumptions!$B$6),NORMINV(RAND(),Assumptions!$B$8,Assumptions!$B$9))</f>
        <v>0.158269812235011</v>
      </c>
      <c r="N250" s="8" t="n">
        <f aca="true">NORMINV(RAND(),Assumptions!$B$14,Assumptions!$B$15)</f>
        <v>0.0781401264538896</v>
      </c>
      <c r="O250" s="8" t="n">
        <f aca="true">NORMINV(RAND(),Assumptions!$B$14,Assumptions!$B$15)</f>
        <v>0.054205821907654</v>
      </c>
      <c r="P250" s="8" t="n">
        <f aca="true">NORMINV(RAND(),Assumptions!$B$14,Assumptions!$B$15)</f>
        <v>0.0950118623165126</v>
      </c>
      <c r="Q250" s="8" t="n">
        <f aca="true">NORMINV(RAND(),Assumptions!$B$14,Assumptions!$B$15)</f>
        <v>0.0441287452798044</v>
      </c>
      <c r="R250" s="8" t="n">
        <f aca="true">NORMINV(RAND(),Assumptions!$B$14,Assumptions!$B$15)</f>
        <v>0.0204587700064808</v>
      </c>
      <c r="S250" s="8" t="n">
        <f aca="true">NORMINV(RAND(),Assumptions!$B$14,Assumptions!$B$15)</f>
        <v>0.0496106457161423</v>
      </c>
      <c r="T250" s="8" t="n">
        <f aca="false">Assumptions!$B$19*H250+(1-Assumptions!$B$19)*N250</f>
        <v>-0.440384808197845</v>
      </c>
      <c r="U250" s="8" t="n">
        <f aca="false">Assumptions!$B$20*I250+(1-Assumptions!$B$20)*O250</f>
        <v>-0.141521320078107</v>
      </c>
      <c r="V250" s="8" t="n">
        <f aca="false">Assumptions!$B$21*J250+(1-Assumptions!$B$21)*P250</f>
        <v>0.138857129438191</v>
      </c>
      <c r="W250" s="8" t="n">
        <f aca="false">Assumptions!$B$22*K250+(1-Assumptions!$B$22)*Q250</f>
        <v>0.0373211729138561</v>
      </c>
      <c r="X250" s="8" t="n">
        <f aca="false">Assumptions!$B$23*L250+(1-Assumptions!$B$23)*R250</f>
        <v>0.0372645349571803</v>
      </c>
      <c r="Y250" s="8" t="n">
        <f aca="false">Assumptions!$B$24*M250+(1-Assumptions!$B$24)*S250</f>
        <v>0.114806145627464</v>
      </c>
      <c r="Z250" s="6" t="n">
        <f aca="false">Assumptions!$B$27*(1+T250)</f>
        <v>167884.557540646</v>
      </c>
      <c r="AA250" s="6" t="n">
        <f aca="false">(Z250+Assumptions!$B$28)*(1+U250)</f>
        <v>272897.115325049</v>
      </c>
      <c r="AB250" s="6" t="n">
        <f aca="false">AA250*(1+V250)</f>
        <v>310790.825391049</v>
      </c>
      <c r="AC250" s="6" t="n">
        <f aca="false">AB250*(1+W250)</f>
        <v>322389.903525508</v>
      </c>
      <c r="AD250" s="6" t="n">
        <f aca="false">AC250*(1+X250)</f>
        <v>334403.613355276</v>
      </c>
      <c r="AE250" s="6" t="n">
        <f aca="false">AD250*(1+Y250)</f>
        <v>372795.203288492</v>
      </c>
      <c r="AF250" s="6" t="n">
        <f aca="false">Z250</f>
        <v>167884.557540646</v>
      </c>
      <c r="AG250" s="6" t="n">
        <f aca="false">MAX(AF250,AA250)</f>
        <v>272897.115325049</v>
      </c>
      <c r="AH250" s="6" t="n">
        <f aca="false">MAX(AG250,AB250)</f>
        <v>310790.825391049</v>
      </c>
      <c r="AI250" s="6" t="n">
        <f aca="false">MAX(AH250,AC250)</f>
        <v>322389.903525508</v>
      </c>
      <c r="AJ250" s="6" t="n">
        <f aca="false">MAX(AI250,AD250)</f>
        <v>334403.613355276</v>
      </c>
      <c r="AK250" s="6" t="n">
        <f aca="false">MAX(AJ250,AE250)</f>
        <v>372795.203288492</v>
      </c>
      <c r="AL250" s="8" t="n">
        <f aca="false">MIN(Z250/AF250-1,AA250/AG250-1,AB250/AH250-1,AC250/AI250-1,AD250/AJ250-1,AE250/AK250-1)</f>
        <v>0</v>
      </c>
      <c r="AM250" s="6" t="n">
        <f aca="false">AE250-Assumptions!$B$35</f>
        <v>-68468.7933740115</v>
      </c>
    </row>
    <row r="251" customFormat="false" ht="15" hidden="false" customHeight="false" outlineLevel="0" collapsed="false">
      <c r="A251" s="0" t="n">
        <f aca="false">ROW()-1</f>
        <v>250</v>
      </c>
      <c r="B251" s="0" t="str">
        <f aca="true">IF(RAND()&lt;Assumptions!$B$11,"Bull","Bear")</f>
        <v>Bull</v>
      </c>
      <c r="C251" s="0" t="str">
        <f aca="true">IF(B251="Bull",IF(RAND()&lt;Assumptions!$B$7,"Bull","Bear"),IF(RAND()&lt;Assumptions!$B$10,"Bear","Bull"))</f>
        <v>Bear</v>
      </c>
      <c r="D251" s="0" t="str">
        <f aca="true">IF(C251="Bull",IF(RAND()&lt;Assumptions!$B$7,"Bull","Bear"),IF(RAND()&lt;Assumptions!$B$10,"Bear","Bull"))</f>
        <v>Bull</v>
      </c>
      <c r="E251" s="0" t="str">
        <f aca="true">IF(D251="Bull",IF(RAND()&lt;Assumptions!$B$7,"Bull","Bear"),IF(RAND()&lt;Assumptions!$B$10,"Bear","Bull"))</f>
        <v>Bull</v>
      </c>
      <c r="F251" s="0" t="str">
        <f aca="true">IF(E251="Bull",IF(RAND()&lt;Assumptions!$B$7,"Bull","Bear"),IF(RAND()&lt;Assumptions!$B$10,"Bear","Bull"))</f>
        <v>Bull</v>
      </c>
      <c r="G251" s="0" t="str">
        <f aca="true">IF(F251="Bull",IF(RAND()&lt;Assumptions!$B$7,"Bull","Bear"),IF(RAND()&lt;Assumptions!$B$10,"Bear","Bull"))</f>
        <v>Bull</v>
      </c>
      <c r="H251" s="8" t="n">
        <f aca="true">IF(B251="Bull",NORMINV(RAND(),Assumptions!$B$5,Assumptions!$B$6),NORMINV(RAND(),Assumptions!$B$8,Assumptions!$B$9))</f>
        <v>0.195511606410567</v>
      </c>
      <c r="I251" s="8" t="n">
        <f aca="true">IF(C251="Bull",NORMINV(RAND(),Assumptions!$B$5,Assumptions!$B$6),NORMINV(RAND(),Assumptions!$B$8,Assumptions!$B$9))</f>
        <v>0.0615472901535897</v>
      </c>
      <c r="J251" s="8" t="n">
        <f aca="true">IF(D251="Bull",NORMINV(RAND(),Assumptions!$B$5,Assumptions!$B$6),NORMINV(RAND(),Assumptions!$B$8,Assumptions!$B$9))</f>
        <v>0.0708260369688427</v>
      </c>
      <c r="K251" s="8" t="n">
        <f aca="true">IF(E251="Bull",NORMINV(RAND(),Assumptions!$B$5,Assumptions!$B$6),NORMINV(RAND(),Assumptions!$B$8,Assumptions!$B$9))</f>
        <v>0.208026056145426</v>
      </c>
      <c r="L251" s="8" t="n">
        <f aca="true">IF(F251="Bull",NORMINV(RAND(),Assumptions!$B$5,Assumptions!$B$6),NORMINV(RAND(),Assumptions!$B$8,Assumptions!$B$9))</f>
        <v>0.209981595141309</v>
      </c>
      <c r="M251" s="8" t="n">
        <f aca="true">IF(G251="Bull",NORMINV(RAND(),Assumptions!$B$5,Assumptions!$B$6),NORMINV(RAND(),Assumptions!$B$8,Assumptions!$B$9))</f>
        <v>-0.0740743401284728</v>
      </c>
      <c r="N251" s="8" t="n">
        <f aca="true">NORMINV(RAND(),Assumptions!$B$14,Assumptions!$B$15)</f>
        <v>0.0858716461891766</v>
      </c>
      <c r="O251" s="8" t="n">
        <f aca="true">NORMINV(RAND(),Assumptions!$B$14,Assumptions!$B$15)</f>
        <v>0.0486182201747749</v>
      </c>
      <c r="P251" s="8" t="n">
        <f aca="true">NORMINV(RAND(),Assumptions!$B$14,Assumptions!$B$15)</f>
        <v>0.0892329524801016</v>
      </c>
      <c r="Q251" s="8" t="n">
        <f aca="true">NORMINV(RAND(),Assumptions!$B$14,Assumptions!$B$15)</f>
        <v>0.017619997252859</v>
      </c>
      <c r="R251" s="8" t="n">
        <f aca="true">NORMINV(RAND(),Assumptions!$B$14,Assumptions!$B$15)</f>
        <v>0.027754844511638</v>
      </c>
      <c r="S251" s="8" t="n">
        <f aca="true">NORMINV(RAND(),Assumptions!$B$14,Assumptions!$B$15)</f>
        <v>0.0478790364309702</v>
      </c>
      <c r="T251" s="8" t="n">
        <f aca="false">Assumptions!$B$19*H251+(1-Assumptions!$B$19)*N251</f>
        <v>0.195511606410567</v>
      </c>
      <c r="U251" s="8" t="n">
        <f aca="false">Assumptions!$B$20*I251+(1-Assumptions!$B$20)*O251</f>
        <v>0.0615472901535897</v>
      </c>
      <c r="V251" s="8" t="n">
        <f aca="false">Assumptions!$B$21*J251+(1-Assumptions!$B$21)*P251</f>
        <v>0.0708260369688427</v>
      </c>
      <c r="W251" s="8" t="n">
        <f aca="false">Assumptions!$B$22*K251+(1-Assumptions!$B$22)*Q251</f>
        <v>0.208026056145426</v>
      </c>
      <c r="X251" s="8" t="n">
        <f aca="false">Assumptions!$B$23*L251+(1-Assumptions!$B$23)*R251</f>
        <v>0.173536245015375</v>
      </c>
      <c r="Y251" s="8" t="n">
        <f aca="false">Assumptions!$B$24*M251+(1-Assumptions!$B$24)*S251</f>
        <v>-0.0252929895046956</v>
      </c>
      <c r="Z251" s="6" t="n">
        <f aca="false">Assumptions!$B$27*(1+T251)</f>
        <v>358653.48192317</v>
      </c>
      <c r="AA251" s="6" t="n">
        <f aca="false">(Z251+Assumptions!$B$28)*(1+U251)</f>
        <v>539959.725362729</v>
      </c>
      <c r="AB251" s="6" t="n">
        <f aca="false">AA251*(1+V251)</f>
        <v>578202.932832956</v>
      </c>
      <c r="AC251" s="6" t="n">
        <f aca="false">AB251*(1+W251)</f>
        <v>698484.208601914</v>
      </c>
      <c r="AD251" s="6" t="n">
        <f aca="false">AC251*(1+X251)</f>
        <v>819696.535365226</v>
      </c>
      <c r="AE251" s="6" t="n">
        <f aca="false">AD251*(1+Y251)</f>
        <v>798963.959499198</v>
      </c>
      <c r="AF251" s="6" t="n">
        <f aca="false">Z251</f>
        <v>358653.48192317</v>
      </c>
      <c r="AG251" s="6" t="n">
        <f aca="false">MAX(AF251,AA251)</f>
        <v>539959.725362729</v>
      </c>
      <c r="AH251" s="6" t="n">
        <f aca="false">MAX(AG251,AB251)</f>
        <v>578202.932832956</v>
      </c>
      <c r="AI251" s="6" t="n">
        <f aca="false">MAX(AH251,AC251)</f>
        <v>698484.208601914</v>
      </c>
      <c r="AJ251" s="6" t="n">
        <f aca="false">MAX(AI251,AD251)</f>
        <v>819696.535365226</v>
      </c>
      <c r="AK251" s="6" t="n">
        <f aca="false">MAX(AJ251,AE251)</f>
        <v>819696.535365226</v>
      </c>
      <c r="AL251" s="8" t="n">
        <f aca="false">MIN(Z251/AF251-1,AA251/AG251-1,AB251/AH251-1,AC251/AI251-1,AD251/AJ251-1,AE251/AK251-1)</f>
        <v>-0.0252929895046955</v>
      </c>
      <c r="AM251" s="6" t="n">
        <f aca="false">AE251-Assumptions!$B$35</f>
        <v>357699.962836695</v>
      </c>
    </row>
    <row r="252" customFormat="false" ht="15" hidden="false" customHeight="false" outlineLevel="0" collapsed="false">
      <c r="A252" s="0" t="n">
        <f aca="false">ROW()-1</f>
        <v>251</v>
      </c>
      <c r="B252" s="0" t="str">
        <f aca="true">IF(RAND()&lt;Assumptions!$B$11,"Bull","Bear")</f>
        <v>Bull</v>
      </c>
      <c r="C252" s="0" t="str">
        <f aca="true">IF(B252="Bull",IF(RAND()&lt;Assumptions!$B$7,"Bull","Bear"),IF(RAND()&lt;Assumptions!$B$10,"Bear","Bull"))</f>
        <v>Bull</v>
      </c>
      <c r="D252" s="0" t="str">
        <f aca="true">IF(C252="Bull",IF(RAND()&lt;Assumptions!$B$7,"Bull","Bear"),IF(RAND()&lt;Assumptions!$B$10,"Bear","Bull"))</f>
        <v>Bull</v>
      </c>
      <c r="E252" s="0" t="str">
        <f aca="true">IF(D252="Bull",IF(RAND()&lt;Assumptions!$B$7,"Bull","Bear"),IF(RAND()&lt;Assumptions!$B$10,"Bear","Bull"))</f>
        <v>Bull</v>
      </c>
      <c r="F252" s="0" t="str">
        <f aca="true">IF(E252="Bull",IF(RAND()&lt;Assumptions!$B$7,"Bull","Bear"),IF(RAND()&lt;Assumptions!$B$10,"Bear","Bull"))</f>
        <v>Bull</v>
      </c>
      <c r="G252" s="0" t="str">
        <f aca="true">IF(F252="Bull",IF(RAND()&lt;Assumptions!$B$7,"Bull","Bear"),IF(RAND()&lt;Assumptions!$B$10,"Bear","Bull"))</f>
        <v>Bull</v>
      </c>
      <c r="H252" s="8" t="n">
        <f aca="true">IF(B252="Bull",NORMINV(RAND(),Assumptions!$B$5,Assumptions!$B$6),NORMINV(RAND(),Assumptions!$B$8,Assumptions!$B$9))</f>
        <v>0.233578931198833</v>
      </c>
      <c r="I252" s="8" t="n">
        <f aca="true">IF(C252="Bull",NORMINV(RAND(),Assumptions!$B$5,Assumptions!$B$6),NORMINV(RAND(),Assumptions!$B$8,Assumptions!$B$9))</f>
        <v>0.26413147030075</v>
      </c>
      <c r="J252" s="8" t="n">
        <f aca="true">IF(D252="Bull",NORMINV(RAND(),Assumptions!$B$5,Assumptions!$B$6),NORMINV(RAND(),Assumptions!$B$8,Assumptions!$B$9))</f>
        <v>0.0806209725062342</v>
      </c>
      <c r="K252" s="8" t="n">
        <f aca="true">IF(E252="Bull",NORMINV(RAND(),Assumptions!$B$5,Assumptions!$B$6),NORMINV(RAND(),Assumptions!$B$8,Assumptions!$B$9))</f>
        <v>0.339774134496125</v>
      </c>
      <c r="L252" s="8" t="n">
        <f aca="true">IF(F252="Bull",NORMINV(RAND(),Assumptions!$B$5,Assumptions!$B$6),NORMINV(RAND(),Assumptions!$B$8,Assumptions!$B$9))</f>
        <v>0.108837101670537</v>
      </c>
      <c r="M252" s="8" t="n">
        <f aca="true">IF(G252="Bull",NORMINV(RAND(),Assumptions!$B$5,Assumptions!$B$6),NORMINV(RAND(),Assumptions!$B$8,Assumptions!$B$9))</f>
        <v>0.25454790525159</v>
      </c>
      <c r="N252" s="8" t="n">
        <f aca="true">NORMINV(RAND(),Assumptions!$B$14,Assumptions!$B$15)</f>
        <v>0.00216769067492165</v>
      </c>
      <c r="O252" s="8" t="n">
        <f aca="true">NORMINV(RAND(),Assumptions!$B$14,Assumptions!$B$15)</f>
        <v>0.0357841114642278</v>
      </c>
      <c r="P252" s="8" t="n">
        <f aca="true">NORMINV(RAND(),Assumptions!$B$14,Assumptions!$B$15)</f>
        <v>0.0439368031600875</v>
      </c>
      <c r="Q252" s="8" t="n">
        <f aca="true">NORMINV(RAND(),Assumptions!$B$14,Assumptions!$B$15)</f>
        <v>0.0458967500710058</v>
      </c>
      <c r="R252" s="8" t="n">
        <f aca="true">NORMINV(RAND(),Assumptions!$B$14,Assumptions!$B$15)</f>
        <v>0.0187552534051234</v>
      </c>
      <c r="S252" s="8" t="n">
        <f aca="true">NORMINV(RAND(),Assumptions!$B$14,Assumptions!$B$15)</f>
        <v>0.0201878467186135</v>
      </c>
      <c r="T252" s="8" t="n">
        <f aca="false">Assumptions!$B$19*H252+(1-Assumptions!$B$19)*N252</f>
        <v>0.233578931198833</v>
      </c>
      <c r="U252" s="8" t="n">
        <f aca="false">Assumptions!$B$20*I252+(1-Assumptions!$B$20)*O252</f>
        <v>0.26413147030075</v>
      </c>
      <c r="V252" s="8" t="n">
        <f aca="false">Assumptions!$B$21*J252+(1-Assumptions!$B$21)*P252</f>
        <v>0.0806209725062342</v>
      </c>
      <c r="W252" s="8" t="n">
        <f aca="false">Assumptions!$B$22*K252+(1-Assumptions!$B$22)*Q252</f>
        <v>0.339774134496125</v>
      </c>
      <c r="X252" s="8" t="n">
        <f aca="false">Assumptions!$B$23*L252+(1-Assumptions!$B$23)*R252</f>
        <v>0.0908207320174544</v>
      </c>
      <c r="Y252" s="8" t="n">
        <f aca="false">Assumptions!$B$24*M252+(1-Assumptions!$B$24)*S252</f>
        <v>0.160803881838399</v>
      </c>
      <c r="Z252" s="6" t="n">
        <f aca="false">Assumptions!$B$27*(1+T252)</f>
        <v>370073.67935965</v>
      </c>
      <c r="AA252" s="6" t="n">
        <f aca="false">(Z252+Assumptions!$B$28)*(1+U252)</f>
        <v>657441.504953635</v>
      </c>
      <c r="AB252" s="6" t="n">
        <f aca="false">AA252*(1+V252)</f>
        <v>710445.078448959</v>
      </c>
      <c r="AC252" s="6" t="n">
        <f aca="false">AB252*(1+W252)</f>
        <v>951835.940085986</v>
      </c>
      <c r="AD252" s="6" t="n">
        <f aca="false">AC252*(1+X252)</f>
        <v>1038282.37692512</v>
      </c>
      <c r="AE252" s="6" t="n">
        <f aca="false">AD252*(1+Y252)</f>
        <v>1205242.21357908</v>
      </c>
      <c r="AF252" s="6" t="n">
        <f aca="false">Z252</f>
        <v>370073.67935965</v>
      </c>
      <c r="AG252" s="6" t="n">
        <f aca="false">MAX(AF252,AA252)</f>
        <v>657441.504953635</v>
      </c>
      <c r="AH252" s="6" t="n">
        <f aca="false">MAX(AG252,AB252)</f>
        <v>710445.078448959</v>
      </c>
      <c r="AI252" s="6" t="n">
        <f aca="false">MAX(AH252,AC252)</f>
        <v>951835.940085986</v>
      </c>
      <c r="AJ252" s="6" t="n">
        <f aca="false">MAX(AI252,AD252)</f>
        <v>1038282.37692512</v>
      </c>
      <c r="AK252" s="6" t="n">
        <f aca="false">MAX(AJ252,AE252)</f>
        <v>1205242.21357908</v>
      </c>
      <c r="AL252" s="8" t="n">
        <f aca="false">MIN(Z252/AF252-1,AA252/AG252-1,AB252/AH252-1,AC252/AI252-1,AD252/AJ252-1,AE252/AK252-1)</f>
        <v>0</v>
      </c>
      <c r="AM252" s="6" t="n">
        <f aca="false">AE252-Assumptions!$B$35</f>
        <v>763978.216916573</v>
      </c>
    </row>
    <row r="253" customFormat="false" ht="15" hidden="false" customHeight="false" outlineLevel="0" collapsed="false">
      <c r="A253" s="0" t="n">
        <f aca="false">ROW()-1</f>
        <v>252</v>
      </c>
      <c r="B253" s="0" t="str">
        <f aca="true">IF(RAND()&lt;Assumptions!$B$11,"Bull","Bear")</f>
        <v>Bear</v>
      </c>
      <c r="C253" s="0" t="str">
        <f aca="true">IF(B253="Bull",IF(RAND()&lt;Assumptions!$B$7,"Bull","Bear"),IF(RAND()&lt;Assumptions!$B$10,"Bear","Bull"))</f>
        <v>Bear</v>
      </c>
      <c r="D253" s="0" t="str">
        <f aca="true">IF(C253="Bull",IF(RAND()&lt;Assumptions!$B$7,"Bull","Bear"),IF(RAND()&lt;Assumptions!$B$10,"Bear","Bull"))</f>
        <v>Bull</v>
      </c>
      <c r="E253" s="0" t="str">
        <f aca="true">IF(D253="Bull",IF(RAND()&lt;Assumptions!$B$7,"Bull","Bear"),IF(RAND()&lt;Assumptions!$B$10,"Bear","Bull"))</f>
        <v>Bull</v>
      </c>
      <c r="F253" s="0" t="str">
        <f aca="true">IF(E253="Bull",IF(RAND()&lt;Assumptions!$B$7,"Bull","Bear"),IF(RAND()&lt;Assumptions!$B$10,"Bear","Bull"))</f>
        <v>Bull</v>
      </c>
      <c r="G253" s="0" t="str">
        <f aca="true">IF(F253="Bull",IF(RAND()&lt;Assumptions!$B$7,"Bull","Bear"),IF(RAND()&lt;Assumptions!$B$10,"Bear","Bull"))</f>
        <v>Bull</v>
      </c>
      <c r="H253" s="8" t="n">
        <f aca="true">IF(B253="Bull",NORMINV(RAND(),Assumptions!$B$5,Assumptions!$B$6),NORMINV(RAND(),Assumptions!$B$8,Assumptions!$B$9))</f>
        <v>0.174225749062997</v>
      </c>
      <c r="I253" s="8" t="n">
        <f aca="true">IF(C253="Bull",NORMINV(RAND(),Assumptions!$B$5,Assumptions!$B$6),NORMINV(RAND(),Assumptions!$B$8,Assumptions!$B$9))</f>
        <v>-0.0274747180736483</v>
      </c>
      <c r="J253" s="8" t="n">
        <f aca="true">IF(D253="Bull",NORMINV(RAND(),Assumptions!$B$5,Assumptions!$B$6),NORMINV(RAND(),Assumptions!$B$8,Assumptions!$B$9))</f>
        <v>0.12550942293895</v>
      </c>
      <c r="K253" s="8" t="n">
        <f aca="true">IF(E253="Bull",NORMINV(RAND(),Assumptions!$B$5,Assumptions!$B$6),NORMINV(RAND(),Assumptions!$B$8,Assumptions!$B$9))</f>
        <v>0.119788585820599</v>
      </c>
      <c r="L253" s="8" t="n">
        <f aca="true">IF(F253="Bull",NORMINV(RAND(),Assumptions!$B$5,Assumptions!$B$6),NORMINV(RAND(),Assumptions!$B$8,Assumptions!$B$9))</f>
        <v>0.149103786678475</v>
      </c>
      <c r="M253" s="8" t="n">
        <f aca="true">IF(G253="Bull",NORMINV(RAND(),Assumptions!$B$5,Assumptions!$B$6),NORMINV(RAND(),Assumptions!$B$8,Assumptions!$B$9))</f>
        <v>0.209693951706134</v>
      </c>
      <c r="N253" s="8" t="n">
        <f aca="true">NORMINV(RAND(),Assumptions!$B$14,Assumptions!$B$15)</f>
        <v>0.10163946107475</v>
      </c>
      <c r="O253" s="8" t="n">
        <f aca="true">NORMINV(RAND(),Assumptions!$B$14,Assumptions!$B$15)</f>
        <v>0.0443042964143114</v>
      </c>
      <c r="P253" s="8" t="n">
        <f aca="true">NORMINV(RAND(),Assumptions!$B$14,Assumptions!$B$15)</f>
        <v>0.0405516392231834</v>
      </c>
      <c r="Q253" s="8" t="n">
        <f aca="true">NORMINV(RAND(),Assumptions!$B$14,Assumptions!$B$15)</f>
        <v>0.0548402292549141</v>
      </c>
      <c r="R253" s="8" t="n">
        <f aca="true">NORMINV(RAND(),Assumptions!$B$14,Assumptions!$B$15)</f>
        <v>0.0712286051790654</v>
      </c>
      <c r="S253" s="8" t="n">
        <f aca="true">NORMINV(RAND(),Assumptions!$B$14,Assumptions!$B$15)</f>
        <v>0.0365309154434785</v>
      </c>
      <c r="T253" s="8" t="n">
        <f aca="false">Assumptions!$B$19*H253+(1-Assumptions!$B$19)*N253</f>
        <v>0.174225749062997</v>
      </c>
      <c r="U253" s="8" t="n">
        <f aca="false">Assumptions!$B$20*I253+(1-Assumptions!$B$20)*O253</f>
        <v>-0.0274747180736483</v>
      </c>
      <c r="V253" s="8" t="n">
        <f aca="false">Assumptions!$B$21*J253+(1-Assumptions!$B$21)*P253</f>
        <v>0.12550942293895</v>
      </c>
      <c r="W253" s="8" t="n">
        <f aca="false">Assumptions!$B$22*K253+(1-Assumptions!$B$22)*Q253</f>
        <v>0.119788585820599</v>
      </c>
      <c r="X253" s="8" t="n">
        <f aca="false">Assumptions!$B$23*L253+(1-Assumptions!$B$23)*R253</f>
        <v>0.133528750378593</v>
      </c>
      <c r="Y253" s="8" t="n">
        <f aca="false">Assumptions!$B$24*M253+(1-Assumptions!$B$24)*S253</f>
        <v>0.140428737201072</v>
      </c>
      <c r="Z253" s="6" t="n">
        <f aca="false">Assumptions!$B$27*(1+T253)</f>
        <v>352267.724718899</v>
      </c>
      <c r="AA253" s="6" t="n">
        <f aca="false">(Z253+Assumptions!$B$28)*(1+U253)</f>
        <v>488468.060584755</v>
      </c>
      <c r="AB253" s="6" t="n">
        <f aca="false">AA253*(1+V253)</f>
        <v>549775.404992855</v>
      </c>
      <c r="AC253" s="6" t="n">
        <f aca="false">AB253*(1+W253)</f>
        <v>615632.223275896</v>
      </c>
      <c r="AD253" s="6" t="n">
        <f aca="false">AC253*(1+X253)</f>
        <v>697836.824742722</v>
      </c>
      <c r="AE253" s="6" t="n">
        <f aca="false">AD253*(1+Y253)</f>
        <v>795833.168813748</v>
      </c>
      <c r="AF253" s="6" t="n">
        <f aca="false">Z253</f>
        <v>352267.724718899</v>
      </c>
      <c r="AG253" s="6" t="n">
        <f aca="false">MAX(AF253,AA253)</f>
        <v>488468.060584755</v>
      </c>
      <c r="AH253" s="6" t="n">
        <f aca="false">MAX(AG253,AB253)</f>
        <v>549775.404992855</v>
      </c>
      <c r="AI253" s="6" t="n">
        <f aca="false">MAX(AH253,AC253)</f>
        <v>615632.223275896</v>
      </c>
      <c r="AJ253" s="6" t="n">
        <f aca="false">MAX(AI253,AD253)</f>
        <v>697836.824742722</v>
      </c>
      <c r="AK253" s="6" t="n">
        <f aca="false">MAX(AJ253,AE253)</f>
        <v>795833.168813748</v>
      </c>
      <c r="AL253" s="8" t="n">
        <f aca="false">MIN(Z253/AF253-1,AA253/AG253-1,AB253/AH253-1,AC253/AI253-1,AD253/AJ253-1,AE253/AK253-1)</f>
        <v>0</v>
      </c>
      <c r="AM253" s="6" t="n">
        <f aca="false">AE253-Assumptions!$B$35</f>
        <v>354569.172151244</v>
      </c>
    </row>
    <row r="254" customFormat="false" ht="15" hidden="false" customHeight="false" outlineLevel="0" collapsed="false">
      <c r="A254" s="0" t="n">
        <f aca="false">ROW()-1</f>
        <v>253</v>
      </c>
      <c r="B254" s="0" t="str">
        <f aca="true">IF(RAND()&lt;Assumptions!$B$11,"Bull","Bear")</f>
        <v>Bull</v>
      </c>
      <c r="C254" s="0" t="str">
        <f aca="true">IF(B254="Bull",IF(RAND()&lt;Assumptions!$B$7,"Bull","Bear"),IF(RAND()&lt;Assumptions!$B$10,"Bear","Bull"))</f>
        <v>Bear</v>
      </c>
      <c r="D254" s="0" t="str">
        <f aca="true">IF(C254="Bull",IF(RAND()&lt;Assumptions!$B$7,"Bull","Bear"),IF(RAND()&lt;Assumptions!$B$10,"Bear","Bull"))</f>
        <v>Bull</v>
      </c>
      <c r="E254" s="0" t="str">
        <f aca="true">IF(D254="Bull",IF(RAND()&lt;Assumptions!$B$7,"Bull","Bear"),IF(RAND()&lt;Assumptions!$B$10,"Bear","Bull"))</f>
        <v>Bull</v>
      </c>
      <c r="F254" s="0" t="str">
        <f aca="true">IF(E254="Bull",IF(RAND()&lt;Assumptions!$B$7,"Bull","Bear"),IF(RAND()&lt;Assumptions!$B$10,"Bear","Bull"))</f>
        <v>Bull</v>
      </c>
      <c r="G254" s="0" t="str">
        <f aca="true">IF(F254="Bull",IF(RAND()&lt;Assumptions!$B$7,"Bull","Bear"),IF(RAND()&lt;Assumptions!$B$10,"Bear","Bull"))</f>
        <v>Bull</v>
      </c>
      <c r="H254" s="8" t="n">
        <f aca="true">IF(B254="Bull",NORMINV(RAND(),Assumptions!$B$5,Assumptions!$B$6),NORMINV(RAND(),Assumptions!$B$8,Assumptions!$B$9))</f>
        <v>0.149127448282674</v>
      </c>
      <c r="I254" s="8" t="n">
        <f aca="true">IF(C254="Bull",NORMINV(RAND(),Assumptions!$B$5,Assumptions!$B$6),NORMINV(RAND(),Assumptions!$B$8,Assumptions!$B$9))</f>
        <v>-0.0796101311640211</v>
      </c>
      <c r="J254" s="8" t="n">
        <f aca="true">IF(D254="Bull",NORMINV(RAND(),Assumptions!$B$5,Assumptions!$B$6),NORMINV(RAND(),Assumptions!$B$8,Assumptions!$B$9))</f>
        <v>0.104927611690239</v>
      </c>
      <c r="K254" s="8" t="n">
        <f aca="true">IF(E254="Bull",NORMINV(RAND(),Assumptions!$B$5,Assumptions!$B$6),NORMINV(RAND(),Assumptions!$B$8,Assumptions!$B$9))</f>
        <v>0.276237207577586</v>
      </c>
      <c r="L254" s="8" t="n">
        <f aca="true">IF(F254="Bull",NORMINV(RAND(),Assumptions!$B$5,Assumptions!$B$6),NORMINV(RAND(),Assumptions!$B$8,Assumptions!$B$9))</f>
        <v>0.311726326650597</v>
      </c>
      <c r="M254" s="8" t="n">
        <f aca="true">IF(G254="Bull",NORMINV(RAND(),Assumptions!$B$5,Assumptions!$B$6),NORMINV(RAND(),Assumptions!$B$8,Assumptions!$B$9))</f>
        <v>0.0885084769023606</v>
      </c>
      <c r="N254" s="8" t="n">
        <f aca="true">NORMINV(RAND(),Assumptions!$B$14,Assumptions!$B$15)</f>
        <v>0.0102553524034944</v>
      </c>
      <c r="O254" s="8" t="n">
        <f aca="true">NORMINV(RAND(),Assumptions!$B$14,Assumptions!$B$15)</f>
        <v>0.070538277511089</v>
      </c>
      <c r="P254" s="8" t="n">
        <f aca="true">NORMINV(RAND(),Assumptions!$B$14,Assumptions!$B$15)</f>
        <v>0.0644513929241978</v>
      </c>
      <c r="Q254" s="8" t="n">
        <f aca="true">NORMINV(RAND(),Assumptions!$B$14,Assumptions!$B$15)</f>
        <v>0.001198041088014</v>
      </c>
      <c r="R254" s="8" t="n">
        <f aca="true">NORMINV(RAND(),Assumptions!$B$14,Assumptions!$B$15)</f>
        <v>0.0958517536339395</v>
      </c>
      <c r="S254" s="8" t="n">
        <f aca="true">NORMINV(RAND(),Assumptions!$B$14,Assumptions!$B$15)</f>
        <v>0.0499863108958624</v>
      </c>
      <c r="T254" s="8" t="n">
        <f aca="false">Assumptions!$B$19*H254+(1-Assumptions!$B$19)*N254</f>
        <v>0.149127448282674</v>
      </c>
      <c r="U254" s="8" t="n">
        <f aca="false">Assumptions!$B$20*I254+(1-Assumptions!$B$20)*O254</f>
        <v>-0.0796101311640211</v>
      </c>
      <c r="V254" s="8" t="n">
        <f aca="false">Assumptions!$B$21*J254+(1-Assumptions!$B$21)*P254</f>
        <v>0.104927611690239</v>
      </c>
      <c r="W254" s="8" t="n">
        <f aca="false">Assumptions!$B$22*K254+(1-Assumptions!$B$22)*Q254</f>
        <v>0.276237207577586</v>
      </c>
      <c r="X254" s="8" t="n">
        <f aca="false">Assumptions!$B$23*L254+(1-Assumptions!$B$23)*R254</f>
        <v>0.268551412047266</v>
      </c>
      <c r="Y254" s="8" t="n">
        <f aca="false">Assumptions!$B$24*M254+(1-Assumptions!$B$24)*S254</f>
        <v>0.0730996104997613</v>
      </c>
      <c r="Z254" s="6" t="n">
        <f aca="false">Assumptions!$B$27*(1+T254)</f>
        <v>344738.234484802</v>
      </c>
      <c r="AA254" s="6" t="n">
        <f aca="false">(Z254+Assumptions!$B$28)*(1+U254)</f>
        <v>455352.058745611</v>
      </c>
      <c r="AB254" s="6" t="n">
        <f aca="false">AA254*(1+V254)</f>
        <v>503131.062748021</v>
      </c>
      <c r="AC254" s="6" t="n">
        <f aca="false">AB254*(1+W254)</f>
        <v>642114.582567078</v>
      </c>
      <c r="AD254" s="6" t="n">
        <f aca="false">AC254*(1+X254)</f>
        <v>814555.360411607</v>
      </c>
      <c r="AE254" s="6" t="n">
        <f aca="false">AD254*(1+Y254)</f>
        <v>874099.039988188</v>
      </c>
      <c r="AF254" s="6" t="n">
        <f aca="false">Z254</f>
        <v>344738.234484802</v>
      </c>
      <c r="AG254" s="6" t="n">
        <f aca="false">MAX(AF254,AA254)</f>
        <v>455352.058745611</v>
      </c>
      <c r="AH254" s="6" t="n">
        <f aca="false">MAX(AG254,AB254)</f>
        <v>503131.062748021</v>
      </c>
      <c r="AI254" s="6" t="n">
        <f aca="false">MAX(AH254,AC254)</f>
        <v>642114.582567078</v>
      </c>
      <c r="AJ254" s="6" t="n">
        <f aca="false">MAX(AI254,AD254)</f>
        <v>814555.360411607</v>
      </c>
      <c r="AK254" s="6" t="n">
        <f aca="false">MAX(AJ254,AE254)</f>
        <v>874099.039988188</v>
      </c>
      <c r="AL254" s="8" t="n">
        <f aca="false">MIN(Z254/AF254-1,AA254/AG254-1,AB254/AH254-1,AC254/AI254-1,AD254/AJ254-1,AE254/AK254-1)</f>
        <v>0</v>
      </c>
      <c r="AM254" s="6" t="n">
        <f aca="false">AE254-Assumptions!$B$35</f>
        <v>432835.043325685</v>
      </c>
    </row>
    <row r="255" customFormat="false" ht="15" hidden="false" customHeight="false" outlineLevel="0" collapsed="false">
      <c r="A255" s="0" t="n">
        <f aca="false">ROW()-1</f>
        <v>254</v>
      </c>
      <c r="B255" s="0" t="str">
        <f aca="true">IF(RAND()&lt;Assumptions!$B$11,"Bull","Bear")</f>
        <v>Bear</v>
      </c>
      <c r="C255" s="0" t="str">
        <f aca="true">IF(B255="Bull",IF(RAND()&lt;Assumptions!$B$7,"Bull","Bear"),IF(RAND()&lt;Assumptions!$B$10,"Bear","Bull"))</f>
        <v>Bear</v>
      </c>
      <c r="D255" s="0" t="str">
        <f aca="true">IF(C255="Bull",IF(RAND()&lt;Assumptions!$B$7,"Bull","Bear"),IF(RAND()&lt;Assumptions!$B$10,"Bear","Bull"))</f>
        <v>Bear</v>
      </c>
      <c r="E255" s="0" t="str">
        <f aca="true">IF(D255="Bull",IF(RAND()&lt;Assumptions!$B$7,"Bull","Bear"),IF(RAND()&lt;Assumptions!$B$10,"Bear","Bull"))</f>
        <v>Bear</v>
      </c>
      <c r="F255" s="0" t="str">
        <f aca="true">IF(E255="Bull",IF(RAND()&lt;Assumptions!$B$7,"Bull","Bear"),IF(RAND()&lt;Assumptions!$B$10,"Bear","Bull"))</f>
        <v>Bull</v>
      </c>
      <c r="G255" s="0" t="str">
        <f aca="true">IF(F255="Bull",IF(RAND()&lt;Assumptions!$B$7,"Bull","Bear"),IF(RAND()&lt;Assumptions!$B$10,"Bear","Bull"))</f>
        <v>Bull</v>
      </c>
      <c r="H255" s="8" t="n">
        <f aca="true">IF(B255="Bull",NORMINV(RAND(),Assumptions!$B$5,Assumptions!$B$6),NORMINV(RAND(),Assumptions!$B$8,Assumptions!$B$9))</f>
        <v>-0.19703007130476</v>
      </c>
      <c r="I255" s="8" t="n">
        <f aca="true">IF(C255="Bull",NORMINV(RAND(),Assumptions!$B$5,Assumptions!$B$6),NORMINV(RAND(),Assumptions!$B$8,Assumptions!$B$9))</f>
        <v>-0.185959796676187</v>
      </c>
      <c r="J255" s="8" t="n">
        <f aca="true">IF(D255="Bull",NORMINV(RAND(),Assumptions!$B$5,Assumptions!$B$6),NORMINV(RAND(),Assumptions!$B$8,Assumptions!$B$9))</f>
        <v>-0.0393971118300907</v>
      </c>
      <c r="K255" s="8" t="n">
        <f aca="true">IF(E255="Bull",NORMINV(RAND(),Assumptions!$B$5,Assumptions!$B$6),NORMINV(RAND(),Assumptions!$B$8,Assumptions!$B$9))</f>
        <v>-0.316505669867191</v>
      </c>
      <c r="L255" s="8" t="n">
        <f aca="true">IF(F255="Bull",NORMINV(RAND(),Assumptions!$B$5,Assumptions!$B$6),NORMINV(RAND(),Assumptions!$B$8,Assumptions!$B$9))</f>
        <v>0.257285501081764</v>
      </c>
      <c r="M255" s="8" t="n">
        <f aca="true">IF(G255="Bull",NORMINV(RAND(),Assumptions!$B$5,Assumptions!$B$6),NORMINV(RAND(),Assumptions!$B$8,Assumptions!$B$9))</f>
        <v>0.0352840184799978</v>
      </c>
      <c r="N255" s="8" t="n">
        <f aca="true">NORMINV(RAND(),Assumptions!$B$14,Assumptions!$B$15)</f>
        <v>0.0616497255856438</v>
      </c>
      <c r="O255" s="8" t="n">
        <f aca="true">NORMINV(RAND(),Assumptions!$B$14,Assumptions!$B$15)</f>
        <v>0.0744273323126864</v>
      </c>
      <c r="P255" s="8" t="n">
        <f aca="true">NORMINV(RAND(),Assumptions!$B$14,Assumptions!$B$15)</f>
        <v>0.0338732126034812</v>
      </c>
      <c r="Q255" s="8" t="n">
        <f aca="true">NORMINV(RAND(),Assumptions!$B$14,Assumptions!$B$15)</f>
        <v>0.0573842901182568</v>
      </c>
      <c r="R255" s="8" t="n">
        <f aca="true">NORMINV(RAND(),Assumptions!$B$14,Assumptions!$B$15)</f>
        <v>0.0322628571564769</v>
      </c>
      <c r="S255" s="8" t="n">
        <f aca="true">NORMINV(RAND(),Assumptions!$B$14,Assumptions!$B$15)</f>
        <v>0.0915343379105771</v>
      </c>
      <c r="T255" s="8" t="n">
        <f aca="false">Assumptions!$B$19*H255+(1-Assumptions!$B$19)*N255</f>
        <v>-0.19703007130476</v>
      </c>
      <c r="U255" s="8" t="n">
        <f aca="false">Assumptions!$B$20*I255+(1-Assumptions!$B$20)*O255</f>
        <v>-0.185959796676187</v>
      </c>
      <c r="V255" s="8" t="n">
        <f aca="false">Assumptions!$B$21*J255+(1-Assumptions!$B$21)*P255</f>
        <v>-0.0393971118300907</v>
      </c>
      <c r="W255" s="8" t="n">
        <f aca="false">Assumptions!$B$22*K255+(1-Assumptions!$B$22)*Q255</f>
        <v>-0.316505669867191</v>
      </c>
      <c r="X255" s="8" t="n">
        <f aca="false">Assumptions!$B$23*L255+(1-Assumptions!$B$23)*R255</f>
        <v>0.212280972296707</v>
      </c>
      <c r="Y255" s="8" t="n">
        <f aca="false">Assumptions!$B$24*M255+(1-Assumptions!$B$24)*S255</f>
        <v>0.0577841462522295</v>
      </c>
      <c r="Z255" s="6" t="n">
        <f aca="false">Assumptions!$B$27*(1+T255)</f>
        <v>240890.978608572</v>
      </c>
      <c r="AA255" s="6" t="n">
        <f aca="false">(Z255+Assumptions!$B$28)*(1+U255)</f>
        <v>318200.971703966</v>
      </c>
      <c r="AB255" s="6" t="n">
        <f aca="false">AA255*(1+V255)</f>
        <v>305664.772437301</v>
      </c>
      <c r="AC255" s="6" t="n">
        <f aca="false">AB255*(1+W255)</f>
        <v>208920.138882231</v>
      </c>
      <c r="AD255" s="6" t="n">
        <f aca="false">AC255*(1+X255)</f>
        <v>253269.909096514</v>
      </c>
      <c r="AE255" s="6" t="n">
        <f aca="false">AD255*(1+Y255)</f>
        <v>267904.894565036</v>
      </c>
      <c r="AF255" s="6" t="n">
        <f aca="false">Z255</f>
        <v>240890.978608572</v>
      </c>
      <c r="AG255" s="6" t="n">
        <f aca="false">MAX(AF255,AA255)</f>
        <v>318200.971703966</v>
      </c>
      <c r="AH255" s="6" t="n">
        <f aca="false">MAX(AG255,AB255)</f>
        <v>318200.971703966</v>
      </c>
      <c r="AI255" s="6" t="n">
        <f aca="false">MAX(AH255,AC255)</f>
        <v>318200.971703966</v>
      </c>
      <c r="AJ255" s="6" t="n">
        <f aca="false">MAX(AI255,AD255)</f>
        <v>318200.971703966</v>
      </c>
      <c r="AK255" s="6" t="n">
        <f aca="false">MAX(AJ255,AE255)</f>
        <v>318200.971703966</v>
      </c>
      <c r="AL255" s="8" t="n">
        <f aca="false">MIN(Z255/AF255-1,AA255/AG255-1,AB255/AH255-1,AC255/AI255-1,AD255/AJ255-1,AE255/AK255-1)</f>
        <v>-0.343433372426666</v>
      </c>
      <c r="AM255" s="6" t="n">
        <f aca="false">AE255-Assumptions!$B$35</f>
        <v>-173359.102097468</v>
      </c>
    </row>
    <row r="256" customFormat="false" ht="15" hidden="false" customHeight="false" outlineLevel="0" collapsed="false">
      <c r="A256" s="0" t="n">
        <f aca="false">ROW()-1</f>
        <v>255</v>
      </c>
      <c r="B256" s="0" t="str">
        <f aca="true">IF(RAND()&lt;Assumptions!$B$11,"Bull","Bear")</f>
        <v>Bear</v>
      </c>
      <c r="C256" s="0" t="str">
        <f aca="true">IF(B256="Bull",IF(RAND()&lt;Assumptions!$B$7,"Bull","Bear"),IF(RAND()&lt;Assumptions!$B$10,"Bear","Bull"))</f>
        <v>Bull</v>
      </c>
      <c r="D256" s="0" t="str">
        <f aca="true">IF(C256="Bull",IF(RAND()&lt;Assumptions!$B$7,"Bull","Bear"),IF(RAND()&lt;Assumptions!$B$10,"Bear","Bull"))</f>
        <v>Bull</v>
      </c>
      <c r="E256" s="0" t="str">
        <f aca="true">IF(D256="Bull",IF(RAND()&lt;Assumptions!$B$7,"Bull","Bear"),IF(RAND()&lt;Assumptions!$B$10,"Bear","Bull"))</f>
        <v>Bull</v>
      </c>
      <c r="F256" s="0" t="str">
        <f aca="true">IF(E256="Bull",IF(RAND()&lt;Assumptions!$B$7,"Bull","Bear"),IF(RAND()&lt;Assumptions!$B$10,"Bear","Bull"))</f>
        <v>Bear</v>
      </c>
      <c r="G256" s="0" t="str">
        <f aca="true">IF(F256="Bull",IF(RAND()&lt;Assumptions!$B$7,"Bull","Bear"),IF(RAND()&lt;Assumptions!$B$10,"Bear","Bull"))</f>
        <v>Bull</v>
      </c>
      <c r="H256" s="8" t="n">
        <f aca="true">IF(B256="Bull",NORMINV(RAND(),Assumptions!$B$5,Assumptions!$B$6),NORMINV(RAND(),Assumptions!$B$8,Assumptions!$B$9))</f>
        <v>0.0405545471657154</v>
      </c>
      <c r="I256" s="8" t="n">
        <f aca="true">IF(C256="Bull",NORMINV(RAND(),Assumptions!$B$5,Assumptions!$B$6),NORMINV(RAND(),Assumptions!$B$8,Assumptions!$B$9))</f>
        <v>0.0409772875846703</v>
      </c>
      <c r="J256" s="8" t="n">
        <f aca="true">IF(D256="Bull",NORMINV(RAND(),Assumptions!$B$5,Assumptions!$B$6),NORMINV(RAND(),Assumptions!$B$8,Assumptions!$B$9))</f>
        <v>0.288942445512911</v>
      </c>
      <c r="K256" s="8" t="n">
        <f aca="true">IF(E256="Bull",NORMINV(RAND(),Assumptions!$B$5,Assumptions!$B$6),NORMINV(RAND(),Assumptions!$B$8,Assumptions!$B$9))</f>
        <v>0.201642958838455</v>
      </c>
      <c r="L256" s="8" t="n">
        <f aca="true">IF(F256="Bull",NORMINV(RAND(),Assumptions!$B$5,Assumptions!$B$6),NORMINV(RAND(),Assumptions!$B$8,Assumptions!$B$9))</f>
        <v>-0.115767027271865</v>
      </c>
      <c r="M256" s="8" t="n">
        <f aca="true">IF(G256="Bull",NORMINV(RAND(),Assumptions!$B$5,Assumptions!$B$6),NORMINV(RAND(),Assumptions!$B$8,Assumptions!$B$9))</f>
        <v>0.292384047371646</v>
      </c>
      <c r="N256" s="8" t="n">
        <f aca="true">NORMINV(RAND(),Assumptions!$B$14,Assumptions!$B$15)</f>
        <v>0.0487109010819876</v>
      </c>
      <c r="O256" s="8" t="n">
        <f aca="true">NORMINV(RAND(),Assumptions!$B$14,Assumptions!$B$15)</f>
        <v>-0.0130284641841409</v>
      </c>
      <c r="P256" s="8" t="n">
        <f aca="true">NORMINV(RAND(),Assumptions!$B$14,Assumptions!$B$15)</f>
        <v>0.00381781910764004</v>
      </c>
      <c r="Q256" s="8" t="n">
        <f aca="true">NORMINV(RAND(),Assumptions!$B$14,Assumptions!$B$15)</f>
        <v>0.0661189236219391</v>
      </c>
      <c r="R256" s="8" t="n">
        <f aca="true">NORMINV(RAND(),Assumptions!$B$14,Assumptions!$B$15)</f>
        <v>0.00336255330570991</v>
      </c>
      <c r="S256" s="8" t="n">
        <f aca="true">NORMINV(RAND(),Assumptions!$B$14,Assumptions!$B$15)</f>
        <v>0.097946514419729</v>
      </c>
      <c r="T256" s="8" t="n">
        <f aca="false">Assumptions!$B$19*H256+(1-Assumptions!$B$19)*N256</f>
        <v>0.0405545471657154</v>
      </c>
      <c r="U256" s="8" t="n">
        <f aca="false">Assumptions!$B$20*I256+(1-Assumptions!$B$20)*O256</f>
        <v>0.0409772875846703</v>
      </c>
      <c r="V256" s="8" t="n">
        <f aca="false">Assumptions!$B$21*J256+(1-Assumptions!$B$21)*P256</f>
        <v>0.288942445512911</v>
      </c>
      <c r="W256" s="8" t="n">
        <f aca="false">Assumptions!$B$22*K256+(1-Assumptions!$B$22)*Q256</f>
        <v>0.201642958838455</v>
      </c>
      <c r="X256" s="8" t="n">
        <f aca="false">Assumptions!$B$23*L256+(1-Assumptions!$B$23)*R256</f>
        <v>-0.0919411111563497</v>
      </c>
      <c r="Y256" s="8" t="n">
        <f aca="false">Assumptions!$B$24*M256+(1-Assumptions!$B$24)*S256</f>
        <v>0.214609034190879</v>
      </c>
      <c r="Z256" s="6" t="n">
        <f aca="false">Assumptions!$B$27*(1+T256)</f>
        <v>312166.364149715</v>
      </c>
      <c r="AA256" s="6" t="n">
        <f aca="false">(Z256+Assumptions!$B$28)*(1+U256)</f>
        <v>481104.688165439</v>
      </c>
      <c r="AB256" s="6" t="n">
        <f aca="false">AA256*(1+V256)</f>
        <v>620116.253311687</v>
      </c>
      <c r="AC256" s="6" t="n">
        <f aca="false">AB256*(1+W256)</f>
        <v>745158.329453273</v>
      </c>
      <c r="AD256" s="6" t="n">
        <f aca="false">AC256*(1+X256)</f>
        <v>676647.64465593</v>
      </c>
      <c r="AE256" s="6" t="n">
        <f aca="false">AD256*(1+Y256)</f>
        <v>821862.342163072</v>
      </c>
      <c r="AF256" s="6" t="n">
        <f aca="false">Z256</f>
        <v>312166.364149715</v>
      </c>
      <c r="AG256" s="6" t="n">
        <f aca="false">MAX(AF256,AA256)</f>
        <v>481104.688165439</v>
      </c>
      <c r="AH256" s="6" t="n">
        <f aca="false">MAX(AG256,AB256)</f>
        <v>620116.253311687</v>
      </c>
      <c r="AI256" s="6" t="n">
        <f aca="false">MAX(AH256,AC256)</f>
        <v>745158.329453273</v>
      </c>
      <c r="AJ256" s="6" t="n">
        <f aca="false">MAX(AI256,AD256)</f>
        <v>745158.329453273</v>
      </c>
      <c r="AK256" s="6" t="n">
        <f aca="false">MAX(AJ256,AE256)</f>
        <v>821862.342163072</v>
      </c>
      <c r="AL256" s="8" t="n">
        <f aca="false">MIN(Z256/AF256-1,AA256/AG256-1,AB256/AH256-1,AC256/AI256-1,AD256/AJ256-1,AE256/AK256-1)</f>
        <v>-0.0919411111563497</v>
      </c>
      <c r="AM256" s="6" t="n">
        <f aca="false">AE256-Assumptions!$B$35</f>
        <v>380598.345500568</v>
      </c>
    </row>
    <row r="257" customFormat="false" ht="15" hidden="false" customHeight="false" outlineLevel="0" collapsed="false">
      <c r="A257" s="0" t="n">
        <f aca="false">ROW()-1</f>
        <v>256</v>
      </c>
      <c r="B257" s="0" t="str">
        <f aca="true">IF(RAND()&lt;Assumptions!$B$11,"Bull","Bear")</f>
        <v>Bull</v>
      </c>
      <c r="C257" s="0" t="str">
        <f aca="true">IF(B257="Bull",IF(RAND()&lt;Assumptions!$B$7,"Bull","Bear"),IF(RAND()&lt;Assumptions!$B$10,"Bear","Bull"))</f>
        <v>Bear</v>
      </c>
      <c r="D257" s="0" t="str">
        <f aca="true">IF(C257="Bull",IF(RAND()&lt;Assumptions!$B$7,"Bull","Bear"),IF(RAND()&lt;Assumptions!$B$10,"Bear","Bull"))</f>
        <v>Bull</v>
      </c>
      <c r="E257" s="0" t="str">
        <f aca="true">IF(D257="Bull",IF(RAND()&lt;Assumptions!$B$7,"Bull","Bear"),IF(RAND()&lt;Assumptions!$B$10,"Bear","Bull"))</f>
        <v>Bull</v>
      </c>
      <c r="F257" s="0" t="str">
        <f aca="true">IF(E257="Bull",IF(RAND()&lt;Assumptions!$B$7,"Bull","Bear"),IF(RAND()&lt;Assumptions!$B$10,"Bear","Bull"))</f>
        <v>Bull</v>
      </c>
      <c r="G257" s="0" t="str">
        <f aca="true">IF(F257="Bull",IF(RAND()&lt;Assumptions!$B$7,"Bull","Bear"),IF(RAND()&lt;Assumptions!$B$10,"Bear","Bull"))</f>
        <v>Bull</v>
      </c>
      <c r="H257" s="8" t="n">
        <f aca="true">IF(B257="Bull",NORMINV(RAND(),Assumptions!$B$5,Assumptions!$B$6),NORMINV(RAND(),Assumptions!$B$8,Assumptions!$B$9))</f>
        <v>0.250352293562391</v>
      </c>
      <c r="I257" s="8" t="n">
        <f aca="true">IF(C257="Bull",NORMINV(RAND(),Assumptions!$B$5,Assumptions!$B$6),NORMINV(RAND(),Assumptions!$B$8,Assumptions!$B$9))</f>
        <v>-0.13025614259705</v>
      </c>
      <c r="J257" s="8" t="n">
        <f aca="true">IF(D257="Bull",NORMINV(RAND(),Assumptions!$B$5,Assumptions!$B$6),NORMINV(RAND(),Assumptions!$B$8,Assumptions!$B$9))</f>
        <v>0.165106109195407</v>
      </c>
      <c r="K257" s="8" t="n">
        <f aca="true">IF(E257="Bull",NORMINV(RAND(),Assumptions!$B$5,Assumptions!$B$6),NORMINV(RAND(),Assumptions!$B$8,Assumptions!$B$9))</f>
        <v>0.303017172851027</v>
      </c>
      <c r="L257" s="8" t="n">
        <f aca="true">IF(F257="Bull",NORMINV(RAND(),Assumptions!$B$5,Assumptions!$B$6),NORMINV(RAND(),Assumptions!$B$8,Assumptions!$B$9))</f>
        <v>0.177968450700131</v>
      </c>
      <c r="M257" s="8" t="n">
        <f aca="true">IF(G257="Bull",NORMINV(RAND(),Assumptions!$B$5,Assumptions!$B$6),NORMINV(RAND(),Assumptions!$B$8,Assumptions!$B$9))</f>
        <v>0.116215639740467</v>
      </c>
      <c r="N257" s="8" t="n">
        <f aca="true">NORMINV(RAND(),Assumptions!$B$14,Assumptions!$B$15)</f>
        <v>0.0376936971378963</v>
      </c>
      <c r="O257" s="8" t="n">
        <f aca="true">NORMINV(RAND(),Assumptions!$B$14,Assumptions!$B$15)</f>
        <v>0.0636349327681922</v>
      </c>
      <c r="P257" s="8" t="n">
        <f aca="true">NORMINV(RAND(),Assumptions!$B$14,Assumptions!$B$15)</f>
        <v>0.053796572573184</v>
      </c>
      <c r="Q257" s="8" t="n">
        <f aca="true">NORMINV(RAND(),Assumptions!$B$14,Assumptions!$B$15)</f>
        <v>0.0262009344560199</v>
      </c>
      <c r="R257" s="8" t="n">
        <f aca="true">NORMINV(RAND(),Assumptions!$B$14,Assumptions!$B$15)</f>
        <v>-0.00635438826753709</v>
      </c>
      <c r="S257" s="8" t="n">
        <f aca="true">NORMINV(RAND(),Assumptions!$B$14,Assumptions!$B$15)</f>
        <v>0.0183024295714166</v>
      </c>
      <c r="T257" s="8" t="n">
        <f aca="false">Assumptions!$B$19*H257+(1-Assumptions!$B$19)*N257</f>
        <v>0.250352293562391</v>
      </c>
      <c r="U257" s="8" t="n">
        <f aca="false">Assumptions!$B$20*I257+(1-Assumptions!$B$20)*O257</f>
        <v>-0.13025614259705</v>
      </c>
      <c r="V257" s="8" t="n">
        <f aca="false">Assumptions!$B$21*J257+(1-Assumptions!$B$21)*P257</f>
        <v>0.165106109195407</v>
      </c>
      <c r="W257" s="8" t="n">
        <f aca="false">Assumptions!$B$22*K257+(1-Assumptions!$B$22)*Q257</f>
        <v>0.303017172851027</v>
      </c>
      <c r="X257" s="8" t="n">
        <f aca="false">Assumptions!$B$23*L257+(1-Assumptions!$B$23)*R257</f>
        <v>0.141103882906597</v>
      </c>
      <c r="Y257" s="8" t="n">
        <f aca="false">Assumptions!$B$24*M257+(1-Assumptions!$B$24)*S257</f>
        <v>0.0770503556728469</v>
      </c>
      <c r="Z257" s="6" t="n">
        <f aca="false">Assumptions!$B$27*(1+T257)</f>
        <v>375105.688068717</v>
      </c>
      <c r="AA257" s="6" t="n">
        <f aca="false">(Z257+Assumptions!$B$28)*(1+U257)</f>
        <v>456707.446685116</v>
      </c>
      <c r="AB257" s="6" t="n">
        <f aca="false">AA257*(1+V257)</f>
        <v>532112.636247865</v>
      </c>
      <c r="AC257" s="6" t="n">
        <f aca="false">AB257*(1+W257)</f>
        <v>693351.902922</v>
      </c>
      <c r="AD257" s="6" t="n">
        <f aca="false">AC257*(1+X257)</f>
        <v>791186.548644972</v>
      </c>
      <c r="AE257" s="6" t="n">
        <f aca="false">AD257*(1+Y257)</f>
        <v>852147.75362164</v>
      </c>
      <c r="AF257" s="6" t="n">
        <f aca="false">Z257</f>
        <v>375105.688068717</v>
      </c>
      <c r="AG257" s="6" t="n">
        <f aca="false">MAX(AF257,AA257)</f>
        <v>456707.446685116</v>
      </c>
      <c r="AH257" s="6" t="n">
        <f aca="false">MAX(AG257,AB257)</f>
        <v>532112.636247865</v>
      </c>
      <c r="AI257" s="6" t="n">
        <f aca="false">MAX(AH257,AC257)</f>
        <v>693351.902922</v>
      </c>
      <c r="AJ257" s="6" t="n">
        <f aca="false">MAX(AI257,AD257)</f>
        <v>791186.548644972</v>
      </c>
      <c r="AK257" s="6" t="n">
        <f aca="false">MAX(AJ257,AE257)</f>
        <v>852147.75362164</v>
      </c>
      <c r="AL257" s="8" t="n">
        <f aca="false">MIN(Z257/AF257-1,AA257/AG257-1,AB257/AH257-1,AC257/AI257-1,AD257/AJ257-1,AE257/AK257-1)</f>
        <v>0</v>
      </c>
      <c r="AM257" s="6" t="n">
        <f aca="false">AE257-Assumptions!$B$35</f>
        <v>410883.756959136</v>
      </c>
    </row>
    <row r="258" customFormat="false" ht="15" hidden="false" customHeight="false" outlineLevel="0" collapsed="false">
      <c r="A258" s="0" t="n">
        <f aca="false">ROW()-1</f>
        <v>257</v>
      </c>
      <c r="B258" s="0" t="str">
        <f aca="true">IF(RAND()&lt;Assumptions!$B$11,"Bull","Bear")</f>
        <v>Bull</v>
      </c>
      <c r="C258" s="0" t="str">
        <f aca="true">IF(B258="Bull",IF(RAND()&lt;Assumptions!$B$7,"Bull","Bear"),IF(RAND()&lt;Assumptions!$B$10,"Bear","Bull"))</f>
        <v>Bear</v>
      </c>
      <c r="D258" s="0" t="str">
        <f aca="true">IF(C258="Bull",IF(RAND()&lt;Assumptions!$B$7,"Bull","Bear"),IF(RAND()&lt;Assumptions!$B$10,"Bear","Bull"))</f>
        <v>Bear</v>
      </c>
      <c r="E258" s="0" t="str">
        <f aca="true">IF(D258="Bull",IF(RAND()&lt;Assumptions!$B$7,"Bull","Bear"),IF(RAND()&lt;Assumptions!$B$10,"Bear","Bull"))</f>
        <v>Bull</v>
      </c>
      <c r="F258" s="0" t="str">
        <f aca="true">IF(E258="Bull",IF(RAND()&lt;Assumptions!$B$7,"Bull","Bear"),IF(RAND()&lt;Assumptions!$B$10,"Bear","Bull"))</f>
        <v>Bear</v>
      </c>
      <c r="G258" s="0" t="str">
        <f aca="true">IF(F258="Bull",IF(RAND()&lt;Assumptions!$B$7,"Bull","Bear"),IF(RAND()&lt;Assumptions!$B$10,"Bear","Bull"))</f>
        <v>Bear</v>
      </c>
      <c r="H258" s="8" t="n">
        <f aca="true">IF(B258="Bull",NORMINV(RAND(),Assumptions!$B$5,Assumptions!$B$6),NORMINV(RAND(),Assumptions!$B$8,Assumptions!$B$9))</f>
        <v>-0.00153699904896609</v>
      </c>
      <c r="I258" s="8" t="n">
        <f aca="true">IF(C258="Bull",NORMINV(RAND(),Assumptions!$B$5,Assumptions!$B$6),NORMINV(RAND(),Assumptions!$B$8,Assumptions!$B$9))</f>
        <v>-0.225120225964688</v>
      </c>
      <c r="J258" s="8" t="n">
        <f aca="true">IF(D258="Bull",NORMINV(RAND(),Assumptions!$B$5,Assumptions!$B$6),NORMINV(RAND(),Assumptions!$B$8,Assumptions!$B$9))</f>
        <v>0.0206471963502282</v>
      </c>
      <c r="K258" s="8" t="n">
        <f aca="true">IF(E258="Bull",NORMINV(RAND(),Assumptions!$B$5,Assumptions!$B$6),NORMINV(RAND(),Assumptions!$B$8,Assumptions!$B$9))</f>
        <v>0.11083502881615</v>
      </c>
      <c r="L258" s="8" t="n">
        <f aca="true">IF(F258="Bull",NORMINV(RAND(),Assumptions!$B$5,Assumptions!$B$6),NORMINV(RAND(),Assumptions!$B$8,Assumptions!$B$9))</f>
        <v>-0.455353963364545</v>
      </c>
      <c r="M258" s="8" t="n">
        <f aca="true">IF(G258="Bull",NORMINV(RAND(),Assumptions!$B$5,Assumptions!$B$6),NORMINV(RAND(),Assumptions!$B$8,Assumptions!$B$9))</f>
        <v>0.149812275824403</v>
      </c>
      <c r="N258" s="8" t="n">
        <f aca="true">NORMINV(RAND(),Assumptions!$B$14,Assumptions!$B$15)</f>
        <v>0.0279921168214405</v>
      </c>
      <c r="O258" s="8" t="n">
        <f aca="true">NORMINV(RAND(),Assumptions!$B$14,Assumptions!$B$15)</f>
        <v>0.0417280359696714</v>
      </c>
      <c r="P258" s="8" t="n">
        <f aca="true">NORMINV(RAND(),Assumptions!$B$14,Assumptions!$B$15)</f>
        <v>0.0604659512466527</v>
      </c>
      <c r="Q258" s="8" t="n">
        <f aca="true">NORMINV(RAND(),Assumptions!$B$14,Assumptions!$B$15)</f>
        <v>-0.0088525446293582</v>
      </c>
      <c r="R258" s="8" t="n">
        <f aca="true">NORMINV(RAND(),Assumptions!$B$14,Assumptions!$B$15)</f>
        <v>0.0370640595050969</v>
      </c>
      <c r="S258" s="8" t="n">
        <f aca="true">NORMINV(RAND(),Assumptions!$B$14,Assumptions!$B$15)</f>
        <v>0.075716183110574</v>
      </c>
      <c r="T258" s="8" t="n">
        <f aca="false">Assumptions!$B$19*H258+(1-Assumptions!$B$19)*N258</f>
        <v>-0.00153699904896609</v>
      </c>
      <c r="U258" s="8" t="n">
        <f aca="false">Assumptions!$B$20*I258+(1-Assumptions!$B$20)*O258</f>
        <v>-0.225120225964688</v>
      </c>
      <c r="V258" s="8" t="n">
        <f aca="false">Assumptions!$B$21*J258+(1-Assumptions!$B$21)*P258</f>
        <v>0.0206471963502282</v>
      </c>
      <c r="W258" s="8" t="n">
        <f aca="false">Assumptions!$B$22*K258+(1-Assumptions!$B$22)*Q258</f>
        <v>0.11083502881615</v>
      </c>
      <c r="X258" s="8" t="n">
        <f aca="false">Assumptions!$B$23*L258+(1-Assumptions!$B$23)*R258</f>
        <v>-0.356870358790617</v>
      </c>
      <c r="Y258" s="8" t="n">
        <f aca="false">Assumptions!$B$24*M258+(1-Assumptions!$B$24)*S258</f>
        <v>0.120173838738871</v>
      </c>
      <c r="Z258" s="6" t="n">
        <f aca="false">Assumptions!$B$27*(1+T258)</f>
        <v>299538.90028531</v>
      </c>
      <c r="AA258" s="6" t="n">
        <f aca="false">(Z258+Assumptions!$B$28)*(1+U258)</f>
        <v>348338.601473164</v>
      </c>
      <c r="AB258" s="6" t="n">
        <f aca="false">AA258*(1+V258)</f>
        <v>355530.816974144</v>
      </c>
      <c r="AC258" s="6" t="n">
        <f aca="false">AB258*(1+W258)</f>
        <v>394936.085318503</v>
      </c>
      <c r="AD258" s="6" t="n">
        <f aca="false">AC258*(1+X258)</f>
        <v>253995.102851527</v>
      </c>
      <c r="AE258" s="6" t="n">
        <f aca="false">AD258*(1+Y258)</f>
        <v>284518.669382069</v>
      </c>
      <c r="AF258" s="6" t="n">
        <f aca="false">Z258</f>
        <v>299538.90028531</v>
      </c>
      <c r="AG258" s="6" t="n">
        <f aca="false">MAX(AF258,AA258)</f>
        <v>348338.601473164</v>
      </c>
      <c r="AH258" s="6" t="n">
        <f aca="false">MAX(AG258,AB258)</f>
        <v>355530.816974144</v>
      </c>
      <c r="AI258" s="6" t="n">
        <f aca="false">MAX(AH258,AC258)</f>
        <v>394936.085318503</v>
      </c>
      <c r="AJ258" s="6" t="n">
        <f aca="false">MAX(AI258,AD258)</f>
        <v>394936.085318503</v>
      </c>
      <c r="AK258" s="6" t="n">
        <f aca="false">MAX(AJ258,AE258)</f>
        <v>394936.085318503</v>
      </c>
      <c r="AL258" s="8" t="n">
        <f aca="false">MIN(Z258/AF258-1,AA258/AG258-1,AB258/AH258-1,AC258/AI258-1,AD258/AJ258-1,AE258/AK258-1)</f>
        <v>-0.356870358790617</v>
      </c>
      <c r="AM258" s="6" t="n">
        <f aca="false">AE258-Assumptions!$B$35</f>
        <v>-156745.327280434</v>
      </c>
    </row>
    <row r="259" customFormat="false" ht="15" hidden="false" customHeight="false" outlineLevel="0" collapsed="false">
      <c r="A259" s="0" t="n">
        <f aca="false">ROW()-1</f>
        <v>258</v>
      </c>
      <c r="B259" s="0" t="str">
        <f aca="true">IF(RAND()&lt;Assumptions!$B$11,"Bull","Bear")</f>
        <v>Bear</v>
      </c>
      <c r="C259" s="0" t="str">
        <f aca="true">IF(B259="Bull",IF(RAND()&lt;Assumptions!$B$7,"Bull","Bear"),IF(RAND()&lt;Assumptions!$B$10,"Bear","Bull"))</f>
        <v>Bear</v>
      </c>
      <c r="D259" s="0" t="str">
        <f aca="true">IF(C259="Bull",IF(RAND()&lt;Assumptions!$B$7,"Bull","Bear"),IF(RAND()&lt;Assumptions!$B$10,"Bear","Bull"))</f>
        <v>Bull</v>
      </c>
      <c r="E259" s="0" t="str">
        <f aca="true">IF(D259="Bull",IF(RAND()&lt;Assumptions!$B$7,"Bull","Bear"),IF(RAND()&lt;Assumptions!$B$10,"Bear","Bull"))</f>
        <v>Bull</v>
      </c>
      <c r="F259" s="0" t="str">
        <f aca="true">IF(E259="Bull",IF(RAND()&lt;Assumptions!$B$7,"Bull","Bear"),IF(RAND()&lt;Assumptions!$B$10,"Bear","Bull"))</f>
        <v>Bull</v>
      </c>
      <c r="G259" s="0" t="str">
        <f aca="true">IF(F259="Bull",IF(RAND()&lt;Assumptions!$B$7,"Bull","Bear"),IF(RAND()&lt;Assumptions!$B$10,"Bear","Bull"))</f>
        <v>Bull</v>
      </c>
      <c r="H259" s="8" t="n">
        <f aca="true">IF(B259="Bull",NORMINV(RAND(),Assumptions!$B$5,Assumptions!$B$6),NORMINV(RAND(),Assumptions!$B$8,Assumptions!$B$9))</f>
        <v>0.18385619194946</v>
      </c>
      <c r="I259" s="8" t="n">
        <f aca="true">IF(C259="Bull",NORMINV(RAND(),Assumptions!$B$5,Assumptions!$B$6),NORMINV(RAND(),Assumptions!$B$8,Assumptions!$B$9))</f>
        <v>0.220024870897774</v>
      </c>
      <c r="J259" s="8" t="n">
        <f aca="true">IF(D259="Bull",NORMINV(RAND(),Assumptions!$B$5,Assumptions!$B$6),NORMINV(RAND(),Assumptions!$B$8,Assumptions!$B$9))</f>
        <v>0.221630663452409</v>
      </c>
      <c r="K259" s="8" t="n">
        <f aca="true">IF(E259="Bull",NORMINV(RAND(),Assumptions!$B$5,Assumptions!$B$6),NORMINV(RAND(),Assumptions!$B$8,Assumptions!$B$9))</f>
        <v>0.125570142634864</v>
      </c>
      <c r="L259" s="8" t="n">
        <f aca="true">IF(F259="Bull",NORMINV(RAND(),Assumptions!$B$5,Assumptions!$B$6),NORMINV(RAND(),Assumptions!$B$8,Assumptions!$B$9))</f>
        <v>0.200774530088264</v>
      </c>
      <c r="M259" s="8" t="n">
        <f aca="true">IF(G259="Bull",NORMINV(RAND(),Assumptions!$B$5,Assumptions!$B$6),NORMINV(RAND(),Assumptions!$B$8,Assumptions!$B$9))</f>
        <v>0.16906242796462</v>
      </c>
      <c r="N259" s="8" t="n">
        <f aca="true">NORMINV(RAND(),Assumptions!$B$14,Assumptions!$B$15)</f>
        <v>-0.0110939130207771</v>
      </c>
      <c r="O259" s="8" t="n">
        <f aca="true">NORMINV(RAND(),Assumptions!$B$14,Assumptions!$B$15)</f>
        <v>0.0992511291046158</v>
      </c>
      <c r="P259" s="8" t="n">
        <f aca="true">NORMINV(RAND(),Assumptions!$B$14,Assumptions!$B$15)</f>
        <v>0.0737562520501356</v>
      </c>
      <c r="Q259" s="8" t="n">
        <f aca="true">NORMINV(RAND(),Assumptions!$B$14,Assumptions!$B$15)</f>
        <v>0.0287821652600353</v>
      </c>
      <c r="R259" s="8" t="n">
        <f aca="true">NORMINV(RAND(),Assumptions!$B$14,Assumptions!$B$15)</f>
        <v>0.085691503229905</v>
      </c>
      <c r="S259" s="8" t="n">
        <f aca="true">NORMINV(RAND(),Assumptions!$B$14,Assumptions!$B$15)</f>
        <v>0.0196945153729983</v>
      </c>
      <c r="T259" s="8" t="n">
        <f aca="false">Assumptions!$B$19*H259+(1-Assumptions!$B$19)*N259</f>
        <v>0.18385619194946</v>
      </c>
      <c r="U259" s="8" t="n">
        <f aca="false">Assumptions!$B$20*I259+(1-Assumptions!$B$20)*O259</f>
        <v>0.220024870897774</v>
      </c>
      <c r="V259" s="8" t="n">
        <f aca="false">Assumptions!$B$21*J259+(1-Assumptions!$B$21)*P259</f>
        <v>0.221630663452409</v>
      </c>
      <c r="W259" s="8" t="n">
        <f aca="false">Assumptions!$B$22*K259+(1-Assumptions!$B$22)*Q259</f>
        <v>0.125570142634864</v>
      </c>
      <c r="X259" s="8" t="n">
        <f aca="false">Assumptions!$B$23*L259+(1-Assumptions!$B$23)*R259</f>
        <v>0.177757924716592</v>
      </c>
      <c r="Y259" s="8" t="n">
        <f aca="false">Assumptions!$B$24*M259+(1-Assumptions!$B$24)*S259</f>
        <v>0.109315262927972</v>
      </c>
      <c r="Z259" s="6" t="n">
        <f aca="false">Assumptions!$B$27*(1+T259)</f>
        <v>355156.857584838</v>
      </c>
      <c r="AA259" s="6" t="n">
        <f aca="false">(Z259+Assumptions!$B$28)*(1+U259)</f>
        <v>616303.929958067</v>
      </c>
      <c r="AB259" s="6" t="n">
        <f aca="false">AA259*(1+V259)</f>
        <v>752895.778843</v>
      </c>
      <c r="AC259" s="6" t="n">
        <f aca="false">AB259*(1+W259)</f>
        <v>847437.009181503</v>
      </c>
      <c r="AD259" s="6" t="n">
        <f aca="false">AC259*(1+X259)</f>
        <v>998075.653261642</v>
      </c>
      <c r="AE259" s="6" t="n">
        <f aca="false">AD259*(1+Y259)</f>
        <v>1107180.55571995</v>
      </c>
      <c r="AF259" s="6" t="n">
        <f aca="false">Z259</f>
        <v>355156.857584838</v>
      </c>
      <c r="AG259" s="6" t="n">
        <f aca="false">MAX(AF259,AA259)</f>
        <v>616303.929958067</v>
      </c>
      <c r="AH259" s="6" t="n">
        <f aca="false">MAX(AG259,AB259)</f>
        <v>752895.778843</v>
      </c>
      <c r="AI259" s="6" t="n">
        <f aca="false">MAX(AH259,AC259)</f>
        <v>847437.009181503</v>
      </c>
      <c r="AJ259" s="6" t="n">
        <f aca="false">MAX(AI259,AD259)</f>
        <v>998075.653261642</v>
      </c>
      <c r="AK259" s="6" t="n">
        <f aca="false">MAX(AJ259,AE259)</f>
        <v>1107180.55571995</v>
      </c>
      <c r="AL259" s="8" t="n">
        <f aca="false">MIN(Z259/AF259-1,AA259/AG259-1,AB259/AH259-1,AC259/AI259-1,AD259/AJ259-1,AE259/AK259-1)</f>
        <v>0</v>
      </c>
      <c r="AM259" s="6" t="n">
        <f aca="false">AE259-Assumptions!$B$35</f>
        <v>665916.559057442</v>
      </c>
    </row>
    <row r="260" customFormat="false" ht="15" hidden="false" customHeight="false" outlineLevel="0" collapsed="false">
      <c r="A260" s="0" t="n">
        <f aca="false">ROW()-1</f>
        <v>259</v>
      </c>
      <c r="B260" s="0" t="str">
        <f aca="true">IF(RAND()&lt;Assumptions!$B$11,"Bull","Bear")</f>
        <v>Bull</v>
      </c>
      <c r="C260" s="0" t="str">
        <f aca="true">IF(B260="Bull",IF(RAND()&lt;Assumptions!$B$7,"Bull","Bear"),IF(RAND()&lt;Assumptions!$B$10,"Bear","Bull"))</f>
        <v>Bull</v>
      </c>
      <c r="D260" s="0" t="str">
        <f aca="true">IF(C260="Bull",IF(RAND()&lt;Assumptions!$B$7,"Bull","Bear"),IF(RAND()&lt;Assumptions!$B$10,"Bear","Bull"))</f>
        <v>Bull</v>
      </c>
      <c r="E260" s="0" t="str">
        <f aca="true">IF(D260="Bull",IF(RAND()&lt;Assumptions!$B$7,"Bull","Bear"),IF(RAND()&lt;Assumptions!$B$10,"Bear","Bull"))</f>
        <v>Bull</v>
      </c>
      <c r="F260" s="0" t="str">
        <f aca="true">IF(E260="Bull",IF(RAND()&lt;Assumptions!$B$7,"Bull","Bear"),IF(RAND()&lt;Assumptions!$B$10,"Bear","Bull"))</f>
        <v>Bear</v>
      </c>
      <c r="G260" s="0" t="str">
        <f aca="true">IF(F260="Bull",IF(RAND()&lt;Assumptions!$B$7,"Bull","Bear"),IF(RAND()&lt;Assumptions!$B$10,"Bear","Bull"))</f>
        <v>Bear</v>
      </c>
      <c r="H260" s="8" t="n">
        <f aca="true">IF(B260="Bull",NORMINV(RAND(),Assumptions!$B$5,Assumptions!$B$6),NORMINV(RAND(),Assumptions!$B$8,Assumptions!$B$9))</f>
        <v>0.268682959868257</v>
      </c>
      <c r="I260" s="8" t="n">
        <f aca="true">IF(C260="Bull",NORMINV(RAND(),Assumptions!$B$5,Assumptions!$B$6),NORMINV(RAND(),Assumptions!$B$8,Assumptions!$B$9))</f>
        <v>0.117885114104284</v>
      </c>
      <c r="J260" s="8" t="n">
        <f aca="true">IF(D260="Bull",NORMINV(RAND(),Assumptions!$B$5,Assumptions!$B$6),NORMINV(RAND(),Assumptions!$B$8,Assumptions!$B$9))</f>
        <v>0.263560317502178</v>
      </c>
      <c r="K260" s="8" t="n">
        <f aca="true">IF(E260="Bull",NORMINV(RAND(),Assumptions!$B$5,Assumptions!$B$6),NORMINV(RAND(),Assumptions!$B$8,Assumptions!$B$9))</f>
        <v>0.159995476958235</v>
      </c>
      <c r="L260" s="8" t="n">
        <f aca="true">IF(F260="Bull",NORMINV(RAND(),Assumptions!$B$5,Assumptions!$B$6),NORMINV(RAND(),Assumptions!$B$8,Assumptions!$B$9))</f>
        <v>-0.105652714283423</v>
      </c>
      <c r="M260" s="8" t="n">
        <f aca="true">IF(G260="Bull",NORMINV(RAND(),Assumptions!$B$5,Assumptions!$B$6),NORMINV(RAND(),Assumptions!$B$8,Assumptions!$B$9))</f>
        <v>0.162933306654135</v>
      </c>
      <c r="N260" s="8" t="n">
        <f aca="true">NORMINV(RAND(),Assumptions!$B$14,Assumptions!$B$15)</f>
        <v>0.0390862512986167</v>
      </c>
      <c r="O260" s="8" t="n">
        <f aca="true">NORMINV(RAND(),Assumptions!$B$14,Assumptions!$B$15)</f>
        <v>0.0327769891754263</v>
      </c>
      <c r="P260" s="8" t="n">
        <f aca="true">NORMINV(RAND(),Assumptions!$B$14,Assumptions!$B$15)</f>
        <v>0.0753605197719941</v>
      </c>
      <c r="Q260" s="8" t="n">
        <f aca="true">NORMINV(RAND(),Assumptions!$B$14,Assumptions!$B$15)</f>
        <v>0.0700978795984827</v>
      </c>
      <c r="R260" s="8" t="n">
        <f aca="true">NORMINV(RAND(),Assumptions!$B$14,Assumptions!$B$15)</f>
        <v>0.0899431517105919</v>
      </c>
      <c r="S260" s="8" t="n">
        <f aca="true">NORMINV(RAND(),Assumptions!$B$14,Assumptions!$B$15)</f>
        <v>0.0681713184297985</v>
      </c>
      <c r="T260" s="8" t="n">
        <f aca="false">Assumptions!$B$19*H260+(1-Assumptions!$B$19)*N260</f>
        <v>0.268682959868257</v>
      </c>
      <c r="U260" s="8" t="n">
        <f aca="false">Assumptions!$B$20*I260+(1-Assumptions!$B$20)*O260</f>
        <v>0.117885114104284</v>
      </c>
      <c r="V260" s="8" t="n">
        <f aca="false">Assumptions!$B$21*J260+(1-Assumptions!$B$21)*P260</f>
        <v>0.263560317502178</v>
      </c>
      <c r="W260" s="8" t="n">
        <f aca="false">Assumptions!$B$22*K260+(1-Assumptions!$B$22)*Q260</f>
        <v>0.159995476958235</v>
      </c>
      <c r="X260" s="8" t="n">
        <f aca="false">Assumptions!$B$23*L260+(1-Assumptions!$B$23)*R260</f>
        <v>-0.0665335410846203</v>
      </c>
      <c r="Y260" s="8" t="n">
        <f aca="false">Assumptions!$B$24*M260+(1-Assumptions!$B$24)*S260</f>
        <v>0.125028511364401</v>
      </c>
      <c r="Z260" s="6" t="n">
        <f aca="false">Assumptions!$B$27*(1+T260)</f>
        <v>380604.887960477</v>
      </c>
      <c r="AA260" s="6" t="n">
        <f aca="false">(Z260+Assumptions!$B$28)*(1+U260)</f>
        <v>593155.305721989</v>
      </c>
      <c r="AB260" s="6" t="n">
        <f aca="false">AA260*(1+V260)</f>
        <v>749487.506426177</v>
      </c>
      <c r="AC260" s="6" t="n">
        <f aca="false">AB260*(1+W260)</f>
        <v>869402.117491072</v>
      </c>
      <c r="AD260" s="6" t="n">
        <f aca="false">AC260*(1+X260)</f>
        <v>811557.715987923</v>
      </c>
      <c r="AE260" s="6" t="n">
        <f aca="false">AD260*(1+Y260)</f>
        <v>913025.569104187</v>
      </c>
      <c r="AF260" s="6" t="n">
        <f aca="false">Z260</f>
        <v>380604.887960477</v>
      </c>
      <c r="AG260" s="6" t="n">
        <f aca="false">MAX(AF260,AA260)</f>
        <v>593155.305721989</v>
      </c>
      <c r="AH260" s="6" t="n">
        <f aca="false">MAX(AG260,AB260)</f>
        <v>749487.506426177</v>
      </c>
      <c r="AI260" s="6" t="n">
        <f aca="false">MAX(AH260,AC260)</f>
        <v>869402.117491072</v>
      </c>
      <c r="AJ260" s="6" t="n">
        <f aca="false">MAX(AI260,AD260)</f>
        <v>869402.117491072</v>
      </c>
      <c r="AK260" s="6" t="n">
        <f aca="false">MAX(AJ260,AE260)</f>
        <v>913025.569104187</v>
      </c>
      <c r="AL260" s="8" t="n">
        <f aca="false">MIN(Z260/AF260-1,AA260/AG260-1,AB260/AH260-1,AC260/AI260-1,AD260/AJ260-1,AE260/AK260-1)</f>
        <v>-0.0665335410846202</v>
      </c>
      <c r="AM260" s="6" t="n">
        <f aca="false">AE260-Assumptions!$B$35</f>
        <v>471761.572441683</v>
      </c>
    </row>
    <row r="261" customFormat="false" ht="15" hidden="false" customHeight="false" outlineLevel="0" collapsed="false">
      <c r="A261" s="0" t="n">
        <f aca="false">ROW()-1</f>
        <v>260</v>
      </c>
      <c r="B261" s="0" t="str">
        <f aca="true">IF(RAND()&lt;Assumptions!$B$11,"Bull","Bear")</f>
        <v>Bull</v>
      </c>
      <c r="C261" s="0" t="str">
        <f aca="true">IF(B261="Bull",IF(RAND()&lt;Assumptions!$B$7,"Bull","Bear"),IF(RAND()&lt;Assumptions!$B$10,"Bear","Bull"))</f>
        <v>Bull</v>
      </c>
      <c r="D261" s="0" t="str">
        <f aca="true">IF(C261="Bull",IF(RAND()&lt;Assumptions!$B$7,"Bull","Bear"),IF(RAND()&lt;Assumptions!$B$10,"Bear","Bull"))</f>
        <v>Bear</v>
      </c>
      <c r="E261" s="0" t="str">
        <f aca="true">IF(D261="Bull",IF(RAND()&lt;Assumptions!$B$7,"Bull","Bear"),IF(RAND()&lt;Assumptions!$B$10,"Bear","Bull"))</f>
        <v>Bear</v>
      </c>
      <c r="F261" s="0" t="str">
        <f aca="true">IF(E261="Bull",IF(RAND()&lt;Assumptions!$B$7,"Bull","Bear"),IF(RAND()&lt;Assumptions!$B$10,"Bear","Bull"))</f>
        <v>Bull</v>
      </c>
      <c r="G261" s="0" t="str">
        <f aca="true">IF(F261="Bull",IF(RAND()&lt;Assumptions!$B$7,"Bull","Bear"),IF(RAND()&lt;Assumptions!$B$10,"Bear","Bull"))</f>
        <v>Bull</v>
      </c>
      <c r="H261" s="8" t="n">
        <f aca="true">IF(B261="Bull",NORMINV(RAND(),Assumptions!$B$5,Assumptions!$B$6),NORMINV(RAND(),Assumptions!$B$8,Assumptions!$B$9))</f>
        <v>-0.0130408594607188</v>
      </c>
      <c r="I261" s="8" t="n">
        <f aca="true">IF(C261="Bull",NORMINV(RAND(),Assumptions!$B$5,Assumptions!$B$6),NORMINV(RAND(),Assumptions!$B$8,Assumptions!$B$9))</f>
        <v>0.147299090675022</v>
      </c>
      <c r="J261" s="8" t="n">
        <f aca="true">IF(D261="Bull",NORMINV(RAND(),Assumptions!$B$5,Assumptions!$B$6),NORMINV(RAND(),Assumptions!$B$8,Assumptions!$B$9))</f>
        <v>-0.346983481257043</v>
      </c>
      <c r="K261" s="8" t="n">
        <f aca="true">IF(E261="Bull",NORMINV(RAND(),Assumptions!$B$5,Assumptions!$B$6),NORMINV(RAND(),Assumptions!$B$8,Assumptions!$B$9))</f>
        <v>-0.0363137124894437</v>
      </c>
      <c r="L261" s="8" t="n">
        <f aca="true">IF(F261="Bull",NORMINV(RAND(),Assumptions!$B$5,Assumptions!$B$6),NORMINV(RAND(),Assumptions!$B$8,Assumptions!$B$9))</f>
        <v>0.0721111040374073</v>
      </c>
      <c r="M261" s="8" t="n">
        <f aca="true">IF(G261="Bull",NORMINV(RAND(),Assumptions!$B$5,Assumptions!$B$6),NORMINV(RAND(),Assumptions!$B$8,Assumptions!$B$9))</f>
        <v>0.208545607554813</v>
      </c>
      <c r="N261" s="8" t="n">
        <f aca="true">NORMINV(RAND(),Assumptions!$B$14,Assumptions!$B$15)</f>
        <v>0.00328554795850481</v>
      </c>
      <c r="O261" s="8" t="n">
        <f aca="true">NORMINV(RAND(),Assumptions!$B$14,Assumptions!$B$15)</f>
        <v>0.038769125586487</v>
      </c>
      <c r="P261" s="8" t="n">
        <f aca="true">NORMINV(RAND(),Assumptions!$B$14,Assumptions!$B$15)</f>
        <v>0.00280247442523983</v>
      </c>
      <c r="Q261" s="8" t="n">
        <f aca="true">NORMINV(RAND(),Assumptions!$B$14,Assumptions!$B$15)</f>
        <v>0.0634475566185093</v>
      </c>
      <c r="R261" s="8" t="n">
        <f aca="true">NORMINV(RAND(),Assumptions!$B$14,Assumptions!$B$15)</f>
        <v>0.0448097083780337</v>
      </c>
      <c r="S261" s="8" t="n">
        <f aca="true">NORMINV(RAND(),Assumptions!$B$14,Assumptions!$B$15)</f>
        <v>0.0177201858663871</v>
      </c>
      <c r="T261" s="8" t="n">
        <f aca="false">Assumptions!$B$19*H261+(1-Assumptions!$B$19)*N261</f>
        <v>-0.0130408594607188</v>
      </c>
      <c r="U261" s="8" t="n">
        <f aca="false">Assumptions!$B$20*I261+(1-Assumptions!$B$20)*O261</f>
        <v>0.147299090675022</v>
      </c>
      <c r="V261" s="8" t="n">
        <f aca="false">Assumptions!$B$21*J261+(1-Assumptions!$B$21)*P261</f>
        <v>-0.346983481257043</v>
      </c>
      <c r="W261" s="8" t="n">
        <f aca="false">Assumptions!$B$22*K261+(1-Assumptions!$B$22)*Q261</f>
        <v>-0.0363137124894437</v>
      </c>
      <c r="X261" s="8" t="n">
        <f aca="false">Assumptions!$B$23*L261+(1-Assumptions!$B$23)*R261</f>
        <v>0.0666508249055326</v>
      </c>
      <c r="Y261" s="8" t="n">
        <f aca="false">Assumptions!$B$24*M261+(1-Assumptions!$B$24)*S261</f>
        <v>0.132215438879442</v>
      </c>
      <c r="Z261" s="6" t="n">
        <f aca="false">Assumptions!$B$27*(1+T261)</f>
        <v>296087.742161784</v>
      </c>
      <c r="AA261" s="6" t="n">
        <f aca="false">(Z261+Assumptions!$B$28)*(1+U261)</f>
        <v>511796.060943489</v>
      </c>
      <c r="AB261" s="6" t="n">
        <f aca="false">AA261*(1+V261)</f>
        <v>334211.282023675</v>
      </c>
      <c r="AC261" s="6" t="n">
        <f aca="false">AB261*(1+W261)</f>
        <v>322074.829617539</v>
      </c>
      <c r="AD261" s="6" t="n">
        <f aca="false">AC261*(1+X261)</f>
        <v>343541.382692857</v>
      </c>
      <c r="AE261" s="6" t="n">
        <f aca="false">AD261*(1+Y261)</f>
        <v>388962.857378844</v>
      </c>
      <c r="AF261" s="6" t="n">
        <f aca="false">Z261</f>
        <v>296087.742161784</v>
      </c>
      <c r="AG261" s="6" t="n">
        <f aca="false">MAX(AF261,AA261)</f>
        <v>511796.060943489</v>
      </c>
      <c r="AH261" s="6" t="n">
        <f aca="false">MAX(AG261,AB261)</f>
        <v>511796.060943489</v>
      </c>
      <c r="AI261" s="6" t="n">
        <f aca="false">MAX(AH261,AC261)</f>
        <v>511796.060943489</v>
      </c>
      <c r="AJ261" s="6" t="n">
        <f aca="false">MAX(AI261,AD261)</f>
        <v>511796.060943489</v>
      </c>
      <c r="AK261" s="6" t="n">
        <f aca="false">MAX(AJ261,AE261)</f>
        <v>511796.060943489</v>
      </c>
      <c r="AL261" s="8" t="n">
        <f aca="false">MIN(Z261/AF261-1,AA261/AG261-1,AB261/AH261-1,AC261/AI261-1,AD261/AJ261-1,AE261/AK261-1)</f>
        <v>-0.370696935369532</v>
      </c>
      <c r="AM261" s="6" t="n">
        <f aca="false">AE261-Assumptions!$B$35</f>
        <v>-52301.1392836598</v>
      </c>
    </row>
    <row r="262" customFormat="false" ht="15" hidden="false" customHeight="false" outlineLevel="0" collapsed="false">
      <c r="A262" s="0" t="n">
        <f aca="false">ROW()-1</f>
        <v>261</v>
      </c>
      <c r="B262" s="0" t="str">
        <f aca="true">IF(RAND()&lt;Assumptions!$B$11,"Bull","Bear")</f>
        <v>Bull</v>
      </c>
      <c r="C262" s="0" t="str">
        <f aca="true">IF(B262="Bull",IF(RAND()&lt;Assumptions!$B$7,"Bull","Bear"),IF(RAND()&lt;Assumptions!$B$10,"Bear","Bull"))</f>
        <v>Bull</v>
      </c>
      <c r="D262" s="0" t="str">
        <f aca="true">IF(C262="Bull",IF(RAND()&lt;Assumptions!$B$7,"Bull","Bear"),IF(RAND()&lt;Assumptions!$B$10,"Bear","Bull"))</f>
        <v>Bull</v>
      </c>
      <c r="E262" s="0" t="str">
        <f aca="true">IF(D262="Bull",IF(RAND()&lt;Assumptions!$B$7,"Bull","Bear"),IF(RAND()&lt;Assumptions!$B$10,"Bear","Bull"))</f>
        <v>Bull</v>
      </c>
      <c r="F262" s="0" t="str">
        <f aca="true">IF(E262="Bull",IF(RAND()&lt;Assumptions!$B$7,"Bull","Bear"),IF(RAND()&lt;Assumptions!$B$10,"Bear","Bull"))</f>
        <v>Bull</v>
      </c>
      <c r="G262" s="0" t="str">
        <f aca="true">IF(F262="Bull",IF(RAND()&lt;Assumptions!$B$7,"Bull","Bear"),IF(RAND()&lt;Assumptions!$B$10,"Bear","Bull"))</f>
        <v>Bull</v>
      </c>
      <c r="H262" s="8" t="n">
        <f aca="true">IF(B262="Bull",NORMINV(RAND(),Assumptions!$B$5,Assumptions!$B$6),NORMINV(RAND(),Assumptions!$B$8,Assumptions!$B$9))</f>
        <v>0.0325008974265557</v>
      </c>
      <c r="I262" s="8" t="n">
        <f aca="true">IF(C262="Bull",NORMINV(RAND(),Assumptions!$B$5,Assumptions!$B$6),NORMINV(RAND(),Assumptions!$B$8,Assumptions!$B$9))</f>
        <v>0.103378894459831</v>
      </c>
      <c r="J262" s="8" t="n">
        <f aca="true">IF(D262="Bull",NORMINV(RAND(),Assumptions!$B$5,Assumptions!$B$6),NORMINV(RAND(),Assumptions!$B$8,Assumptions!$B$9))</f>
        <v>0.00338283478375689</v>
      </c>
      <c r="K262" s="8" t="n">
        <f aca="true">IF(E262="Bull",NORMINV(RAND(),Assumptions!$B$5,Assumptions!$B$6),NORMINV(RAND(),Assumptions!$B$8,Assumptions!$B$9))</f>
        <v>0.233847517379146</v>
      </c>
      <c r="L262" s="8" t="n">
        <f aca="true">IF(F262="Bull",NORMINV(RAND(),Assumptions!$B$5,Assumptions!$B$6),NORMINV(RAND(),Assumptions!$B$8,Assumptions!$B$9))</f>
        <v>0.203983968782427</v>
      </c>
      <c r="M262" s="8" t="n">
        <f aca="true">IF(G262="Bull",NORMINV(RAND(),Assumptions!$B$5,Assumptions!$B$6),NORMINV(RAND(),Assumptions!$B$8,Assumptions!$B$9))</f>
        <v>0.117668507200839</v>
      </c>
      <c r="N262" s="8" t="n">
        <f aca="true">NORMINV(RAND(),Assumptions!$B$14,Assumptions!$B$15)</f>
        <v>0.0655096656283658</v>
      </c>
      <c r="O262" s="8" t="n">
        <f aca="true">NORMINV(RAND(),Assumptions!$B$14,Assumptions!$B$15)</f>
        <v>0.0690958538824689</v>
      </c>
      <c r="P262" s="8" t="n">
        <f aca="true">NORMINV(RAND(),Assumptions!$B$14,Assumptions!$B$15)</f>
        <v>0.0187986069927958</v>
      </c>
      <c r="Q262" s="8" t="n">
        <f aca="true">NORMINV(RAND(),Assumptions!$B$14,Assumptions!$B$15)</f>
        <v>0.00469741252134624</v>
      </c>
      <c r="R262" s="8" t="n">
        <f aca="true">NORMINV(RAND(),Assumptions!$B$14,Assumptions!$B$15)</f>
        <v>0.0813045743331221</v>
      </c>
      <c r="S262" s="8" t="n">
        <f aca="true">NORMINV(RAND(),Assumptions!$B$14,Assumptions!$B$15)</f>
        <v>0.0488189908563592</v>
      </c>
      <c r="T262" s="8" t="n">
        <f aca="false">Assumptions!$B$19*H262+(1-Assumptions!$B$19)*N262</f>
        <v>0.0325008974265557</v>
      </c>
      <c r="U262" s="8" t="n">
        <f aca="false">Assumptions!$B$20*I262+(1-Assumptions!$B$20)*O262</f>
        <v>0.103378894459831</v>
      </c>
      <c r="V262" s="8" t="n">
        <f aca="false">Assumptions!$B$21*J262+(1-Assumptions!$B$21)*P262</f>
        <v>0.00338283478375689</v>
      </c>
      <c r="W262" s="8" t="n">
        <f aca="false">Assumptions!$B$22*K262+(1-Assumptions!$B$22)*Q262</f>
        <v>0.233847517379146</v>
      </c>
      <c r="X262" s="8" t="n">
        <f aca="false">Assumptions!$B$23*L262+(1-Assumptions!$B$23)*R262</f>
        <v>0.179448089892566</v>
      </c>
      <c r="Y262" s="8" t="n">
        <f aca="false">Assumptions!$B$24*M262+(1-Assumptions!$B$24)*S262</f>
        <v>0.0901287006630468</v>
      </c>
      <c r="Z262" s="6" t="n">
        <f aca="false">Assumptions!$B$27*(1+T262)</f>
        <v>309750.269227967</v>
      </c>
      <c r="AA262" s="6" t="n">
        <f aca="false">(Z262+Assumptions!$B$28)*(1+U262)</f>
        <v>507278.743788364</v>
      </c>
      <c r="AB262" s="6" t="n">
        <f aca="false">AA262*(1+V262)</f>
        <v>508994.783967911</v>
      </c>
      <c r="AC262" s="6" t="n">
        <f aca="false">AB262*(1+W262)</f>
        <v>628021.950557742</v>
      </c>
      <c r="AD262" s="6" t="n">
        <f aca="false">AC262*(1+X262)</f>
        <v>740719.289995933</v>
      </c>
      <c r="AE262" s="6" t="n">
        <f aca="false">AD262*(1+Y262)</f>
        <v>807479.357159321</v>
      </c>
      <c r="AF262" s="6" t="n">
        <f aca="false">Z262</f>
        <v>309750.269227967</v>
      </c>
      <c r="AG262" s="6" t="n">
        <f aca="false">MAX(AF262,AA262)</f>
        <v>507278.743788364</v>
      </c>
      <c r="AH262" s="6" t="n">
        <f aca="false">MAX(AG262,AB262)</f>
        <v>508994.783967911</v>
      </c>
      <c r="AI262" s="6" t="n">
        <f aca="false">MAX(AH262,AC262)</f>
        <v>628021.950557742</v>
      </c>
      <c r="AJ262" s="6" t="n">
        <f aca="false">MAX(AI262,AD262)</f>
        <v>740719.289995933</v>
      </c>
      <c r="AK262" s="6" t="n">
        <f aca="false">MAX(AJ262,AE262)</f>
        <v>807479.357159321</v>
      </c>
      <c r="AL262" s="8" t="n">
        <f aca="false">MIN(Z262/AF262-1,AA262/AG262-1,AB262/AH262-1,AC262/AI262-1,AD262/AJ262-1,AE262/AK262-1)</f>
        <v>0</v>
      </c>
      <c r="AM262" s="6" t="n">
        <f aca="false">AE262-Assumptions!$B$35</f>
        <v>366215.360496817</v>
      </c>
    </row>
    <row r="263" customFormat="false" ht="15" hidden="false" customHeight="false" outlineLevel="0" collapsed="false">
      <c r="A263" s="0" t="n">
        <f aca="false">ROW()-1</f>
        <v>262</v>
      </c>
      <c r="B263" s="0" t="str">
        <f aca="true">IF(RAND()&lt;Assumptions!$B$11,"Bull","Bear")</f>
        <v>Bull</v>
      </c>
      <c r="C263" s="0" t="str">
        <f aca="true">IF(B263="Bull",IF(RAND()&lt;Assumptions!$B$7,"Bull","Bear"),IF(RAND()&lt;Assumptions!$B$10,"Bear","Bull"))</f>
        <v>Bull</v>
      </c>
      <c r="D263" s="0" t="str">
        <f aca="true">IF(C263="Bull",IF(RAND()&lt;Assumptions!$B$7,"Bull","Bear"),IF(RAND()&lt;Assumptions!$B$10,"Bear","Bull"))</f>
        <v>Bull</v>
      </c>
      <c r="E263" s="0" t="str">
        <f aca="true">IF(D263="Bull",IF(RAND()&lt;Assumptions!$B$7,"Bull","Bear"),IF(RAND()&lt;Assumptions!$B$10,"Bear","Bull"))</f>
        <v>Bull</v>
      </c>
      <c r="F263" s="0" t="str">
        <f aca="true">IF(E263="Bull",IF(RAND()&lt;Assumptions!$B$7,"Bull","Bear"),IF(RAND()&lt;Assumptions!$B$10,"Bear","Bull"))</f>
        <v>Bull</v>
      </c>
      <c r="G263" s="0" t="str">
        <f aca="true">IF(F263="Bull",IF(RAND()&lt;Assumptions!$B$7,"Bull","Bear"),IF(RAND()&lt;Assumptions!$B$10,"Bear","Bull"))</f>
        <v>Bull</v>
      </c>
      <c r="H263" s="8" t="n">
        <f aca="true">IF(B263="Bull",NORMINV(RAND(),Assumptions!$B$5,Assumptions!$B$6),NORMINV(RAND(),Assumptions!$B$8,Assumptions!$B$9))</f>
        <v>-0.0324924231110836</v>
      </c>
      <c r="I263" s="8" t="n">
        <f aca="true">IF(C263="Bull",NORMINV(RAND(),Assumptions!$B$5,Assumptions!$B$6),NORMINV(RAND(),Assumptions!$B$8,Assumptions!$B$9))</f>
        <v>0.201420178397493</v>
      </c>
      <c r="J263" s="8" t="n">
        <f aca="true">IF(D263="Bull",NORMINV(RAND(),Assumptions!$B$5,Assumptions!$B$6),NORMINV(RAND(),Assumptions!$B$8,Assumptions!$B$9))</f>
        <v>0.330879003142257</v>
      </c>
      <c r="K263" s="8" t="n">
        <f aca="true">IF(E263="Bull",NORMINV(RAND(),Assumptions!$B$5,Assumptions!$B$6),NORMINV(RAND(),Assumptions!$B$8,Assumptions!$B$9))</f>
        <v>0.290901440621552</v>
      </c>
      <c r="L263" s="8" t="n">
        <f aca="true">IF(F263="Bull",NORMINV(RAND(),Assumptions!$B$5,Assumptions!$B$6),NORMINV(RAND(),Assumptions!$B$8,Assumptions!$B$9))</f>
        <v>0.241345901498511</v>
      </c>
      <c r="M263" s="8" t="n">
        <f aca="true">IF(G263="Bull",NORMINV(RAND(),Assumptions!$B$5,Assumptions!$B$6),NORMINV(RAND(),Assumptions!$B$8,Assumptions!$B$9))</f>
        <v>0.236822331463009</v>
      </c>
      <c r="N263" s="8" t="n">
        <f aca="true">NORMINV(RAND(),Assumptions!$B$14,Assumptions!$B$15)</f>
        <v>0.0205784365381174</v>
      </c>
      <c r="O263" s="8" t="n">
        <f aca="true">NORMINV(RAND(),Assumptions!$B$14,Assumptions!$B$15)</f>
        <v>0.101299058839789</v>
      </c>
      <c r="P263" s="8" t="n">
        <f aca="true">NORMINV(RAND(),Assumptions!$B$14,Assumptions!$B$15)</f>
        <v>0.0753527221622906</v>
      </c>
      <c r="Q263" s="8" t="n">
        <f aca="true">NORMINV(RAND(),Assumptions!$B$14,Assumptions!$B$15)</f>
        <v>0.043437462660147</v>
      </c>
      <c r="R263" s="8" t="n">
        <f aca="true">NORMINV(RAND(),Assumptions!$B$14,Assumptions!$B$15)</f>
        <v>0.062643903958272</v>
      </c>
      <c r="S263" s="8" t="n">
        <f aca="true">NORMINV(RAND(),Assumptions!$B$14,Assumptions!$B$15)</f>
        <v>-0.0181394518098919</v>
      </c>
      <c r="T263" s="8" t="n">
        <f aca="false">Assumptions!$B$19*H263+(1-Assumptions!$B$19)*N263</f>
        <v>-0.0324924231110836</v>
      </c>
      <c r="U263" s="8" t="n">
        <f aca="false">Assumptions!$B$20*I263+(1-Assumptions!$B$20)*O263</f>
        <v>0.201420178397493</v>
      </c>
      <c r="V263" s="8" t="n">
        <f aca="false">Assumptions!$B$21*J263+(1-Assumptions!$B$21)*P263</f>
        <v>0.330879003142257</v>
      </c>
      <c r="W263" s="8" t="n">
        <f aca="false">Assumptions!$B$22*K263+(1-Assumptions!$B$22)*Q263</f>
        <v>0.290901440621552</v>
      </c>
      <c r="X263" s="8" t="n">
        <f aca="false">Assumptions!$B$23*L263+(1-Assumptions!$B$23)*R263</f>
        <v>0.205605501990463</v>
      </c>
      <c r="Y263" s="8" t="n">
        <f aca="false">Assumptions!$B$24*M263+(1-Assumptions!$B$24)*S263</f>
        <v>0.134837618153849</v>
      </c>
      <c r="Z263" s="6" t="n">
        <f aca="false">Assumptions!$B$27*(1+T263)</f>
        <v>290252.273066675</v>
      </c>
      <c r="AA263" s="6" t="n">
        <f aca="false">(Z263+Assumptions!$B$28)*(1+U263)</f>
        <v>528927.964447666</v>
      </c>
      <c r="AB263" s="6" t="n">
        <f aca="false">AA263*(1+V263)</f>
        <v>703939.122058173</v>
      </c>
      <c r="AC263" s="6" t="n">
        <f aca="false">AB263*(1+W263)</f>
        <v>908716.026774766</v>
      </c>
      <c r="AD263" s="6" t="n">
        <f aca="false">AC263*(1+X263)</f>
        <v>1095553.04162657</v>
      </c>
      <c r="AE263" s="6" t="n">
        <f aca="false">AD263*(1+Y263)</f>
        <v>1243274.8043207</v>
      </c>
      <c r="AF263" s="6" t="n">
        <f aca="false">Z263</f>
        <v>290252.273066675</v>
      </c>
      <c r="AG263" s="6" t="n">
        <f aca="false">MAX(AF263,AA263)</f>
        <v>528927.964447666</v>
      </c>
      <c r="AH263" s="6" t="n">
        <f aca="false">MAX(AG263,AB263)</f>
        <v>703939.122058173</v>
      </c>
      <c r="AI263" s="6" t="n">
        <f aca="false">MAX(AH263,AC263)</f>
        <v>908716.026774766</v>
      </c>
      <c r="AJ263" s="6" t="n">
        <f aca="false">MAX(AI263,AD263)</f>
        <v>1095553.04162657</v>
      </c>
      <c r="AK263" s="6" t="n">
        <f aca="false">MAX(AJ263,AE263)</f>
        <v>1243274.8043207</v>
      </c>
      <c r="AL263" s="8" t="n">
        <f aca="false">MIN(Z263/AF263-1,AA263/AG263-1,AB263/AH263-1,AC263/AI263-1,AD263/AJ263-1,AE263/AK263-1)</f>
        <v>0</v>
      </c>
      <c r="AM263" s="6" t="n">
        <f aca="false">AE263-Assumptions!$B$35</f>
        <v>802010.807658199</v>
      </c>
    </row>
    <row r="264" customFormat="false" ht="15" hidden="false" customHeight="false" outlineLevel="0" collapsed="false">
      <c r="A264" s="0" t="n">
        <f aca="false">ROW()-1</f>
        <v>263</v>
      </c>
      <c r="B264" s="0" t="str">
        <f aca="true">IF(RAND()&lt;Assumptions!$B$11,"Bull","Bear")</f>
        <v>Bull</v>
      </c>
      <c r="C264" s="0" t="str">
        <f aca="true">IF(B264="Bull",IF(RAND()&lt;Assumptions!$B$7,"Bull","Bear"),IF(RAND()&lt;Assumptions!$B$10,"Bear","Bull"))</f>
        <v>Bull</v>
      </c>
      <c r="D264" s="0" t="str">
        <f aca="true">IF(C264="Bull",IF(RAND()&lt;Assumptions!$B$7,"Bull","Bear"),IF(RAND()&lt;Assumptions!$B$10,"Bear","Bull"))</f>
        <v>Bear</v>
      </c>
      <c r="E264" s="0" t="str">
        <f aca="true">IF(D264="Bull",IF(RAND()&lt;Assumptions!$B$7,"Bull","Bear"),IF(RAND()&lt;Assumptions!$B$10,"Bear","Bull"))</f>
        <v>Bear</v>
      </c>
      <c r="F264" s="0" t="str">
        <f aca="true">IF(E264="Bull",IF(RAND()&lt;Assumptions!$B$7,"Bull","Bear"),IF(RAND()&lt;Assumptions!$B$10,"Bear","Bull"))</f>
        <v>Bull</v>
      </c>
      <c r="G264" s="0" t="str">
        <f aca="true">IF(F264="Bull",IF(RAND()&lt;Assumptions!$B$7,"Bull","Bear"),IF(RAND()&lt;Assumptions!$B$10,"Bear","Bull"))</f>
        <v>Bull</v>
      </c>
      <c r="H264" s="8" t="n">
        <f aca="true">IF(B264="Bull",NORMINV(RAND(),Assumptions!$B$5,Assumptions!$B$6),NORMINV(RAND(),Assumptions!$B$8,Assumptions!$B$9))</f>
        <v>0.0651433899664142</v>
      </c>
      <c r="I264" s="8" t="n">
        <f aca="true">IF(C264="Bull",NORMINV(RAND(),Assumptions!$B$5,Assumptions!$B$6),NORMINV(RAND(),Assumptions!$B$8,Assumptions!$B$9))</f>
        <v>0.197723160328655</v>
      </c>
      <c r="J264" s="8" t="n">
        <f aca="true">IF(D264="Bull",NORMINV(RAND(),Assumptions!$B$5,Assumptions!$B$6),NORMINV(RAND(),Assumptions!$B$8,Assumptions!$B$9))</f>
        <v>-0.339330905531812</v>
      </c>
      <c r="K264" s="8" t="n">
        <f aca="true">IF(E264="Bull",NORMINV(RAND(),Assumptions!$B$5,Assumptions!$B$6),NORMINV(RAND(),Assumptions!$B$8,Assumptions!$B$9))</f>
        <v>-0.417304926770776</v>
      </c>
      <c r="L264" s="8" t="n">
        <f aca="true">IF(F264="Bull",NORMINV(RAND(),Assumptions!$B$5,Assumptions!$B$6),NORMINV(RAND(),Assumptions!$B$8,Assumptions!$B$9))</f>
        <v>0.0374912067624606</v>
      </c>
      <c r="M264" s="8" t="n">
        <f aca="true">IF(G264="Bull",NORMINV(RAND(),Assumptions!$B$5,Assumptions!$B$6),NORMINV(RAND(),Assumptions!$B$8,Assumptions!$B$9))</f>
        <v>0.278378501225242</v>
      </c>
      <c r="N264" s="8" t="n">
        <f aca="true">NORMINV(RAND(),Assumptions!$B$14,Assumptions!$B$15)</f>
        <v>0.0399996142670355</v>
      </c>
      <c r="O264" s="8" t="n">
        <f aca="true">NORMINV(RAND(),Assumptions!$B$14,Assumptions!$B$15)</f>
        <v>0.00671256094857461</v>
      </c>
      <c r="P264" s="8" t="n">
        <f aca="true">NORMINV(RAND(),Assumptions!$B$14,Assumptions!$B$15)</f>
        <v>0.0259736276174574</v>
      </c>
      <c r="Q264" s="8" t="n">
        <f aca="true">NORMINV(RAND(),Assumptions!$B$14,Assumptions!$B$15)</f>
        <v>0.0636634670160207</v>
      </c>
      <c r="R264" s="8" t="n">
        <f aca="true">NORMINV(RAND(),Assumptions!$B$14,Assumptions!$B$15)</f>
        <v>0.0277243719972278</v>
      </c>
      <c r="S264" s="8" t="n">
        <f aca="true">NORMINV(RAND(),Assumptions!$B$14,Assumptions!$B$15)</f>
        <v>0.0470441688404855</v>
      </c>
      <c r="T264" s="8" t="n">
        <f aca="false">Assumptions!$B$19*H264+(1-Assumptions!$B$19)*N264</f>
        <v>0.0651433899664142</v>
      </c>
      <c r="U264" s="8" t="n">
        <f aca="false">Assumptions!$B$20*I264+(1-Assumptions!$B$20)*O264</f>
        <v>0.197723160328655</v>
      </c>
      <c r="V264" s="8" t="n">
        <f aca="false">Assumptions!$B$21*J264+(1-Assumptions!$B$21)*P264</f>
        <v>-0.339330905531812</v>
      </c>
      <c r="W264" s="8" t="n">
        <f aca="false">Assumptions!$B$22*K264+(1-Assumptions!$B$22)*Q264</f>
        <v>-0.417304926770776</v>
      </c>
      <c r="X264" s="8" t="n">
        <f aca="false">Assumptions!$B$23*L264+(1-Assumptions!$B$23)*R264</f>
        <v>0.035537839809414</v>
      </c>
      <c r="Y264" s="8" t="n">
        <f aca="false">Assumptions!$B$24*M264+(1-Assumptions!$B$24)*S264</f>
        <v>0.18584476827134</v>
      </c>
      <c r="Z264" s="6" t="n">
        <f aca="false">Assumptions!$B$27*(1+T264)</f>
        <v>319543.016989924</v>
      </c>
      <c r="AA264" s="6" t="n">
        <f aca="false">(Z264+Assumptions!$B$28)*(1+U264)</f>
        <v>562382.546219423</v>
      </c>
      <c r="AB264" s="6" t="n">
        <f aca="false">AA264*(1+V264)</f>
        <v>371548.7675555</v>
      </c>
      <c r="AC264" s="6" t="n">
        <f aca="false">AB264*(1+W264)</f>
        <v>216499.63631898</v>
      </c>
      <c r="AD264" s="6" t="n">
        <f aca="false">AC264*(1+X264)</f>
        <v>224193.565713281</v>
      </c>
      <c r="AE264" s="6" t="n">
        <f aca="false">AD264*(1+Y264)</f>
        <v>265858.766981191</v>
      </c>
      <c r="AF264" s="6" t="n">
        <f aca="false">Z264</f>
        <v>319543.016989924</v>
      </c>
      <c r="AG264" s="6" t="n">
        <f aca="false">MAX(AF264,AA264)</f>
        <v>562382.546219423</v>
      </c>
      <c r="AH264" s="6" t="n">
        <f aca="false">MAX(AG264,AB264)</f>
        <v>562382.546219423</v>
      </c>
      <c r="AI264" s="6" t="n">
        <f aca="false">MAX(AH264,AC264)</f>
        <v>562382.546219423</v>
      </c>
      <c r="AJ264" s="6" t="n">
        <f aca="false">MAX(AI264,AD264)</f>
        <v>562382.546219423</v>
      </c>
      <c r="AK264" s="6" t="n">
        <f aca="false">MAX(AJ264,AE264)</f>
        <v>562382.546219423</v>
      </c>
      <c r="AL264" s="8" t="n">
        <f aca="false">MIN(Z264/AF264-1,AA264/AG264-1,AB264/AH264-1,AC264/AI264-1,AD264/AJ264-1,AE264/AK264-1)</f>
        <v>-0.615031373618574</v>
      </c>
      <c r="AM264" s="6" t="n">
        <f aca="false">AE264-Assumptions!$B$35</f>
        <v>-175405.229681313</v>
      </c>
    </row>
    <row r="265" customFormat="false" ht="15" hidden="false" customHeight="false" outlineLevel="0" collapsed="false">
      <c r="A265" s="0" t="n">
        <f aca="false">ROW()-1</f>
        <v>264</v>
      </c>
      <c r="B265" s="0" t="str">
        <f aca="true">IF(RAND()&lt;Assumptions!$B$11,"Bull","Bear")</f>
        <v>Bull</v>
      </c>
      <c r="C265" s="0" t="str">
        <f aca="true">IF(B265="Bull",IF(RAND()&lt;Assumptions!$B$7,"Bull","Bear"),IF(RAND()&lt;Assumptions!$B$10,"Bear","Bull"))</f>
        <v>Bull</v>
      </c>
      <c r="D265" s="0" t="str">
        <f aca="true">IF(C265="Bull",IF(RAND()&lt;Assumptions!$B$7,"Bull","Bear"),IF(RAND()&lt;Assumptions!$B$10,"Bear","Bull"))</f>
        <v>Bull</v>
      </c>
      <c r="E265" s="0" t="str">
        <f aca="true">IF(D265="Bull",IF(RAND()&lt;Assumptions!$B$7,"Bull","Bear"),IF(RAND()&lt;Assumptions!$B$10,"Bear","Bull"))</f>
        <v>Bull</v>
      </c>
      <c r="F265" s="0" t="str">
        <f aca="true">IF(E265="Bull",IF(RAND()&lt;Assumptions!$B$7,"Bull","Bear"),IF(RAND()&lt;Assumptions!$B$10,"Bear","Bull"))</f>
        <v>Bear</v>
      </c>
      <c r="G265" s="0" t="str">
        <f aca="true">IF(F265="Bull",IF(RAND()&lt;Assumptions!$B$7,"Bull","Bear"),IF(RAND()&lt;Assumptions!$B$10,"Bear","Bull"))</f>
        <v>Bear</v>
      </c>
      <c r="H265" s="8" t="n">
        <f aca="true">IF(B265="Bull",NORMINV(RAND(),Assumptions!$B$5,Assumptions!$B$6),NORMINV(RAND(),Assumptions!$B$8,Assumptions!$B$9))</f>
        <v>0.125102348017149</v>
      </c>
      <c r="I265" s="8" t="n">
        <f aca="true">IF(C265="Bull",NORMINV(RAND(),Assumptions!$B$5,Assumptions!$B$6),NORMINV(RAND(),Assumptions!$B$8,Assumptions!$B$9))</f>
        <v>0.064311807119304</v>
      </c>
      <c r="J265" s="8" t="n">
        <f aca="true">IF(D265="Bull",NORMINV(RAND(),Assumptions!$B$5,Assumptions!$B$6),NORMINV(RAND(),Assumptions!$B$8,Assumptions!$B$9))</f>
        <v>0.22371758551759</v>
      </c>
      <c r="K265" s="8" t="n">
        <f aca="true">IF(E265="Bull",NORMINV(RAND(),Assumptions!$B$5,Assumptions!$B$6),NORMINV(RAND(),Assumptions!$B$8,Assumptions!$B$9))</f>
        <v>0.263195465679405</v>
      </c>
      <c r="L265" s="8" t="n">
        <f aca="true">IF(F265="Bull",NORMINV(RAND(),Assumptions!$B$5,Assumptions!$B$6),NORMINV(RAND(),Assumptions!$B$8,Assumptions!$B$9))</f>
        <v>-0.157393395583455</v>
      </c>
      <c r="M265" s="8" t="n">
        <f aca="true">IF(G265="Bull",NORMINV(RAND(),Assumptions!$B$5,Assumptions!$B$6),NORMINV(RAND(),Assumptions!$B$8,Assumptions!$B$9))</f>
        <v>-0.250354708131399</v>
      </c>
      <c r="N265" s="8" t="n">
        <f aca="true">NORMINV(RAND(),Assumptions!$B$14,Assumptions!$B$15)</f>
        <v>0.0452469349324972</v>
      </c>
      <c r="O265" s="8" t="n">
        <f aca="true">NORMINV(RAND(),Assumptions!$B$14,Assumptions!$B$15)</f>
        <v>0.056657341002808</v>
      </c>
      <c r="P265" s="8" t="n">
        <f aca="true">NORMINV(RAND(),Assumptions!$B$14,Assumptions!$B$15)</f>
        <v>0.0528946856851565</v>
      </c>
      <c r="Q265" s="8" t="n">
        <f aca="true">NORMINV(RAND(),Assumptions!$B$14,Assumptions!$B$15)</f>
        <v>0.0880662516100174</v>
      </c>
      <c r="R265" s="8" t="n">
        <f aca="true">NORMINV(RAND(),Assumptions!$B$14,Assumptions!$B$15)</f>
        <v>-0.00972777440928556</v>
      </c>
      <c r="S265" s="8" t="n">
        <f aca="true">NORMINV(RAND(),Assumptions!$B$14,Assumptions!$B$15)</f>
        <v>0.0542015099825994</v>
      </c>
      <c r="T265" s="8" t="n">
        <f aca="false">Assumptions!$B$19*H265+(1-Assumptions!$B$19)*N265</f>
        <v>0.125102348017149</v>
      </c>
      <c r="U265" s="8" t="n">
        <f aca="false">Assumptions!$B$20*I265+(1-Assumptions!$B$20)*O265</f>
        <v>0.064311807119304</v>
      </c>
      <c r="V265" s="8" t="n">
        <f aca="false">Assumptions!$B$21*J265+(1-Assumptions!$B$21)*P265</f>
        <v>0.22371758551759</v>
      </c>
      <c r="W265" s="8" t="n">
        <f aca="false">Assumptions!$B$22*K265+(1-Assumptions!$B$22)*Q265</f>
        <v>0.263195465679405</v>
      </c>
      <c r="X265" s="8" t="n">
        <f aca="false">Assumptions!$B$23*L265+(1-Assumptions!$B$23)*R265</f>
        <v>-0.127860271348621</v>
      </c>
      <c r="Y265" s="8" t="n">
        <f aca="false">Assumptions!$B$24*M265+(1-Assumptions!$B$24)*S265</f>
        <v>-0.1285322208858</v>
      </c>
      <c r="Z265" s="6" t="n">
        <f aca="false">Assumptions!$B$27*(1+T265)</f>
        <v>337530.704405145</v>
      </c>
      <c r="AA265" s="6" t="n">
        <f aca="false">(Z265+Assumptions!$B$28)*(1+U265)</f>
        <v>518884.685031587</v>
      </c>
      <c r="AB265" s="6" t="n">
        <f aca="false">AA265*(1+V265)</f>
        <v>634968.313928908</v>
      </c>
      <c r="AC265" s="6" t="n">
        <f aca="false">AB265*(1+W265)</f>
        <v>802089.095005094</v>
      </c>
      <c r="AD265" s="6" t="n">
        <f aca="false">AC265*(1+X265)</f>
        <v>699533.765671973</v>
      </c>
      <c r="AE265" s="6" t="n">
        <f aca="false">AD265*(1+Y265)</f>
        <v>609621.137185548</v>
      </c>
      <c r="AF265" s="6" t="n">
        <f aca="false">Z265</f>
        <v>337530.704405145</v>
      </c>
      <c r="AG265" s="6" t="n">
        <f aca="false">MAX(AF265,AA265)</f>
        <v>518884.685031587</v>
      </c>
      <c r="AH265" s="6" t="n">
        <f aca="false">MAX(AG265,AB265)</f>
        <v>634968.313928908</v>
      </c>
      <c r="AI265" s="6" t="n">
        <f aca="false">MAX(AH265,AC265)</f>
        <v>802089.095005094</v>
      </c>
      <c r="AJ265" s="6" t="n">
        <f aca="false">MAX(AI265,AD265)</f>
        <v>802089.095005094</v>
      </c>
      <c r="AK265" s="6" t="n">
        <f aca="false">MAX(AJ265,AE265)</f>
        <v>802089.095005094</v>
      </c>
      <c r="AL265" s="8" t="n">
        <f aca="false">MIN(Z265/AF265-1,AA265/AG265-1,AB265/AH265-1,AC265/AI265-1,AD265/AJ265-1,AE265/AK265-1)</f>
        <v>-0.239958327594921</v>
      </c>
      <c r="AM265" s="6" t="n">
        <f aca="false">AE265-Assumptions!$B$35</f>
        <v>168357.140523044</v>
      </c>
    </row>
    <row r="266" customFormat="false" ht="15" hidden="false" customHeight="false" outlineLevel="0" collapsed="false">
      <c r="A266" s="0" t="n">
        <f aca="false">ROW()-1</f>
        <v>265</v>
      </c>
      <c r="B266" s="0" t="str">
        <f aca="true">IF(RAND()&lt;Assumptions!$B$11,"Bull","Bear")</f>
        <v>Bull</v>
      </c>
      <c r="C266" s="0" t="str">
        <f aca="true">IF(B266="Bull",IF(RAND()&lt;Assumptions!$B$7,"Bull","Bear"),IF(RAND()&lt;Assumptions!$B$10,"Bear","Bull"))</f>
        <v>Bull</v>
      </c>
      <c r="D266" s="0" t="str">
        <f aca="true">IF(C266="Bull",IF(RAND()&lt;Assumptions!$B$7,"Bull","Bear"),IF(RAND()&lt;Assumptions!$B$10,"Bear","Bull"))</f>
        <v>Bull</v>
      </c>
      <c r="E266" s="0" t="str">
        <f aca="true">IF(D266="Bull",IF(RAND()&lt;Assumptions!$B$7,"Bull","Bear"),IF(RAND()&lt;Assumptions!$B$10,"Bear","Bull"))</f>
        <v>Bear</v>
      </c>
      <c r="F266" s="0" t="str">
        <f aca="true">IF(E266="Bull",IF(RAND()&lt;Assumptions!$B$7,"Bull","Bear"),IF(RAND()&lt;Assumptions!$B$10,"Bear","Bull"))</f>
        <v>Bear</v>
      </c>
      <c r="G266" s="0" t="str">
        <f aca="true">IF(F266="Bull",IF(RAND()&lt;Assumptions!$B$7,"Bull","Bear"),IF(RAND()&lt;Assumptions!$B$10,"Bear","Bull"))</f>
        <v>Bear</v>
      </c>
      <c r="H266" s="8" t="n">
        <f aca="true">IF(B266="Bull",NORMINV(RAND(),Assumptions!$B$5,Assumptions!$B$6),NORMINV(RAND(),Assumptions!$B$8,Assumptions!$B$9))</f>
        <v>0.294596899373683</v>
      </c>
      <c r="I266" s="8" t="n">
        <f aca="true">IF(C266="Bull",NORMINV(RAND(),Assumptions!$B$5,Assumptions!$B$6),NORMINV(RAND(),Assumptions!$B$8,Assumptions!$B$9))</f>
        <v>-0.0041012076089311</v>
      </c>
      <c r="J266" s="8" t="n">
        <f aca="true">IF(D266="Bull",NORMINV(RAND(),Assumptions!$B$5,Assumptions!$B$6),NORMINV(RAND(),Assumptions!$B$8,Assumptions!$B$9))</f>
        <v>0.24754363988439</v>
      </c>
      <c r="K266" s="8" t="n">
        <f aca="true">IF(E266="Bull",NORMINV(RAND(),Assumptions!$B$5,Assumptions!$B$6),NORMINV(RAND(),Assumptions!$B$8,Assumptions!$B$9))</f>
        <v>-0.13565142530541</v>
      </c>
      <c r="L266" s="8" t="n">
        <f aca="true">IF(F266="Bull",NORMINV(RAND(),Assumptions!$B$5,Assumptions!$B$6),NORMINV(RAND(),Assumptions!$B$8,Assumptions!$B$9))</f>
        <v>-0.0407663572208858</v>
      </c>
      <c r="M266" s="8" t="n">
        <f aca="true">IF(G266="Bull",NORMINV(RAND(),Assumptions!$B$5,Assumptions!$B$6),NORMINV(RAND(),Assumptions!$B$8,Assumptions!$B$9))</f>
        <v>0.142355955172942</v>
      </c>
      <c r="N266" s="8" t="n">
        <f aca="true">NORMINV(RAND(),Assumptions!$B$14,Assumptions!$B$15)</f>
        <v>0.0773855918140309</v>
      </c>
      <c r="O266" s="8" t="n">
        <f aca="true">NORMINV(RAND(),Assumptions!$B$14,Assumptions!$B$15)</f>
        <v>0.0486767789365644</v>
      </c>
      <c r="P266" s="8" t="n">
        <f aca="true">NORMINV(RAND(),Assumptions!$B$14,Assumptions!$B$15)</f>
        <v>0.0724693892045095</v>
      </c>
      <c r="Q266" s="8" t="n">
        <f aca="true">NORMINV(RAND(),Assumptions!$B$14,Assumptions!$B$15)</f>
        <v>0.0320686494443038</v>
      </c>
      <c r="R266" s="8" t="n">
        <f aca="true">NORMINV(RAND(),Assumptions!$B$14,Assumptions!$B$15)</f>
        <v>0.0452936110033175</v>
      </c>
      <c r="S266" s="8" t="n">
        <f aca="true">NORMINV(RAND(),Assumptions!$B$14,Assumptions!$B$15)</f>
        <v>0.047912978782043</v>
      </c>
      <c r="T266" s="8" t="n">
        <f aca="false">Assumptions!$B$19*H266+(1-Assumptions!$B$19)*N266</f>
        <v>0.294596899373683</v>
      </c>
      <c r="U266" s="8" t="n">
        <f aca="false">Assumptions!$B$20*I266+(1-Assumptions!$B$20)*O266</f>
        <v>-0.0041012076089311</v>
      </c>
      <c r="V266" s="8" t="n">
        <f aca="false">Assumptions!$B$21*J266+(1-Assumptions!$B$21)*P266</f>
        <v>0.24754363988439</v>
      </c>
      <c r="W266" s="8" t="n">
        <f aca="false">Assumptions!$B$22*K266+(1-Assumptions!$B$22)*Q266</f>
        <v>-0.13565142530541</v>
      </c>
      <c r="X266" s="8" t="n">
        <f aca="false">Assumptions!$B$23*L266+(1-Assumptions!$B$23)*R266</f>
        <v>-0.0235543635760451</v>
      </c>
      <c r="Y266" s="8" t="n">
        <f aca="false">Assumptions!$B$24*M266+(1-Assumptions!$B$24)*S266</f>
        <v>0.104578764616582</v>
      </c>
      <c r="Z266" s="6" t="n">
        <f aca="false">Assumptions!$B$27*(1+T266)</f>
        <v>388379.069812105</v>
      </c>
      <c r="AA266" s="6" t="n">
        <f aca="false">(Z266+Assumptions!$B$28)*(1+U266)</f>
        <v>536171.065474502</v>
      </c>
      <c r="AB266" s="6" t="n">
        <f aca="false">AA266*(1+V266)</f>
        <v>668896.802622752</v>
      </c>
      <c r="AC266" s="6" t="n">
        <f aca="false">AB266*(1+W266)</f>
        <v>578159.997964744</v>
      </c>
      <c r="AD266" s="6" t="n">
        <f aca="false">AC266*(1+X266)</f>
        <v>564541.807167557</v>
      </c>
      <c r="AE266" s="6" t="n">
        <f aca="false">AD266*(1+Y266)</f>
        <v>623580.891935553</v>
      </c>
      <c r="AF266" s="6" t="n">
        <f aca="false">Z266</f>
        <v>388379.069812105</v>
      </c>
      <c r="AG266" s="6" t="n">
        <f aca="false">MAX(AF266,AA266)</f>
        <v>536171.065474502</v>
      </c>
      <c r="AH266" s="6" t="n">
        <f aca="false">MAX(AG266,AB266)</f>
        <v>668896.802622752</v>
      </c>
      <c r="AI266" s="6" t="n">
        <f aca="false">MAX(AH266,AC266)</f>
        <v>668896.802622752</v>
      </c>
      <c r="AJ266" s="6" t="n">
        <f aca="false">MAX(AI266,AD266)</f>
        <v>668896.802622752</v>
      </c>
      <c r="AK266" s="6" t="n">
        <f aca="false">MAX(AJ266,AE266)</f>
        <v>668896.802622752</v>
      </c>
      <c r="AL266" s="8" t="n">
        <f aca="false">MIN(Z266/AF266-1,AA266/AG266-1,AB266/AH266-1,AC266/AI266-1,AD266/AJ266-1,AE266/AK266-1)</f>
        <v>-0.156010605890203</v>
      </c>
      <c r="AM266" s="6" t="n">
        <f aca="false">AE266-Assumptions!$B$35</f>
        <v>182316.895273049</v>
      </c>
    </row>
    <row r="267" customFormat="false" ht="15" hidden="false" customHeight="false" outlineLevel="0" collapsed="false">
      <c r="A267" s="0" t="n">
        <f aca="false">ROW()-1</f>
        <v>266</v>
      </c>
      <c r="B267" s="0" t="str">
        <f aca="true">IF(RAND()&lt;Assumptions!$B$11,"Bull","Bear")</f>
        <v>Bull</v>
      </c>
      <c r="C267" s="0" t="str">
        <f aca="true">IF(B267="Bull",IF(RAND()&lt;Assumptions!$B$7,"Bull","Bear"),IF(RAND()&lt;Assumptions!$B$10,"Bear","Bull"))</f>
        <v>Bull</v>
      </c>
      <c r="D267" s="0" t="str">
        <f aca="true">IF(C267="Bull",IF(RAND()&lt;Assumptions!$B$7,"Bull","Bear"),IF(RAND()&lt;Assumptions!$B$10,"Bear","Bull"))</f>
        <v>Bull</v>
      </c>
      <c r="E267" s="0" t="str">
        <f aca="true">IF(D267="Bull",IF(RAND()&lt;Assumptions!$B$7,"Bull","Bear"),IF(RAND()&lt;Assumptions!$B$10,"Bear","Bull"))</f>
        <v>Bull</v>
      </c>
      <c r="F267" s="0" t="str">
        <f aca="true">IF(E267="Bull",IF(RAND()&lt;Assumptions!$B$7,"Bull","Bear"),IF(RAND()&lt;Assumptions!$B$10,"Bear","Bull"))</f>
        <v>Bear</v>
      </c>
      <c r="G267" s="0" t="str">
        <f aca="true">IF(F267="Bull",IF(RAND()&lt;Assumptions!$B$7,"Bull","Bear"),IF(RAND()&lt;Assumptions!$B$10,"Bear","Bull"))</f>
        <v>Bear</v>
      </c>
      <c r="H267" s="8" t="n">
        <f aca="true">IF(B267="Bull",NORMINV(RAND(),Assumptions!$B$5,Assumptions!$B$6),NORMINV(RAND(),Assumptions!$B$8,Assumptions!$B$9))</f>
        <v>0.205155440041662</v>
      </c>
      <c r="I267" s="8" t="n">
        <f aca="true">IF(C267="Bull",NORMINV(RAND(),Assumptions!$B$5,Assumptions!$B$6),NORMINV(RAND(),Assumptions!$B$8,Assumptions!$B$9))</f>
        <v>0.185120781841931</v>
      </c>
      <c r="J267" s="8" t="n">
        <f aca="true">IF(D267="Bull",NORMINV(RAND(),Assumptions!$B$5,Assumptions!$B$6),NORMINV(RAND(),Assumptions!$B$8,Assumptions!$B$9))</f>
        <v>0.166288142826517</v>
      </c>
      <c r="K267" s="8" t="n">
        <f aca="true">IF(E267="Bull",NORMINV(RAND(),Assumptions!$B$5,Assumptions!$B$6),NORMINV(RAND(),Assumptions!$B$8,Assumptions!$B$9))</f>
        <v>0.163053639017097</v>
      </c>
      <c r="L267" s="8" t="n">
        <f aca="true">IF(F267="Bull",NORMINV(RAND(),Assumptions!$B$5,Assumptions!$B$6),NORMINV(RAND(),Assumptions!$B$8,Assumptions!$B$9))</f>
        <v>-0.0466183125052402</v>
      </c>
      <c r="M267" s="8" t="n">
        <f aca="true">IF(G267="Bull",NORMINV(RAND(),Assumptions!$B$5,Assumptions!$B$6),NORMINV(RAND(),Assumptions!$B$8,Assumptions!$B$9))</f>
        <v>-0.375866383079595</v>
      </c>
      <c r="N267" s="8" t="n">
        <f aca="true">NORMINV(RAND(),Assumptions!$B$14,Assumptions!$B$15)</f>
        <v>0.0338900607359356</v>
      </c>
      <c r="O267" s="8" t="n">
        <f aca="true">NORMINV(RAND(),Assumptions!$B$14,Assumptions!$B$15)</f>
        <v>0.0653502285242182</v>
      </c>
      <c r="P267" s="8" t="n">
        <f aca="true">NORMINV(RAND(),Assumptions!$B$14,Assumptions!$B$15)</f>
        <v>0.0389785661566797</v>
      </c>
      <c r="Q267" s="8" t="n">
        <f aca="true">NORMINV(RAND(),Assumptions!$B$14,Assumptions!$B$15)</f>
        <v>0.0541732294143392</v>
      </c>
      <c r="R267" s="8" t="n">
        <f aca="true">NORMINV(RAND(),Assumptions!$B$14,Assumptions!$B$15)</f>
        <v>0.0316962198767885</v>
      </c>
      <c r="S267" s="8" t="n">
        <f aca="true">NORMINV(RAND(),Assumptions!$B$14,Assumptions!$B$15)</f>
        <v>0.0391186786230818</v>
      </c>
      <c r="T267" s="8" t="n">
        <f aca="false">Assumptions!$B$19*H267+(1-Assumptions!$B$19)*N267</f>
        <v>0.205155440041662</v>
      </c>
      <c r="U267" s="8" t="n">
        <f aca="false">Assumptions!$B$20*I267+(1-Assumptions!$B$20)*O267</f>
        <v>0.185120781841931</v>
      </c>
      <c r="V267" s="8" t="n">
        <f aca="false">Assumptions!$B$21*J267+(1-Assumptions!$B$21)*P267</f>
        <v>0.166288142826517</v>
      </c>
      <c r="W267" s="8" t="n">
        <f aca="false">Assumptions!$B$22*K267+(1-Assumptions!$B$22)*Q267</f>
        <v>0.163053639017097</v>
      </c>
      <c r="X267" s="8" t="n">
        <f aca="false">Assumptions!$B$23*L267+(1-Assumptions!$B$23)*R267</f>
        <v>-0.0309554060288345</v>
      </c>
      <c r="Y267" s="8" t="n">
        <f aca="false">Assumptions!$B$24*M267+(1-Assumptions!$B$24)*S267</f>
        <v>-0.209872358398524</v>
      </c>
      <c r="Z267" s="6" t="n">
        <f aca="false">Assumptions!$B$27*(1+T267)</f>
        <v>361546.632012499</v>
      </c>
      <c r="AA267" s="6" t="n">
        <f aca="false">(Z267+Assumptions!$B$28)*(1+U267)</f>
        <v>606244.544479259</v>
      </c>
      <c r="AB267" s="6" t="n">
        <f aca="false">AA267*(1+V267)</f>
        <v>707055.823879423</v>
      </c>
      <c r="AC267" s="6" t="n">
        <f aca="false">AB267*(1+W267)</f>
        <v>822343.848951194</v>
      </c>
      <c r="AD267" s="6" t="n">
        <f aca="false">AC267*(1+X267)</f>
        <v>796887.861211595</v>
      </c>
      <c r="AE267" s="6" t="n">
        <f aca="false">AD267*(1+Y267)</f>
        <v>629643.126399962</v>
      </c>
      <c r="AF267" s="6" t="n">
        <f aca="false">Z267</f>
        <v>361546.632012499</v>
      </c>
      <c r="AG267" s="6" t="n">
        <f aca="false">MAX(AF267,AA267)</f>
        <v>606244.544479259</v>
      </c>
      <c r="AH267" s="6" t="n">
        <f aca="false">MAX(AG267,AB267)</f>
        <v>707055.823879423</v>
      </c>
      <c r="AI267" s="6" t="n">
        <f aca="false">MAX(AH267,AC267)</f>
        <v>822343.848951194</v>
      </c>
      <c r="AJ267" s="6" t="n">
        <f aca="false">MAX(AI267,AD267)</f>
        <v>822343.848951194</v>
      </c>
      <c r="AK267" s="6" t="n">
        <f aca="false">MAX(AJ267,AE267)</f>
        <v>822343.848951194</v>
      </c>
      <c r="AL267" s="8" t="n">
        <f aca="false">MIN(Z267/AF267-1,AA267/AG267-1,AB267/AH267-1,AC267/AI267-1,AD267/AJ267-1,AE267/AK267-1)</f>
        <v>-0.234331080358903</v>
      </c>
      <c r="AM267" s="6" t="n">
        <f aca="false">AE267-Assumptions!$B$35</f>
        <v>188379.129737458</v>
      </c>
    </row>
    <row r="268" customFormat="false" ht="15" hidden="false" customHeight="false" outlineLevel="0" collapsed="false">
      <c r="A268" s="0" t="n">
        <f aca="false">ROW()-1</f>
        <v>267</v>
      </c>
      <c r="B268" s="0" t="str">
        <f aca="true">IF(RAND()&lt;Assumptions!$B$11,"Bull","Bear")</f>
        <v>Bull</v>
      </c>
      <c r="C268" s="0" t="str">
        <f aca="true">IF(B268="Bull",IF(RAND()&lt;Assumptions!$B$7,"Bull","Bear"),IF(RAND()&lt;Assumptions!$B$10,"Bear","Bull"))</f>
        <v>Bull</v>
      </c>
      <c r="D268" s="0" t="str">
        <f aca="true">IF(C268="Bull",IF(RAND()&lt;Assumptions!$B$7,"Bull","Bear"),IF(RAND()&lt;Assumptions!$B$10,"Bear","Bull"))</f>
        <v>Bear</v>
      </c>
      <c r="E268" s="0" t="str">
        <f aca="true">IF(D268="Bull",IF(RAND()&lt;Assumptions!$B$7,"Bull","Bear"),IF(RAND()&lt;Assumptions!$B$10,"Bear","Bull"))</f>
        <v>Bull</v>
      </c>
      <c r="F268" s="0" t="str">
        <f aca="true">IF(E268="Bull",IF(RAND()&lt;Assumptions!$B$7,"Bull","Bear"),IF(RAND()&lt;Assumptions!$B$10,"Bear","Bull"))</f>
        <v>Bull</v>
      </c>
      <c r="G268" s="0" t="str">
        <f aca="true">IF(F268="Bull",IF(RAND()&lt;Assumptions!$B$7,"Bull","Bear"),IF(RAND()&lt;Assumptions!$B$10,"Bear","Bull"))</f>
        <v>Bull</v>
      </c>
      <c r="H268" s="8" t="n">
        <f aca="true">IF(B268="Bull",NORMINV(RAND(),Assumptions!$B$5,Assumptions!$B$6),NORMINV(RAND(),Assumptions!$B$8,Assumptions!$B$9))</f>
        <v>0.0593483436862873</v>
      </c>
      <c r="I268" s="8" t="n">
        <f aca="true">IF(C268="Bull",NORMINV(RAND(),Assumptions!$B$5,Assumptions!$B$6),NORMINV(RAND(),Assumptions!$B$8,Assumptions!$B$9))</f>
        <v>0.11365971606548</v>
      </c>
      <c r="J268" s="8" t="n">
        <f aca="true">IF(D268="Bull",NORMINV(RAND(),Assumptions!$B$5,Assumptions!$B$6),NORMINV(RAND(),Assumptions!$B$8,Assumptions!$B$9))</f>
        <v>0.162763299179687</v>
      </c>
      <c r="K268" s="8" t="n">
        <f aca="true">IF(E268="Bull",NORMINV(RAND(),Assumptions!$B$5,Assumptions!$B$6),NORMINV(RAND(),Assumptions!$B$8,Assumptions!$B$9))</f>
        <v>0.0906211845166873</v>
      </c>
      <c r="L268" s="8" t="n">
        <f aca="true">IF(F268="Bull",NORMINV(RAND(),Assumptions!$B$5,Assumptions!$B$6),NORMINV(RAND(),Assumptions!$B$8,Assumptions!$B$9))</f>
        <v>0.146522661519787</v>
      </c>
      <c r="M268" s="8" t="n">
        <f aca="true">IF(G268="Bull",NORMINV(RAND(),Assumptions!$B$5,Assumptions!$B$6),NORMINV(RAND(),Assumptions!$B$8,Assumptions!$B$9))</f>
        <v>0.237139304378259</v>
      </c>
      <c r="N268" s="8" t="n">
        <f aca="true">NORMINV(RAND(),Assumptions!$B$14,Assumptions!$B$15)</f>
        <v>0.0692318959386826</v>
      </c>
      <c r="O268" s="8" t="n">
        <f aca="true">NORMINV(RAND(),Assumptions!$B$14,Assumptions!$B$15)</f>
        <v>0.0531117560499913</v>
      </c>
      <c r="P268" s="8" t="n">
        <f aca="true">NORMINV(RAND(),Assumptions!$B$14,Assumptions!$B$15)</f>
        <v>0.0391686550915487</v>
      </c>
      <c r="Q268" s="8" t="n">
        <f aca="true">NORMINV(RAND(),Assumptions!$B$14,Assumptions!$B$15)</f>
        <v>0.023615120788468</v>
      </c>
      <c r="R268" s="8" t="n">
        <f aca="true">NORMINV(RAND(),Assumptions!$B$14,Assumptions!$B$15)</f>
        <v>0.0844679457828781</v>
      </c>
      <c r="S268" s="8" t="n">
        <f aca="true">NORMINV(RAND(),Assumptions!$B$14,Assumptions!$B$15)</f>
        <v>0.0467963024839708</v>
      </c>
      <c r="T268" s="8" t="n">
        <f aca="false">Assumptions!$B$19*H268+(1-Assumptions!$B$19)*N268</f>
        <v>0.0593483436862873</v>
      </c>
      <c r="U268" s="8" t="n">
        <f aca="false">Assumptions!$B$20*I268+(1-Assumptions!$B$20)*O268</f>
        <v>0.11365971606548</v>
      </c>
      <c r="V268" s="8" t="n">
        <f aca="false">Assumptions!$B$21*J268+(1-Assumptions!$B$21)*P268</f>
        <v>0.162763299179687</v>
      </c>
      <c r="W268" s="8" t="n">
        <f aca="false">Assumptions!$B$22*K268+(1-Assumptions!$B$22)*Q268</f>
        <v>0.0906211845166873</v>
      </c>
      <c r="X268" s="8" t="n">
        <f aca="false">Assumptions!$B$23*L268+(1-Assumptions!$B$23)*R268</f>
        <v>0.134111718372405</v>
      </c>
      <c r="Y268" s="8" t="n">
        <f aca="false">Assumptions!$B$24*M268+(1-Assumptions!$B$24)*S268</f>
        <v>0.161002103620543</v>
      </c>
      <c r="Z268" s="6" t="n">
        <f aca="false">Assumptions!$B$27*(1+T268)</f>
        <v>317804.503105886</v>
      </c>
      <c r="AA268" s="6" t="n">
        <f aca="false">(Z268+Assumptions!$B$28)*(1+U268)</f>
        <v>520975.030103054</v>
      </c>
      <c r="AB268" s="6" t="n">
        <f aca="false">AA268*(1+V268)</f>
        <v>605770.644792864</v>
      </c>
      <c r="AC268" s="6" t="n">
        <f aca="false">AB268*(1+W268)</f>
        <v>660666.298169431</v>
      </c>
      <c r="AD268" s="6" t="n">
        <f aca="false">AC268*(1+X268)</f>
        <v>749269.390687669</v>
      </c>
      <c r="AE268" s="6" t="n">
        <f aca="false">AD268*(1+Y268)</f>
        <v>869903.338766867</v>
      </c>
      <c r="AF268" s="6" t="n">
        <f aca="false">Z268</f>
        <v>317804.503105886</v>
      </c>
      <c r="AG268" s="6" t="n">
        <f aca="false">MAX(AF268,AA268)</f>
        <v>520975.030103054</v>
      </c>
      <c r="AH268" s="6" t="n">
        <f aca="false">MAX(AG268,AB268)</f>
        <v>605770.644792864</v>
      </c>
      <c r="AI268" s="6" t="n">
        <f aca="false">MAX(AH268,AC268)</f>
        <v>660666.298169431</v>
      </c>
      <c r="AJ268" s="6" t="n">
        <f aca="false">MAX(AI268,AD268)</f>
        <v>749269.390687669</v>
      </c>
      <c r="AK268" s="6" t="n">
        <f aca="false">MAX(AJ268,AE268)</f>
        <v>869903.338766867</v>
      </c>
      <c r="AL268" s="8" t="n">
        <f aca="false">MIN(Z268/AF268-1,AA268/AG268-1,AB268/AH268-1,AC268/AI268-1,AD268/AJ268-1,AE268/AK268-1)</f>
        <v>0</v>
      </c>
      <c r="AM268" s="6" t="n">
        <f aca="false">AE268-Assumptions!$B$35</f>
        <v>428639.342104363</v>
      </c>
    </row>
    <row r="269" customFormat="false" ht="15" hidden="false" customHeight="false" outlineLevel="0" collapsed="false">
      <c r="A269" s="0" t="n">
        <f aca="false">ROW()-1</f>
        <v>268</v>
      </c>
      <c r="B269" s="0" t="str">
        <f aca="true">IF(RAND()&lt;Assumptions!$B$11,"Bull","Bear")</f>
        <v>Bull</v>
      </c>
      <c r="C269" s="0" t="str">
        <f aca="true">IF(B269="Bull",IF(RAND()&lt;Assumptions!$B$7,"Bull","Bear"),IF(RAND()&lt;Assumptions!$B$10,"Bear","Bull"))</f>
        <v>Bull</v>
      </c>
      <c r="D269" s="0" t="str">
        <f aca="true">IF(C269="Bull",IF(RAND()&lt;Assumptions!$B$7,"Bull","Bear"),IF(RAND()&lt;Assumptions!$B$10,"Bear","Bull"))</f>
        <v>Bull</v>
      </c>
      <c r="E269" s="0" t="str">
        <f aca="true">IF(D269="Bull",IF(RAND()&lt;Assumptions!$B$7,"Bull","Bear"),IF(RAND()&lt;Assumptions!$B$10,"Bear","Bull"))</f>
        <v>Bear</v>
      </c>
      <c r="F269" s="0" t="str">
        <f aca="true">IF(E269="Bull",IF(RAND()&lt;Assumptions!$B$7,"Bull","Bear"),IF(RAND()&lt;Assumptions!$B$10,"Bear","Bull"))</f>
        <v>Bull</v>
      </c>
      <c r="G269" s="0" t="str">
        <f aca="true">IF(F269="Bull",IF(RAND()&lt;Assumptions!$B$7,"Bull","Bear"),IF(RAND()&lt;Assumptions!$B$10,"Bear","Bull"))</f>
        <v>Bull</v>
      </c>
      <c r="H269" s="8" t="n">
        <f aca="true">IF(B269="Bull",NORMINV(RAND(),Assumptions!$B$5,Assumptions!$B$6),NORMINV(RAND(),Assumptions!$B$8,Assumptions!$B$9))</f>
        <v>0.500912232436822</v>
      </c>
      <c r="I269" s="8" t="n">
        <f aca="true">IF(C269="Bull",NORMINV(RAND(),Assumptions!$B$5,Assumptions!$B$6),NORMINV(RAND(),Assumptions!$B$8,Assumptions!$B$9))</f>
        <v>0.0576928560102135</v>
      </c>
      <c r="J269" s="8" t="n">
        <f aca="true">IF(D269="Bull",NORMINV(RAND(),Assumptions!$B$5,Assumptions!$B$6),NORMINV(RAND(),Assumptions!$B$8,Assumptions!$B$9))</f>
        <v>0.0420649894657918</v>
      </c>
      <c r="K269" s="8" t="n">
        <f aca="true">IF(E269="Bull",NORMINV(RAND(),Assumptions!$B$5,Assumptions!$B$6),NORMINV(RAND(),Assumptions!$B$8,Assumptions!$B$9))</f>
        <v>0.0529452163578338</v>
      </c>
      <c r="L269" s="8" t="n">
        <f aca="true">IF(F269="Bull",NORMINV(RAND(),Assumptions!$B$5,Assumptions!$B$6),NORMINV(RAND(),Assumptions!$B$8,Assumptions!$B$9))</f>
        <v>0.30936422713926</v>
      </c>
      <c r="M269" s="8" t="n">
        <f aca="true">IF(G269="Bull",NORMINV(RAND(),Assumptions!$B$5,Assumptions!$B$6),NORMINV(RAND(),Assumptions!$B$8,Assumptions!$B$9))</f>
        <v>0.233556367597084</v>
      </c>
      <c r="N269" s="8" t="n">
        <f aca="true">NORMINV(RAND(),Assumptions!$B$14,Assumptions!$B$15)</f>
        <v>0.0283850848092217</v>
      </c>
      <c r="O269" s="8" t="n">
        <f aca="true">NORMINV(RAND(),Assumptions!$B$14,Assumptions!$B$15)</f>
        <v>0.0684894882490223</v>
      </c>
      <c r="P269" s="8" t="n">
        <f aca="true">NORMINV(RAND(),Assumptions!$B$14,Assumptions!$B$15)</f>
        <v>0.000400887734680007</v>
      </c>
      <c r="Q269" s="8" t="n">
        <f aca="true">NORMINV(RAND(),Assumptions!$B$14,Assumptions!$B$15)</f>
        <v>0.0431459638498552</v>
      </c>
      <c r="R269" s="8" t="n">
        <f aca="true">NORMINV(RAND(),Assumptions!$B$14,Assumptions!$B$15)</f>
        <v>0.0376463971161685</v>
      </c>
      <c r="S269" s="8" t="n">
        <f aca="true">NORMINV(RAND(),Assumptions!$B$14,Assumptions!$B$15)</f>
        <v>0.0169418918505535</v>
      </c>
      <c r="T269" s="8" t="n">
        <f aca="false">Assumptions!$B$19*H269+(1-Assumptions!$B$19)*N269</f>
        <v>0.500912232436822</v>
      </c>
      <c r="U269" s="8" t="n">
        <f aca="false">Assumptions!$B$20*I269+(1-Assumptions!$B$20)*O269</f>
        <v>0.0576928560102135</v>
      </c>
      <c r="V269" s="8" t="n">
        <f aca="false">Assumptions!$B$21*J269+(1-Assumptions!$B$21)*P269</f>
        <v>0.0420649894657918</v>
      </c>
      <c r="W269" s="8" t="n">
        <f aca="false">Assumptions!$B$22*K269+(1-Assumptions!$B$22)*Q269</f>
        <v>0.0529452163578338</v>
      </c>
      <c r="X269" s="8" t="n">
        <f aca="false">Assumptions!$B$23*L269+(1-Assumptions!$B$23)*R269</f>
        <v>0.255020661134642</v>
      </c>
      <c r="Y269" s="8" t="n">
        <f aca="false">Assumptions!$B$24*M269+(1-Assumptions!$B$24)*S269</f>
        <v>0.146910577298472</v>
      </c>
      <c r="Z269" s="6" t="n">
        <f aca="false">Assumptions!$B$27*(1+T269)</f>
        <v>450273.669731047</v>
      </c>
      <c r="AA269" s="6" t="n">
        <f aca="false">(Z269+Assumptions!$B$28)*(1+U269)</f>
        <v>634905.172125562</v>
      </c>
      <c r="AB269" s="6" t="n">
        <f aca="false">AA269*(1+V269)</f>
        <v>661612.451502801</v>
      </c>
      <c r="AC269" s="6" t="n">
        <f aca="false">AB269*(1+W269)</f>
        <v>696641.665892653</v>
      </c>
      <c r="AD269" s="6" t="n">
        <f aca="false">AC269*(1+X269)</f>
        <v>874299.684102536</v>
      </c>
      <c r="AE269" s="6" t="n">
        <f aca="false">AD269*(1+Y269)</f>
        <v>1002743.55542591</v>
      </c>
      <c r="AF269" s="6" t="n">
        <f aca="false">Z269</f>
        <v>450273.669731047</v>
      </c>
      <c r="AG269" s="6" t="n">
        <f aca="false">MAX(AF269,AA269)</f>
        <v>634905.172125562</v>
      </c>
      <c r="AH269" s="6" t="n">
        <f aca="false">MAX(AG269,AB269)</f>
        <v>661612.451502801</v>
      </c>
      <c r="AI269" s="6" t="n">
        <f aca="false">MAX(AH269,AC269)</f>
        <v>696641.665892653</v>
      </c>
      <c r="AJ269" s="6" t="n">
        <f aca="false">MAX(AI269,AD269)</f>
        <v>874299.684102536</v>
      </c>
      <c r="AK269" s="6" t="n">
        <f aca="false">MAX(AJ269,AE269)</f>
        <v>1002743.55542591</v>
      </c>
      <c r="AL269" s="8" t="n">
        <f aca="false">MIN(Z269/AF269-1,AA269/AG269-1,AB269/AH269-1,AC269/AI269-1,AD269/AJ269-1,AE269/AK269-1)</f>
        <v>0</v>
      </c>
      <c r="AM269" s="6" t="n">
        <f aca="false">AE269-Assumptions!$B$35</f>
        <v>561479.558763407</v>
      </c>
    </row>
    <row r="270" customFormat="false" ht="15" hidden="false" customHeight="false" outlineLevel="0" collapsed="false">
      <c r="A270" s="0" t="n">
        <f aca="false">ROW()-1</f>
        <v>269</v>
      </c>
      <c r="B270" s="0" t="str">
        <f aca="true">IF(RAND()&lt;Assumptions!$B$11,"Bull","Bear")</f>
        <v>Bear</v>
      </c>
      <c r="C270" s="0" t="str">
        <f aca="true">IF(B270="Bull",IF(RAND()&lt;Assumptions!$B$7,"Bull","Bear"),IF(RAND()&lt;Assumptions!$B$10,"Bear","Bull"))</f>
        <v>Bull</v>
      </c>
      <c r="D270" s="0" t="str">
        <f aca="true">IF(C270="Bull",IF(RAND()&lt;Assumptions!$B$7,"Bull","Bear"),IF(RAND()&lt;Assumptions!$B$10,"Bear","Bull"))</f>
        <v>Bull</v>
      </c>
      <c r="E270" s="0" t="str">
        <f aca="true">IF(D270="Bull",IF(RAND()&lt;Assumptions!$B$7,"Bull","Bear"),IF(RAND()&lt;Assumptions!$B$10,"Bear","Bull"))</f>
        <v>Bear</v>
      </c>
      <c r="F270" s="0" t="str">
        <f aca="true">IF(E270="Bull",IF(RAND()&lt;Assumptions!$B$7,"Bull","Bear"),IF(RAND()&lt;Assumptions!$B$10,"Bear","Bull"))</f>
        <v>Bull</v>
      </c>
      <c r="G270" s="0" t="str">
        <f aca="true">IF(F270="Bull",IF(RAND()&lt;Assumptions!$B$7,"Bull","Bear"),IF(RAND()&lt;Assumptions!$B$10,"Bear","Bull"))</f>
        <v>Bull</v>
      </c>
      <c r="H270" s="8" t="n">
        <f aca="true">IF(B270="Bull",NORMINV(RAND(),Assumptions!$B$5,Assumptions!$B$6),NORMINV(RAND(),Assumptions!$B$8,Assumptions!$B$9))</f>
        <v>-0.308390319889537</v>
      </c>
      <c r="I270" s="8" t="n">
        <f aca="true">IF(C270="Bull",NORMINV(RAND(),Assumptions!$B$5,Assumptions!$B$6),NORMINV(RAND(),Assumptions!$B$8,Assumptions!$B$9))</f>
        <v>-0.0349857529447405</v>
      </c>
      <c r="J270" s="8" t="n">
        <f aca="true">IF(D270="Bull",NORMINV(RAND(),Assumptions!$B$5,Assumptions!$B$6),NORMINV(RAND(),Assumptions!$B$8,Assumptions!$B$9))</f>
        <v>0.0923546097654737</v>
      </c>
      <c r="K270" s="8" t="n">
        <f aca="true">IF(E270="Bull",NORMINV(RAND(),Assumptions!$B$5,Assumptions!$B$6),NORMINV(RAND(),Assumptions!$B$8,Assumptions!$B$9))</f>
        <v>-0.22616687223963</v>
      </c>
      <c r="L270" s="8" t="n">
        <f aca="true">IF(F270="Bull",NORMINV(RAND(),Assumptions!$B$5,Assumptions!$B$6),NORMINV(RAND(),Assumptions!$B$8,Assumptions!$B$9))</f>
        <v>0.227340659923156</v>
      </c>
      <c r="M270" s="8" t="n">
        <f aca="true">IF(G270="Bull",NORMINV(RAND(),Assumptions!$B$5,Assumptions!$B$6),NORMINV(RAND(),Assumptions!$B$8,Assumptions!$B$9))</f>
        <v>0.256861904028954</v>
      </c>
      <c r="N270" s="8" t="n">
        <f aca="true">NORMINV(RAND(),Assumptions!$B$14,Assumptions!$B$15)</f>
        <v>0.0668197745415343</v>
      </c>
      <c r="O270" s="8" t="n">
        <f aca="true">NORMINV(RAND(),Assumptions!$B$14,Assumptions!$B$15)</f>
        <v>0.0300726450877119</v>
      </c>
      <c r="P270" s="8" t="n">
        <f aca="true">NORMINV(RAND(),Assumptions!$B$14,Assumptions!$B$15)</f>
        <v>0.027910586413854</v>
      </c>
      <c r="Q270" s="8" t="n">
        <f aca="true">NORMINV(RAND(),Assumptions!$B$14,Assumptions!$B$15)</f>
        <v>0.0735086591819683</v>
      </c>
      <c r="R270" s="8" t="n">
        <f aca="true">NORMINV(RAND(),Assumptions!$B$14,Assumptions!$B$15)</f>
        <v>0.0482125274796105</v>
      </c>
      <c r="S270" s="8" t="n">
        <f aca="true">NORMINV(RAND(),Assumptions!$B$14,Assumptions!$B$15)</f>
        <v>0.0357498822714807</v>
      </c>
      <c r="T270" s="8" t="n">
        <f aca="false">Assumptions!$B$19*H270+(1-Assumptions!$B$19)*N270</f>
        <v>-0.308390319889537</v>
      </c>
      <c r="U270" s="8" t="n">
        <f aca="false">Assumptions!$B$20*I270+(1-Assumptions!$B$20)*O270</f>
        <v>-0.0349857529447405</v>
      </c>
      <c r="V270" s="8" t="n">
        <f aca="false">Assumptions!$B$21*J270+(1-Assumptions!$B$21)*P270</f>
        <v>0.0923546097654737</v>
      </c>
      <c r="W270" s="8" t="n">
        <f aca="false">Assumptions!$B$22*K270+(1-Assumptions!$B$22)*Q270</f>
        <v>-0.22616687223963</v>
      </c>
      <c r="X270" s="8" t="n">
        <f aca="false">Assumptions!$B$23*L270+(1-Assumptions!$B$23)*R270</f>
        <v>0.191515033434447</v>
      </c>
      <c r="Y270" s="8" t="n">
        <f aca="false">Assumptions!$B$24*M270+(1-Assumptions!$B$24)*S270</f>
        <v>0.168417095325965</v>
      </c>
      <c r="Z270" s="6" t="n">
        <f aca="false">Assumptions!$B$27*(1+T270)</f>
        <v>207482.904033139</v>
      </c>
      <c r="AA270" s="6" t="n">
        <f aca="false">(Z270+Assumptions!$B$28)*(1+U270)</f>
        <v>344976.095470667</v>
      </c>
      <c r="AB270" s="6" t="n">
        <f aca="false">AA270*(1+V270)</f>
        <v>376836.228146277</v>
      </c>
      <c r="AC270" s="6" t="n">
        <f aca="false">AB270*(1+W270)</f>
        <v>291608.357079854</v>
      </c>
      <c r="AD270" s="6" t="n">
        <f aca="false">AC270*(1+X270)</f>
        <v>347455.741335766</v>
      </c>
      <c r="AE270" s="6" t="n">
        <f aca="false">AD270*(1+Y270)</f>
        <v>405973.228045866</v>
      </c>
      <c r="AF270" s="6" t="n">
        <f aca="false">Z270</f>
        <v>207482.904033139</v>
      </c>
      <c r="AG270" s="6" t="n">
        <f aca="false">MAX(AF270,AA270)</f>
        <v>344976.095470667</v>
      </c>
      <c r="AH270" s="6" t="n">
        <f aca="false">MAX(AG270,AB270)</f>
        <v>376836.228146277</v>
      </c>
      <c r="AI270" s="6" t="n">
        <f aca="false">MAX(AH270,AC270)</f>
        <v>376836.228146277</v>
      </c>
      <c r="AJ270" s="6" t="n">
        <f aca="false">MAX(AI270,AD270)</f>
        <v>376836.228146277</v>
      </c>
      <c r="AK270" s="6" t="n">
        <f aca="false">MAX(AJ270,AE270)</f>
        <v>405973.228045866</v>
      </c>
      <c r="AL270" s="8" t="n">
        <f aca="false">MIN(Z270/AF270-1,AA270/AG270-1,AB270/AH270-1,AC270/AI270-1,AD270/AJ270-1,AE270/AK270-1)</f>
        <v>-0.22616687223963</v>
      </c>
      <c r="AM270" s="6" t="n">
        <f aca="false">AE270-Assumptions!$B$35</f>
        <v>-35290.7686166376</v>
      </c>
    </row>
    <row r="271" customFormat="false" ht="15" hidden="false" customHeight="false" outlineLevel="0" collapsed="false">
      <c r="A271" s="0" t="n">
        <f aca="false">ROW()-1</f>
        <v>270</v>
      </c>
      <c r="B271" s="0" t="str">
        <f aca="true">IF(RAND()&lt;Assumptions!$B$11,"Bull","Bear")</f>
        <v>Bear</v>
      </c>
      <c r="C271" s="0" t="str">
        <f aca="true">IF(B271="Bull",IF(RAND()&lt;Assumptions!$B$7,"Bull","Bear"),IF(RAND()&lt;Assumptions!$B$10,"Bear","Bull"))</f>
        <v>Bear</v>
      </c>
      <c r="D271" s="0" t="str">
        <f aca="true">IF(C271="Bull",IF(RAND()&lt;Assumptions!$B$7,"Bull","Bear"),IF(RAND()&lt;Assumptions!$B$10,"Bear","Bull"))</f>
        <v>Bear</v>
      </c>
      <c r="E271" s="0" t="str">
        <f aca="true">IF(D271="Bull",IF(RAND()&lt;Assumptions!$B$7,"Bull","Bear"),IF(RAND()&lt;Assumptions!$B$10,"Bear","Bull"))</f>
        <v>Bear</v>
      </c>
      <c r="F271" s="0" t="str">
        <f aca="true">IF(E271="Bull",IF(RAND()&lt;Assumptions!$B$7,"Bull","Bear"),IF(RAND()&lt;Assumptions!$B$10,"Bear","Bull"))</f>
        <v>Bear</v>
      </c>
      <c r="G271" s="0" t="str">
        <f aca="true">IF(F271="Bull",IF(RAND()&lt;Assumptions!$B$7,"Bull","Bear"),IF(RAND()&lt;Assumptions!$B$10,"Bear","Bull"))</f>
        <v>Bull</v>
      </c>
      <c r="H271" s="8" t="n">
        <f aca="true">IF(B271="Bull",NORMINV(RAND(),Assumptions!$B$5,Assumptions!$B$6),NORMINV(RAND(),Assumptions!$B$8,Assumptions!$B$9))</f>
        <v>0.103142390656587</v>
      </c>
      <c r="I271" s="8" t="n">
        <f aca="true">IF(C271="Bull",NORMINV(RAND(),Assumptions!$B$5,Assumptions!$B$6),NORMINV(RAND(),Assumptions!$B$8,Assumptions!$B$9))</f>
        <v>0.354652917780616</v>
      </c>
      <c r="J271" s="8" t="n">
        <f aca="true">IF(D271="Bull",NORMINV(RAND(),Assumptions!$B$5,Assumptions!$B$6),NORMINV(RAND(),Assumptions!$B$8,Assumptions!$B$9))</f>
        <v>-0.381823214655256</v>
      </c>
      <c r="K271" s="8" t="n">
        <f aca="true">IF(E271="Bull",NORMINV(RAND(),Assumptions!$B$5,Assumptions!$B$6),NORMINV(RAND(),Assumptions!$B$8,Assumptions!$B$9))</f>
        <v>-0.000655811898596245</v>
      </c>
      <c r="L271" s="8" t="n">
        <f aca="true">IF(F271="Bull",NORMINV(RAND(),Assumptions!$B$5,Assumptions!$B$6),NORMINV(RAND(),Assumptions!$B$8,Assumptions!$B$9))</f>
        <v>0.0410376804337225</v>
      </c>
      <c r="M271" s="8" t="n">
        <f aca="true">IF(G271="Bull",NORMINV(RAND(),Assumptions!$B$5,Assumptions!$B$6),NORMINV(RAND(),Assumptions!$B$8,Assumptions!$B$9))</f>
        <v>0.150646245135594</v>
      </c>
      <c r="N271" s="8" t="n">
        <f aca="true">NORMINV(RAND(),Assumptions!$B$14,Assumptions!$B$15)</f>
        <v>0.0359272122201397</v>
      </c>
      <c r="O271" s="8" t="n">
        <f aca="true">NORMINV(RAND(),Assumptions!$B$14,Assumptions!$B$15)</f>
        <v>0.0672669065948464</v>
      </c>
      <c r="P271" s="8" t="n">
        <f aca="true">NORMINV(RAND(),Assumptions!$B$14,Assumptions!$B$15)</f>
        <v>0.0411772164735875</v>
      </c>
      <c r="Q271" s="8" t="n">
        <f aca="true">NORMINV(RAND(),Assumptions!$B$14,Assumptions!$B$15)</f>
        <v>0.098374661447968</v>
      </c>
      <c r="R271" s="8" t="n">
        <f aca="true">NORMINV(RAND(),Assumptions!$B$14,Assumptions!$B$15)</f>
        <v>0.0598672309660741</v>
      </c>
      <c r="S271" s="8" t="n">
        <f aca="true">NORMINV(RAND(),Assumptions!$B$14,Assumptions!$B$15)</f>
        <v>0.0619590612412181</v>
      </c>
      <c r="T271" s="8" t="n">
        <f aca="false">Assumptions!$B$19*H271+(1-Assumptions!$B$19)*N271</f>
        <v>0.103142390656587</v>
      </c>
      <c r="U271" s="8" t="n">
        <f aca="false">Assumptions!$B$20*I271+(1-Assumptions!$B$20)*O271</f>
        <v>0.354652917780616</v>
      </c>
      <c r="V271" s="8" t="n">
        <f aca="false">Assumptions!$B$21*J271+(1-Assumptions!$B$21)*P271</f>
        <v>-0.381823214655256</v>
      </c>
      <c r="W271" s="8" t="n">
        <f aca="false">Assumptions!$B$22*K271+(1-Assumptions!$B$22)*Q271</f>
        <v>-0.000655811898596245</v>
      </c>
      <c r="X271" s="8" t="n">
        <f aca="false">Assumptions!$B$23*L271+(1-Assumptions!$B$23)*R271</f>
        <v>0.0448035905401928</v>
      </c>
      <c r="Y271" s="8" t="n">
        <f aca="false">Assumptions!$B$24*M271+(1-Assumptions!$B$24)*S271</f>
        <v>0.115171371577844</v>
      </c>
      <c r="Z271" s="6" t="n">
        <f aca="false">Assumptions!$B$27*(1+T271)</f>
        <v>330942.717196976</v>
      </c>
      <c r="AA271" s="6" t="n">
        <f aca="false">(Z271+Assumptions!$B$28)*(1+U271)</f>
        <v>651510.455136221</v>
      </c>
      <c r="AB271" s="6" t="n">
        <f aca="false">AA271*(1+V271)</f>
        <v>402748.6387746</v>
      </c>
      <c r="AC271" s="6" t="n">
        <f aca="false">AB271*(1+W271)</f>
        <v>402484.511425149</v>
      </c>
      <c r="AD271" s="6" t="n">
        <f aca="false">AC271*(1+X271)</f>
        <v>420517.262673811</v>
      </c>
      <c r="AE271" s="6" t="n">
        <f aca="false">AD271*(1+Y271)</f>
        <v>468948.812588114</v>
      </c>
      <c r="AF271" s="6" t="n">
        <f aca="false">Z271</f>
        <v>330942.717196976</v>
      </c>
      <c r="AG271" s="6" t="n">
        <f aca="false">MAX(AF271,AA271)</f>
        <v>651510.455136221</v>
      </c>
      <c r="AH271" s="6" t="n">
        <f aca="false">MAX(AG271,AB271)</f>
        <v>651510.455136221</v>
      </c>
      <c r="AI271" s="6" t="n">
        <f aca="false">MAX(AH271,AC271)</f>
        <v>651510.455136221</v>
      </c>
      <c r="AJ271" s="6" t="n">
        <f aca="false">MAX(AI271,AD271)</f>
        <v>651510.455136221</v>
      </c>
      <c r="AK271" s="6" t="n">
        <f aca="false">MAX(AJ271,AE271)</f>
        <v>651510.455136221</v>
      </c>
      <c r="AL271" s="8" t="n">
        <f aca="false">MIN(Z271/AF271-1,AA271/AG271-1,AB271/AH271-1,AC271/AI271-1,AD271/AJ271-1,AE271/AK271-1)</f>
        <v>-0.382228622346521</v>
      </c>
      <c r="AM271" s="6" t="n">
        <f aca="false">AE271-Assumptions!$B$35</f>
        <v>27684.8159256101</v>
      </c>
    </row>
    <row r="272" customFormat="false" ht="15" hidden="false" customHeight="false" outlineLevel="0" collapsed="false">
      <c r="A272" s="0" t="n">
        <f aca="false">ROW()-1</f>
        <v>271</v>
      </c>
      <c r="B272" s="0" t="str">
        <f aca="true">IF(RAND()&lt;Assumptions!$B$11,"Bull","Bear")</f>
        <v>Bear</v>
      </c>
      <c r="C272" s="0" t="str">
        <f aca="true">IF(B272="Bull",IF(RAND()&lt;Assumptions!$B$7,"Bull","Bear"),IF(RAND()&lt;Assumptions!$B$10,"Bear","Bull"))</f>
        <v>Bull</v>
      </c>
      <c r="D272" s="0" t="str">
        <f aca="true">IF(C272="Bull",IF(RAND()&lt;Assumptions!$B$7,"Bull","Bear"),IF(RAND()&lt;Assumptions!$B$10,"Bear","Bull"))</f>
        <v>Bull</v>
      </c>
      <c r="E272" s="0" t="str">
        <f aca="true">IF(D272="Bull",IF(RAND()&lt;Assumptions!$B$7,"Bull","Bear"),IF(RAND()&lt;Assumptions!$B$10,"Bear","Bull"))</f>
        <v>Bull</v>
      </c>
      <c r="F272" s="0" t="str">
        <f aca="true">IF(E272="Bull",IF(RAND()&lt;Assumptions!$B$7,"Bull","Bear"),IF(RAND()&lt;Assumptions!$B$10,"Bear","Bull"))</f>
        <v>Bull</v>
      </c>
      <c r="G272" s="0" t="str">
        <f aca="true">IF(F272="Bull",IF(RAND()&lt;Assumptions!$B$7,"Bull","Bear"),IF(RAND()&lt;Assumptions!$B$10,"Bear","Bull"))</f>
        <v>Bull</v>
      </c>
      <c r="H272" s="8" t="n">
        <f aca="true">IF(B272="Bull",NORMINV(RAND(),Assumptions!$B$5,Assumptions!$B$6),NORMINV(RAND(),Assumptions!$B$8,Assumptions!$B$9))</f>
        <v>-0.559977379661856</v>
      </c>
      <c r="I272" s="8" t="n">
        <f aca="true">IF(C272="Bull",NORMINV(RAND(),Assumptions!$B$5,Assumptions!$B$6),NORMINV(RAND(),Assumptions!$B$8,Assumptions!$B$9))</f>
        <v>0.195029512376319</v>
      </c>
      <c r="J272" s="8" t="n">
        <f aca="true">IF(D272="Bull",NORMINV(RAND(),Assumptions!$B$5,Assumptions!$B$6),NORMINV(RAND(),Assumptions!$B$8,Assumptions!$B$9))</f>
        <v>0.36580097647871</v>
      </c>
      <c r="K272" s="8" t="n">
        <f aca="true">IF(E272="Bull",NORMINV(RAND(),Assumptions!$B$5,Assumptions!$B$6),NORMINV(RAND(),Assumptions!$B$8,Assumptions!$B$9))</f>
        <v>0.22889353330816</v>
      </c>
      <c r="L272" s="8" t="n">
        <f aca="true">IF(F272="Bull",NORMINV(RAND(),Assumptions!$B$5,Assumptions!$B$6),NORMINV(RAND(),Assumptions!$B$8,Assumptions!$B$9))</f>
        <v>0.117609174940972</v>
      </c>
      <c r="M272" s="8" t="n">
        <f aca="true">IF(G272="Bull",NORMINV(RAND(),Assumptions!$B$5,Assumptions!$B$6),NORMINV(RAND(),Assumptions!$B$8,Assumptions!$B$9))</f>
        <v>0.242728995757898</v>
      </c>
      <c r="N272" s="8" t="n">
        <f aca="true">NORMINV(RAND(),Assumptions!$B$14,Assumptions!$B$15)</f>
        <v>0.0178575493749178</v>
      </c>
      <c r="O272" s="8" t="n">
        <f aca="true">NORMINV(RAND(),Assumptions!$B$14,Assumptions!$B$15)</f>
        <v>0.003268333436663</v>
      </c>
      <c r="P272" s="8" t="n">
        <f aca="true">NORMINV(RAND(),Assumptions!$B$14,Assumptions!$B$15)</f>
        <v>0.0756813328918547</v>
      </c>
      <c r="Q272" s="8" t="n">
        <f aca="true">NORMINV(RAND(),Assumptions!$B$14,Assumptions!$B$15)</f>
        <v>0.0431083729844115</v>
      </c>
      <c r="R272" s="8" t="n">
        <f aca="true">NORMINV(RAND(),Assumptions!$B$14,Assumptions!$B$15)</f>
        <v>0.0179721617275728</v>
      </c>
      <c r="S272" s="8" t="n">
        <f aca="true">NORMINV(RAND(),Assumptions!$B$14,Assumptions!$B$15)</f>
        <v>0.0334643756464509</v>
      </c>
      <c r="T272" s="8" t="n">
        <f aca="false">Assumptions!$B$19*H272+(1-Assumptions!$B$19)*N272</f>
        <v>-0.559977379661856</v>
      </c>
      <c r="U272" s="8" t="n">
        <f aca="false">Assumptions!$B$20*I272+(1-Assumptions!$B$20)*O272</f>
        <v>0.195029512376319</v>
      </c>
      <c r="V272" s="8" t="n">
        <f aca="false">Assumptions!$B$21*J272+(1-Assumptions!$B$21)*P272</f>
        <v>0.36580097647871</v>
      </c>
      <c r="W272" s="8" t="n">
        <f aca="false">Assumptions!$B$22*K272+(1-Assumptions!$B$22)*Q272</f>
        <v>0.22889353330816</v>
      </c>
      <c r="X272" s="8" t="n">
        <f aca="false">Assumptions!$B$23*L272+(1-Assumptions!$B$23)*R272</f>
        <v>0.097681772298292</v>
      </c>
      <c r="Y272" s="8" t="n">
        <f aca="false">Assumptions!$B$24*M272+(1-Assumptions!$B$24)*S272</f>
        <v>0.159023147713319</v>
      </c>
      <c r="Z272" s="6" t="n">
        <f aca="false">Assumptions!$B$27*(1+T272)</f>
        <v>132006.786101443</v>
      </c>
      <c r="AA272" s="6" t="n">
        <f aca="false">(Z272+Assumptions!$B$28)*(1+U272)</f>
        <v>337006.43208162</v>
      </c>
      <c r="AB272" s="6" t="n">
        <f aca="false">AA272*(1+V272)</f>
        <v>460283.714016683</v>
      </c>
      <c r="AC272" s="6" t="n">
        <f aca="false">AB272*(1+W272)</f>
        <v>565639.679642165</v>
      </c>
      <c r="AD272" s="6" t="n">
        <f aca="false">AC272*(1+X272)</f>
        <v>620892.366031849</v>
      </c>
      <c r="AE272" s="6" t="n">
        <f aca="false">AD272*(1+Y272)</f>
        <v>719628.624469404</v>
      </c>
      <c r="AF272" s="6" t="n">
        <f aca="false">Z272</f>
        <v>132006.786101443</v>
      </c>
      <c r="AG272" s="6" t="n">
        <f aca="false">MAX(AF272,AA272)</f>
        <v>337006.43208162</v>
      </c>
      <c r="AH272" s="6" t="n">
        <f aca="false">MAX(AG272,AB272)</f>
        <v>460283.714016683</v>
      </c>
      <c r="AI272" s="6" t="n">
        <f aca="false">MAX(AH272,AC272)</f>
        <v>565639.679642165</v>
      </c>
      <c r="AJ272" s="6" t="n">
        <f aca="false">MAX(AI272,AD272)</f>
        <v>620892.366031849</v>
      </c>
      <c r="AK272" s="6" t="n">
        <f aca="false">MAX(AJ272,AE272)</f>
        <v>719628.624469404</v>
      </c>
      <c r="AL272" s="8" t="n">
        <f aca="false">MIN(Z272/AF272-1,AA272/AG272-1,AB272/AH272-1,AC272/AI272-1,AD272/AJ272-1,AE272/AK272-1)</f>
        <v>0</v>
      </c>
      <c r="AM272" s="6" t="n">
        <f aca="false">AE272-Assumptions!$B$35</f>
        <v>278364.627806901</v>
      </c>
    </row>
    <row r="273" customFormat="false" ht="15" hidden="false" customHeight="false" outlineLevel="0" collapsed="false">
      <c r="A273" s="0" t="n">
        <f aca="false">ROW()-1</f>
        <v>272</v>
      </c>
      <c r="B273" s="0" t="str">
        <f aca="true">IF(RAND()&lt;Assumptions!$B$11,"Bull","Bear")</f>
        <v>Bull</v>
      </c>
      <c r="C273" s="0" t="str">
        <f aca="true">IF(B273="Bull",IF(RAND()&lt;Assumptions!$B$7,"Bull","Bear"),IF(RAND()&lt;Assumptions!$B$10,"Bear","Bull"))</f>
        <v>Bull</v>
      </c>
      <c r="D273" s="0" t="str">
        <f aca="true">IF(C273="Bull",IF(RAND()&lt;Assumptions!$B$7,"Bull","Bear"),IF(RAND()&lt;Assumptions!$B$10,"Bear","Bull"))</f>
        <v>Bull</v>
      </c>
      <c r="E273" s="0" t="str">
        <f aca="true">IF(D273="Bull",IF(RAND()&lt;Assumptions!$B$7,"Bull","Bear"),IF(RAND()&lt;Assumptions!$B$10,"Bear","Bull"))</f>
        <v>Bull</v>
      </c>
      <c r="F273" s="0" t="str">
        <f aca="true">IF(E273="Bull",IF(RAND()&lt;Assumptions!$B$7,"Bull","Bear"),IF(RAND()&lt;Assumptions!$B$10,"Bear","Bull"))</f>
        <v>Bull</v>
      </c>
      <c r="G273" s="0" t="str">
        <f aca="true">IF(F273="Bull",IF(RAND()&lt;Assumptions!$B$7,"Bull","Bear"),IF(RAND()&lt;Assumptions!$B$10,"Bear","Bull"))</f>
        <v>Bull</v>
      </c>
      <c r="H273" s="8" t="n">
        <f aca="true">IF(B273="Bull",NORMINV(RAND(),Assumptions!$B$5,Assumptions!$B$6),NORMINV(RAND(),Assumptions!$B$8,Assumptions!$B$9))</f>
        <v>0.0611341401527662</v>
      </c>
      <c r="I273" s="8" t="n">
        <f aca="true">IF(C273="Bull",NORMINV(RAND(),Assumptions!$B$5,Assumptions!$B$6),NORMINV(RAND(),Assumptions!$B$8,Assumptions!$B$9))</f>
        <v>0.329233847336767</v>
      </c>
      <c r="J273" s="8" t="n">
        <f aca="true">IF(D273="Bull",NORMINV(RAND(),Assumptions!$B$5,Assumptions!$B$6),NORMINV(RAND(),Assumptions!$B$8,Assumptions!$B$9))</f>
        <v>0.130859350675433</v>
      </c>
      <c r="K273" s="8" t="n">
        <f aca="true">IF(E273="Bull",NORMINV(RAND(),Assumptions!$B$5,Assumptions!$B$6),NORMINV(RAND(),Assumptions!$B$8,Assumptions!$B$9))</f>
        <v>0.0873292901551585</v>
      </c>
      <c r="L273" s="8" t="n">
        <f aca="true">IF(F273="Bull",NORMINV(RAND(),Assumptions!$B$5,Assumptions!$B$6),NORMINV(RAND(),Assumptions!$B$8,Assumptions!$B$9))</f>
        <v>0.151552893130417</v>
      </c>
      <c r="M273" s="8" t="n">
        <f aca="true">IF(G273="Bull",NORMINV(RAND(),Assumptions!$B$5,Assumptions!$B$6),NORMINV(RAND(),Assumptions!$B$8,Assumptions!$B$9))</f>
        <v>0.168670658405043</v>
      </c>
      <c r="N273" s="8" t="n">
        <f aca="true">NORMINV(RAND(),Assumptions!$B$14,Assumptions!$B$15)</f>
        <v>0.0439824283704308</v>
      </c>
      <c r="O273" s="8" t="n">
        <f aca="true">NORMINV(RAND(),Assumptions!$B$14,Assumptions!$B$15)</f>
        <v>0.0429544137255786</v>
      </c>
      <c r="P273" s="8" t="n">
        <f aca="true">NORMINV(RAND(),Assumptions!$B$14,Assumptions!$B$15)</f>
        <v>0.050207982966739</v>
      </c>
      <c r="Q273" s="8" t="n">
        <f aca="true">NORMINV(RAND(),Assumptions!$B$14,Assumptions!$B$15)</f>
        <v>0.0792859766211702</v>
      </c>
      <c r="R273" s="8" t="n">
        <f aca="true">NORMINV(RAND(),Assumptions!$B$14,Assumptions!$B$15)</f>
        <v>-0.00535022328581365</v>
      </c>
      <c r="S273" s="8" t="n">
        <f aca="true">NORMINV(RAND(),Assumptions!$B$14,Assumptions!$B$15)</f>
        <v>0.0583291049237031</v>
      </c>
      <c r="T273" s="8" t="n">
        <f aca="false">Assumptions!$B$19*H273+(1-Assumptions!$B$19)*N273</f>
        <v>0.0611341401527662</v>
      </c>
      <c r="U273" s="8" t="n">
        <f aca="false">Assumptions!$B$20*I273+(1-Assumptions!$B$20)*O273</f>
        <v>0.329233847336767</v>
      </c>
      <c r="V273" s="8" t="n">
        <f aca="false">Assumptions!$B$21*J273+(1-Assumptions!$B$21)*P273</f>
        <v>0.130859350675433</v>
      </c>
      <c r="W273" s="8" t="n">
        <f aca="false">Assumptions!$B$22*K273+(1-Assumptions!$B$22)*Q273</f>
        <v>0.0873292901551585</v>
      </c>
      <c r="X273" s="8" t="n">
        <f aca="false">Assumptions!$B$23*L273+(1-Assumptions!$B$23)*R273</f>
        <v>0.120172269847171</v>
      </c>
      <c r="Y273" s="8" t="n">
        <f aca="false">Assumptions!$B$24*M273+(1-Assumptions!$B$24)*S273</f>
        <v>0.124534037012507</v>
      </c>
      <c r="Z273" s="6" t="n">
        <f aca="false">Assumptions!$B$27*(1+T273)</f>
        <v>318340.24204583</v>
      </c>
      <c r="AA273" s="6" t="n">
        <f aca="false">(Z273+Assumptions!$B$28)*(1+U273)</f>
        <v>622533.701797211</v>
      </c>
      <c r="AB273" s="6" t="n">
        <f aca="false">AA273*(1+V273)</f>
        <v>703998.057787968</v>
      </c>
      <c r="AC273" s="6" t="n">
        <f aca="false">AB273*(1+W273)</f>
        <v>765477.708445201</v>
      </c>
      <c r="AD273" s="6" t="n">
        <f aca="false">AC273*(1+X273)</f>
        <v>857466.902186472</v>
      </c>
      <c r="AE273" s="6" t="n">
        <f aca="false">AD273*(1+Y273)</f>
        <v>964250.717120362</v>
      </c>
      <c r="AF273" s="6" t="n">
        <f aca="false">Z273</f>
        <v>318340.24204583</v>
      </c>
      <c r="AG273" s="6" t="n">
        <f aca="false">MAX(AF273,AA273)</f>
        <v>622533.701797211</v>
      </c>
      <c r="AH273" s="6" t="n">
        <f aca="false">MAX(AG273,AB273)</f>
        <v>703998.057787968</v>
      </c>
      <c r="AI273" s="6" t="n">
        <f aca="false">MAX(AH273,AC273)</f>
        <v>765477.708445201</v>
      </c>
      <c r="AJ273" s="6" t="n">
        <f aca="false">MAX(AI273,AD273)</f>
        <v>857466.902186472</v>
      </c>
      <c r="AK273" s="6" t="n">
        <f aca="false">MAX(AJ273,AE273)</f>
        <v>964250.717120362</v>
      </c>
      <c r="AL273" s="8" t="n">
        <f aca="false">MIN(Z273/AF273-1,AA273/AG273-1,AB273/AH273-1,AC273/AI273-1,AD273/AJ273-1,AE273/AK273-1)</f>
        <v>0</v>
      </c>
      <c r="AM273" s="6" t="n">
        <f aca="false">AE273-Assumptions!$B$35</f>
        <v>522986.720457858</v>
      </c>
    </row>
    <row r="274" customFormat="false" ht="15" hidden="false" customHeight="false" outlineLevel="0" collapsed="false">
      <c r="A274" s="0" t="n">
        <f aca="false">ROW()-1</f>
        <v>273</v>
      </c>
      <c r="B274" s="0" t="str">
        <f aca="true">IF(RAND()&lt;Assumptions!$B$11,"Bull","Bear")</f>
        <v>Bull</v>
      </c>
      <c r="C274" s="0" t="str">
        <f aca="true">IF(B274="Bull",IF(RAND()&lt;Assumptions!$B$7,"Bull","Bear"),IF(RAND()&lt;Assumptions!$B$10,"Bear","Bull"))</f>
        <v>Bull</v>
      </c>
      <c r="D274" s="0" t="str">
        <f aca="true">IF(C274="Bull",IF(RAND()&lt;Assumptions!$B$7,"Bull","Bear"),IF(RAND()&lt;Assumptions!$B$10,"Bear","Bull"))</f>
        <v>Bull</v>
      </c>
      <c r="E274" s="0" t="str">
        <f aca="true">IF(D274="Bull",IF(RAND()&lt;Assumptions!$B$7,"Bull","Bear"),IF(RAND()&lt;Assumptions!$B$10,"Bear","Bull"))</f>
        <v>Bull</v>
      </c>
      <c r="F274" s="0" t="str">
        <f aca="true">IF(E274="Bull",IF(RAND()&lt;Assumptions!$B$7,"Bull","Bear"),IF(RAND()&lt;Assumptions!$B$10,"Bear","Bull"))</f>
        <v>Bull</v>
      </c>
      <c r="G274" s="0" t="str">
        <f aca="true">IF(F274="Bull",IF(RAND()&lt;Assumptions!$B$7,"Bull","Bear"),IF(RAND()&lt;Assumptions!$B$10,"Bear","Bull"))</f>
        <v>Bull</v>
      </c>
      <c r="H274" s="8" t="n">
        <f aca="true">IF(B274="Bull",NORMINV(RAND(),Assumptions!$B$5,Assumptions!$B$6),NORMINV(RAND(),Assumptions!$B$8,Assumptions!$B$9))</f>
        <v>0.154330759543528</v>
      </c>
      <c r="I274" s="8" t="n">
        <f aca="true">IF(C274="Bull",NORMINV(RAND(),Assumptions!$B$5,Assumptions!$B$6),NORMINV(RAND(),Assumptions!$B$8,Assumptions!$B$9))</f>
        <v>0.138235131149703</v>
      </c>
      <c r="J274" s="8" t="n">
        <f aca="true">IF(D274="Bull",NORMINV(RAND(),Assumptions!$B$5,Assumptions!$B$6),NORMINV(RAND(),Assumptions!$B$8,Assumptions!$B$9))</f>
        <v>0.149686567762638</v>
      </c>
      <c r="K274" s="8" t="n">
        <f aca="true">IF(E274="Bull",NORMINV(RAND(),Assumptions!$B$5,Assumptions!$B$6),NORMINV(RAND(),Assumptions!$B$8,Assumptions!$B$9))</f>
        <v>0.3731175965372</v>
      </c>
      <c r="L274" s="8" t="n">
        <f aca="true">IF(F274="Bull",NORMINV(RAND(),Assumptions!$B$5,Assumptions!$B$6),NORMINV(RAND(),Assumptions!$B$8,Assumptions!$B$9))</f>
        <v>0.313034584014144</v>
      </c>
      <c r="M274" s="8" t="n">
        <f aca="true">IF(G274="Bull",NORMINV(RAND(),Assumptions!$B$5,Assumptions!$B$6),NORMINV(RAND(),Assumptions!$B$8,Assumptions!$B$9))</f>
        <v>0.28199066349095</v>
      </c>
      <c r="N274" s="8" t="n">
        <f aca="true">NORMINV(RAND(),Assumptions!$B$14,Assumptions!$B$15)</f>
        <v>0.0653048204181407</v>
      </c>
      <c r="O274" s="8" t="n">
        <f aca="true">NORMINV(RAND(),Assumptions!$B$14,Assumptions!$B$15)</f>
        <v>0.0123512084428671</v>
      </c>
      <c r="P274" s="8" t="n">
        <f aca="true">NORMINV(RAND(),Assumptions!$B$14,Assumptions!$B$15)</f>
        <v>0.0394022934697089</v>
      </c>
      <c r="Q274" s="8" t="n">
        <f aca="true">NORMINV(RAND(),Assumptions!$B$14,Assumptions!$B$15)</f>
        <v>0.0837600209097559</v>
      </c>
      <c r="R274" s="8" t="n">
        <f aca="true">NORMINV(RAND(),Assumptions!$B$14,Assumptions!$B$15)</f>
        <v>0.0253911700875306</v>
      </c>
      <c r="S274" s="8" t="n">
        <f aca="true">NORMINV(RAND(),Assumptions!$B$14,Assumptions!$B$15)</f>
        <v>0.0806878820323276</v>
      </c>
      <c r="T274" s="8" t="n">
        <f aca="false">Assumptions!$B$19*H274+(1-Assumptions!$B$19)*N274</f>
        <v>0.154330759543528</v>
      </c>
      <c r="U274" s="8" t="n">
        <f aca="false">Assumptions!$B$20*I274+(1-Assumptions!$B$20)*O274</f>
        <v>0.138235131149703</v>
      </c>
      <c r="V274" s="8" t="n">
        <f aca="false">Assumptions!$B$21*J274+(1-Assumptions!$B$21)*P274</f>
        <v>0.149686567762638</v>
      </c>
      <c r="W274" s="8" t="n">
        <f aca="false">Assumptions!$B$22*K274+(1-Assumptions!$B$22)*Q274</f>
        <v>0.3731175965372</v>
      </c>
      <c r="X274" s="8" t="n">
        <f aca="false">Assumptions!$B$23*L274+(1-Assumptions!$B$23)*R274</f>
        <v>0.255505901228821</v>
      </c>
      <c r="Y274" s="8" t="n">
        <f aca="false">Assumptions!$B$24*M274+(1-Assumptions!$B$24)*S274</f>
        <v>0.201469550907501</v>
      </c>
      <c r="Z274" s="6" t="n">
        <f aca="false">Assumptions!$B$27*(1+T274)</f>
        <v>346299.227863058</v>
      </c>
      <c r="AA274" s="6" t="n">
        <f aca="false">(Z274+Assumptions!$B$28)*(1+U274)</f>
        <v>564905.216716205</v>
      </c>
      <c r="AB274" s="6" t="n">
        <f aca="false">AA274*(1+V274)</f>
        <v>649463.939717663</v>
      </c>
      <c r="AC274" s="6" t="n">
        <f aca="false">AB274*(1+W274)</f>
        <v>891790.363942698</v>
      </c>
      <c r="AD274" s="6" t="n">
        <f aca="false">AC274*(1+X274)</f>
        <v>1119648.06458906</v>
      </c>
      <c r="AE274" s="6" t="n">
        <f aca="false">AD274*(1+Y274)</f>
        <v>1345223.05733627</v>
      </c>
      <c r="AF274" s="6" t="n">
        <f aca="false">Z274</f>
        <v>346299.227863058</v>
      </c>
      <c r="AG274" s="6" t="n">
        <f aca="false">MAX(AF274,AA274)</f>
        <v>564905.216716205</v>
      </c>
      <c r="AH274" s="6" t="n">
        <f aca="false">MAX(AG274,AB274)</f>
        <v>649463.939717663</v>
      </c>
      <c r="AI274" s="6" t="n">
        <f aca="false">MAX(AH274,AC274)</f>
        <v>891790.363942698</v>
      </c>
      <c r="AJ274" s="6" t="n">
        <f aca="false">MAX(AI274,AD274)</f>
        <v>1119648.06458906</v>
      </c>
      <c r="AK274" s="6" t="n">
        <f aca="false">MAX(AJ274,AE274)</f>
        <v>1345223.05733627</v>
      </c>
      <c r="AL274" s="8" t="n">
        <f aca="false">MIN(Z274/AF274-1,AA274/AG274-1,AB274/AH274-1,AC274/AI274-1,AD274/AJ274-1,AE274/AK274-1)</f>
        <v>0</v>
      </c>
      <c r="AM274" s="6" t="n">
        <f aca="false">AE274-Assumptions!$B$35</f>
        <v>903959.060673762</v>
      </c>
    </row>
    <row r="275" customFormat="false" ht="15" hidden="false" customHeight="false" outlineLevel="0" collapsed="false">
      <c r="A275" s="0" t="n">
        <f aca="false">ROW()-1</f>
        <v>274</v>
      </c>
      <c r="B275" s="0" t="str">
        <f aca="true">IF(RAND()&lt;Assumptions!$B$11,"Bull","Bear")</f>
        <v>Bull</v>
      </c>
      <c r="C275" s="0" t="str">
        <f aca="true">IF(B275="Bull",IF(RAND()&lt;Assumptions!$B$7,"Bull","Bear"),IF(RAND()&lt;Assumptions!$B$10,"Bear","Bull"))</f>
        <v>Bear</v>
      </c>
      <c r="D275" s="0" t="str">
        <f aca="true">IF(C275="Bull",IF(RAND()&lt;Assumptions!$B$7,"Bull","Bear"),IF(RAND()&lt;Assumptions!$B$10,"Bear","Bull"))</f>
        <v>Bear</v>
      </c>
      <c r="E275" s="0" t="str">
        <f aca="true">IF(D275="Bull",IF(RAND()&lt;Assumptions!$B$7,"Bull","Bear"),IF(RAND()&lt;Assumptions!$B$10,"Bear","Bull"))</f>
        <v>Bull</v>
      </c>
      <c r="F275" s="0" t="str">
        <f aca="true">IF(E275="Bull",IF(RAND()&lt;Assumptions!$B$7,"Bull","Bear"),IF(RAND()&lt;Assumptions!$B$10,"Bear","Bull"))</f>
        <v>Bear</v>
      </c>
      <c r="G275" s="0" t="str">
        <f aca="true">IF(F275="Bull",IF(RAND()&lt;Assumptions!$B$7,"Bull","Bear"),IF(RAND()&lt;Assumptions!$B$10,"Bear","Bull"))</f>
        <v>Bull</v>
      </c>
      <c r="H275" s="8" t="n">
        <f aca="true">IF(B275="Bull",NORMINV(RAND(),Assumptions!$B$5,Assumptions!$B$6),NORMINV(RAND(),Assumptions!$B$8,Assumptions!$B$9))</f>
        <v>0.029884979711605</v>
      </c>
      <c r="I275" s="8" t="n">
        <f aca="true">IF(C275="Bull",NORMINV(RAND(),Assumptions!$B$5,Assumptions!$B$6),NORMINV(RAND(),Assumptions!$B$8,Assumptions!$B$9))</f>
        <v>0.287800385279594</v>
      </c>
      <c r="J275" s="8" t="n">
        <f aca="true">IF(D275="Bull",NORMINV(RAND(),Assumptions!$B$5,Assumptions!$B$6),NORMINV(RAND(),Assumptions!$B$8,Assumptions!$B$9))</f>
        <v>-0.319882634283761</v>
      </c>
      <c r="K275" s="8" t="n">
        <f aca="true">IF(E275="Bull",NORMINV(RAND(),Assumptions!$B$5,Assumptions!$B$6),NORMINV(RAND(),Assumptions!$B$8,Assumptions!$B$9))</f>
        <v>0.233215406213317</v>
      </c>
      <c r="L275" s="8" t="n">
        <f aca="true">IF(F275="Bull",NORMINV(RAND(),Assumptions!$B$5,Assumptions!$B$6),NORMINV(RAND(),Assumptions!$B$8,Assumptions!$B$9))</f>
        <v>-0.196868892355361</v>
      </c>
      <c r="M275" s="8" t="n">
        <f aca="true">IF(G275="Bull",NORMINV(RAND(),Assumptions!$B$5,Assumptions!$B$6),NORMINV(RAND(),Assumptions!$B$8,Assumptions!$B$9))</f>
        <v>0.24648333064488</v>
      </c>
      <c r="N275" s="8" t="n">
        <f aca="true">NORMINV(RAND(),Assumptions!$B$14,Assumptions!$B$15)</f>
        <v>0.0901509711252815</v>
      </c>
      <c r="O275" s="8" t="n">
        <f aca="true">NORMINV(RAND(),Assumptions!$B$14,Assumptions!$B$15)</f>
        <v>0.0333296760513214</v>
      </c>
      <c r="P275" s="8" t="n">
        <f aca="true">NORMINV(RAND(),Assumptions!$B$14,Assumptions!$B$15)</f>
        <v>0.0948329664378216</v>
      </c>
      <c r="Q275" s="8" t="n">
        <f aca="true">NORMINV(RAND(),Assumptions!$B$14,Assumptions!$B$15)</f>
        <v>0.0434482297621042</v>
      </c>
      <c r="R275" s="8" t="n">
        <f aca="true">NORMINV(RAND(),Assumptions!$B$14,Assumptions!$B$15)</f>
        <v>0.088708985029432</v>
      </c>
      <c r="S275" s="8" t="n">
        <f aca="true">NORMINV(RAND(),Assumptions!$B$14,Assumptions!$B$15)</f>
        <v>0.00690973848764748</v>
      </c>
      <c r="T275" s="8" t="n">
        <f aca="false">Assumptions!$B$19*H275+(1-Assumptions!$B$19)*N275</f>
        <v>0.029884979711605</v>
      </c>
      <c r="U275" s="8" t="n">
        <f aca="false">Assumptions!$B$20*I275+(1-Assumptions!$B$20)*O275</f>
        <v>0.287800385279594</v>
      </c>
      <c r="V275" s="8" t="n">
        <f aca="false">Assumptions!$B$21*J275+(1-Assumptions!$B$21)*P275</f>
        <v>-0.319882634283761</v>
      </c>
      <c r="W275" s="8" t="n">
        <f aca="false">Assumptions!$B$22*K275+(1-Assumptions!$B$22)*Q275</f>
        <v>0.233215406213317</v>
      </c>
      <c r="X275" s="8" t="n">
        <f aca="false">Assumptions!$B$23*L275+(1-Assumptions!$B$23)*R275</f>
        <v>-0.139753316878402</v>
      </c>
      <c r="Y275" s="8" t="n">
        <f aca="false">Assumptions!$B$24*M275+(1-Assumptions!$B$24)*S275</f>
        <v>0.150653893781987</v>
      </c>
      <c r="Z275" s="6" t="n">
        <f aca="false">Assumptions!$B$27*(1+T275)</f>
        <v>308965.493913482</v>
      </c>
      <c r="AA275" s="6" t="n">
        <f aca="false">(Z275+Assumptions!$B$28)*(1+U275)</f>
        <v>591055.93989182</v>
      </c>
      <c r="AB275" s="6" t="n">
        <f aca="false">AA275*(1+V275)</f>
        <v>401987.408830161</v>
      </c>
      <c r="AC275" s="6" t="n">
        <f aca="false">AB275*(1+W275)</f>
        <v>495737.065673126</v>
      </c>
      <c r="AD275" s="6" t="n">
        <f aca="false">AC275*(1+X275)</f>
        <v>426456.16644574</v>
      </c>
      <c r="AE275" s="6" t="n">
        <f aca="false">AD275*(1+Y275)</f>
        <v>490703.44844813</v>
      </c>
      <c r="AF275" s="6" t="n">
        <f aca="false">Z275</f>
        <v>308965.493913482</v>
      </c>
      <c r="AG275" s="6" t="n">
        <f aca="false">MAX(AF275,AA275)</f>
        <v>591055.93989182</v>
      </c>
      <c r="AH275" s="6" t="n">
        <f aca="false">MAX(AG275,AB275)</f>
        <v>591055.93989182</v>
      </c>
      <c r="AI275" s="6" t="n">
        <f aca="false">MAX(AH275,AC275)</f>
        <v>591055.93989182</v>
      </c>
      <c r="AJ275" s="6" t="n">
        <f aca="false">MAX(AI275,AD275)</f>
        <v>591055.93989182</v>
      </c>
      <c r="AK275" s="6" t="n">
        <f aca="false">MAX(AJ275,AE275)</f>
        <v>591055.93989182</v>
      </c>
      <c r="AL275" s="8" t="n">
        <f aca="false">MIN(Z275/AF275-1,AA275/AG275-1,AB275/AH275-1,AC275/AI275-1,AD275/AJ275-1,AE275/AK275-1)</f>
        <v>-0.319882634283761</v>
      </c>
      <c r="AM275" s="6" t="n">
        <f aca="false">AE275-Assumptions!$B$35</f>
        <v>49439.4517856264</v>
      </c>
    </row>
    <row r="276" customFormat="false" ht="15" hidden="false" customHeight="false" outlineLevel="0" collapsed="false">
      <c r="A276" s="0" t="n">
        <f aca="false">ROW()-1</f>
        <v>275</v>
      </c>
      <c r="B276" s="0" t="str">
        <f aca="true">IF(RAND()&lt;Assumptions!$B$11,"Bull","Bear")</f>
        <v>Bear</v>
      </c>
      <c r="C276" s="0" t="str">
        <f aca="true">IF(B276="Bull",IF(RAND()&lt;Assumptions!$B$7,"Bull","Bear"),IF(RAND()&lt;Assumptions!$B$10,"Bear","Bull"))</f>
        <v>Bull</v>
      </c>
      <c r="D276" s="0" t="str">
        <f aca="true">IF(C276="Bull",IF(RAND()&lt;Assumptions!$B$7,"Bull","Bear"),IF(RAND()&lt;Assumptions!$B$10,"Bear","Bull"))</f>
        <v>Bear</v>
      </c>
      <c r="E276" s="0" t="str">
        <f aca="true">IF(D276="Bull",IF(RAND()&lt;Assumptions!$B$7,"Bull","Bear"),IF(RAND()&lt;Assumptions!$B$10,"Bear","Bull"))</f>
        <v>Bear</v>
      </c>
      <c r="F276" s="0" t="str">
        <f aca="true">IF(E276="Bull",IF(RAND()&lt;Assumptions!$B$7,"Bull","Bear"),IF(RAND()&lt;Assumptions!$B$10,"Bear","Bull"))</f>
        <v>Bear</v>
      </c>
      <c r="G276" s="0" t="str">
        <f aca="true">IF(F276="Bull",IF(RAND()&lt;Assumptions!$B$7,"Bull","Bear"),IF(RAND()&lt;Assumptions!$B$10,"Bear","Bull"))</f>
        <v>Bull</v>
      </c>
      <c r="H276" s="8" t="n">
        <f aca="true">IF(B276="Bull",NORMINV(RAND(),Assumptions!$B$5,Assumptions!$B$6),NORMINV(RAND(),Assumptions!$B$8,Assumptions!$B$9))</f>
        <v>-0.280120787450596</v>
      </c>
      <c r="I276" s="8" t="n">
        <f aca="true">IF(C276="Bull",NORMINV(RAND(),Assumptions!$B$5,Assumptions!$B$6),NORMINV(RAND(),Assumptions!$B$8,Assumptions!$B$9))</f>
        <v>0.166555514382216</v>
      </c>
      <c r="J276" s="8" t="n">
        <f aca="true">IF(D276="Bull",NORMINV(RAND(),Assumptions!$B$5,Assumptions!$B$6),NORMINV(RAND(),Assumptions!$B$8,Assumptions!$B$9))</f>
        <v>0.0122573130509241</v>
      </c>
      <c r="K276" s="8" t="n">
        <f aca="true">IF(E276="Bull",NORMINV(RAND(),Assumptions!$B$5,Assumptions!$B$6),NORMINV(RAND(),Assumptions!$B$8,Assumptions!$B$9))</f>
        <v>-0.113476253626528</v>
      </c>
      <c r="L276" s="8" t="n">
        <f aca="true">IF(F276="Bull",NORMINV(RAND(),Assumptions!$B$5,Assumptions!$B$6),NORMINV(RAND(),Assumptions!$B$8,Assumptions!$B$9))</f>
        <v>-0.160025033984087</v>
      </c>
      <c r="M276" s="8" t="n">
        <f aca="true">IF(G276="Bull",NORMINV(RAND(),Assumptions!$B$5,Assumptions!$B$6),NORMINV(RAND(),Assumptions!$B$8,Assumptions!$B$9))</f>
        <v>0.262842400515079</v>
      </c>
      <c r="N276" s="8" t="n">
        <f aca="true">NORMINV(RAND(),Assumptions!$B$14,Assumptions!$B$15)</f>
        <v>0.0532408236000637</v>
      </c>
      <c r="O276" s="8" t="n">
        <f aca="true">NORMINV(RAND(),Assumptions!$B$14,Assumptions!$B$15)</f>
        <v>0.0465231086281394</v>
      </c>
      <c r="P276" s="8" t="n">
        <f aca="true">NORMINV(RAND(),Assumptions!$B$14,Assumptions!$B$15)</f>
        <v>0.0704591123039558</v>
      </c>
      <c r="Q276" s="8" t="n">
        <f aca="true">NORMINV(RAND(),Assumptions!$B$14,Assumptions!$B$15)</f>
        <v>0.0388174851771659</v>
      </c>
      <c r="R276" s="8" t="n">
        <f aca="true">NORMINV(RAND(),Assumptions!$B$14,Assumptions!$B$15)</f>
        <v>0.0886699492060758</v>
      </c>
      <c r="S276" s="8" t="n">
        <f aca="true">NORMINV(RAND(),Assumptions!$B$14,Assumptions!$B$15)</f>
        <v>0.0847600547167208</v>
      </c>
      <c r="T276" s="8" t="n">
        <f aca="false">Assumptions!$B$19*H276+(1-Assumptions!$B$19)*N276</f>
        <v>-0.280120787450596</v>
      </c>
      <c r="U276" s="8" t="n">
        <f aca="false">Assumptions!$B$20*I276+(1-Assumptions!$B$20)*O276</f>
        <v>0.166555514382216</v>
      </c>
      <c r="V276" s="8" t="n">
        <f aca="false">Assumptions!$B$21*J276+(1-Assumptions!$B$21)*P276</f>
        <v>0.0122573130509241</v>
      </c>
      <c r="W276" s="8" t="n">
        <f aca="false">Assumptions!$B$22*K276+(1-Assumptions!$B$22)*Q276</f>
        <v>-0.113476253626528</v>
      </c>
      <c r="X276" s="8" t="n">
        <f aca="false">Assumptions!$B$23*L276+(1-Assumptions!$B$23)*R276</f>
        <v>-0.110286037346054</v>
      </c>
      <c r="Y276" s="8" t="n">
        <f aca="false">Assumptions!$B$24*M276+(1-Assumptions!$B$24)*S276</f>
        <v>0.191609462195736</v>
      </c>
      <c r="Z276" s="6" t="n">
        <f aca="false">Assumptions!$B$27*(1+T276)</f>
        <v>215963.763764821</v>
      </c>
      <c r="AA276" s="6" t="n">
        <f aca="false">(Z276+Assumptions!$B$28)*(1+U276)</f>
        <v>426917.046683923</v>
      </c>
      <c r="AB276" s="6" t="n">
        <f aca="false">AA276*(1+V276)</f>
        <v>432149.902571903</v>
      </c>
      <c r="AC276" s="6" t="n">
        <f aca="false">AB276*(1+W276)</f>
        <v>383111.150622975</v>
      </c>
      <c r="AD276" s="6" t="n">
        <f aca="false">AC276*(1+X276)</f>
        <v>340859.339957679</v>
      </c>
      <c r="AE276" s="6" t="n">
        <f aca="false">AD276*(1+Y276)</f>
        <v>406171.214771364</v>
      </c>
      <c r="AF276" s="6" t="n">
        <f aca="false">Z276</f>
        <v>215963.763764821</v>
      </c>
      <c r="AG276" s="6" t="n">
        <f aca="false">MAX(AF276,AA276)</f>
        <v>426917.046683923</v>
      </c>
      <c r="AH276" s="6" t="n">
        <f aca="false">MAX(AG276,AB276)</f>
        <v>432149.902571903</v>
      </c>
      <c r="AI276" s="6" t="n">
        <f aca="false">MAX(AH276,AC276)</f>
        <v>432149.902571903</v>
      </c>
      <c r="AJ276" s="6" t="n">
        <f aca="false">MAX(AI276,AD276)</f>
        <v>432149.902571903</v>
      </c>
      <c r="AK276" s="6" t="n">
        <f aca="false">MAX(AJ276,AE276)</f>
        <v>432149.902571903</v>
      </c>
      <c r="AL276" s="8" t="n">
        <f aca="false">MIN(Z276/AF276-1,AA276/AG276-1,AB276/AH276-1,AC276/AI276-1,AD276/AJ276-1,AE276/AK276-1)</f>
        <v>-0.211247444627237</v>
      </c>
      <c r="AM276" s="6" t="n">
        <f aca="false">AE276-Assumptions!$B$35</f>
        <v>-35092.7818911397</v>
      </c>
    </row>
    <row r="277" customFormat="false" ht="15" hidden="false" customHeight="false" outlineLevel="0" collapsed="false">
      <c r="A277" s="0" t="n">
        <f aca="false">ROW()-1</f>
        <v>276</v>
      </c>
      <c r="B277" s="0" t="str">
        <f aca="true">IF(RAND()&lt;Assumptions!$B$11,"Bull","Bear")</f>
        <v>Bull</v>
      </c>
      <c r="C277" s="0" t="str">
        <f aca="true">IF(B277="Bull",IF(RAND()&lt;Assumptions!$B$7,"Bull","Bear"),IF(RAND()&lt;Assumptions!$B$10,"Bear","Bull"))</f>
        <v>Bear</v>
      </c>
      <c r="D277" s="0" t="str">
        <f aca="true">IF(C277="Bull",IF(RAND()&lt;Assumptions!$B$7,"Bull","Bear"),IF(RAND()&lt;Assumptions!$B$10,"Bear","Bull"))</f>
        <v>Bear</v>
      </c>
      <c r="E277" s="0" t="str">
        <f aca="true">IF(D277="Bull",IF(RAND()&lt;Assumptions!$B$7,"Bull","Bear"),IF(RAND()&lt;Assumptions!$B$10,"Bear","Bull"))</f>
        <v>Bull</v>
      </c>
      <c r="F277" s="0" t="str">
        <f aca="true">IF(E277="Bull",IF(RAND()&lt;Assumptions!$B$7,"Bull","Bear"),IF(RAND()&lt;Assumptions!$B$10,"Bear","Bull"))</f>
        <v>Bull</v>
      </c>
      <c r="G277" s="0" t="str">
        <f aca="true">IF(F277="Bull",IF(RAND()&lt;Assumptions!$B$7,"Bull","Bear"),IF(RAND()&lt;Assumptions!$B$10,"Bear","Bull"))</f>
        <v>Bull</v>
      </c>
      <c r="H277" s="8" t="n">
        <f aca="true">IF(B277="Bull",NORMINV(RAND(),Assumptions!$B$5,Assumptions!$B$6),NORMINV(RAND(),Assumptions!$B$8,Assumptions!$B$9))</f>
        <v>0.211902948041693</v>
      </c>
      <c r="I277" s="8" t="n">
        <f aca="true">IF(C277="Bull",NORMINV(RAND(),Assumptions!$B$5,Assumptions!$B$6),NORMINV(RAND(),Assumptions!$B$8,Assumptions!$B$9))</f>
        <v>-0.587548873032229</v>
      </c>
      <c r="J277" s="8" t="n">
        <f aca="true">IF(D277="Bull",NORMINV(RAND(),Assumptions!$B$5,Assumptions!$B$6),NORMINV(RAND(),Assumptions!$B$8,Assumptions!$B$9))</f>
        <v>-0.0505421633480641</v>
      </c>
      <c r="K277" s="8" t="n">
        <f aca="true">IF(E277="Bull",NORMINV(RAND(),Assumptions!$B$5,Assumptions!$B$6),NORMINV(RAND(),Assumptions!$B$8,Assumptions!$B$9))</f>
        <v>0.071833749596419</v>
      </c>
      <c r="L277" s="8" t="n">
        <f aca="true">IF(F277="Bull",NORMINV(RAND(),Assumptions!$B$5,Assumptions!$B$6),NORMINV(RAND(),Assumptions!$B$8,Assumptions!$B$9))</f>
        <v>0.332608229294094</v>
      </c>
      <c r="M277" s="8" t="n">
        <f aca="true">IF(G277="Bull",NORMINV(RAND(),Assumptions!$B$5,Assumptions!$B$6),NORMINV(RAND(),Assumptions!$B$8,Assumptions!$B$9))</f>
        <v>0.213938064600402</v>
      </c>
      <c r="N277" s="8" t="n">
        <f aca="true">NORMINV(RAND(),Assumptions!$B$14,Assumptions!$B$15)</f>
        <v>0.0399980074716407</v>
      </c>
      <c r="O277" s="8" t="n">
        <f aca="true">NORMINV(RAND(),Assumptions!$B$14,Assumptions!$B$15)</f>
        <v>0.00908566404473398</v>
      </c>
      <c r="P277" s="8" t="n">
        <f aca="true">NORMINV(RAND(),Assumptions!$B$14,Assumptions!$B$15)</f>
        <v>-0.00414088849090225</v>
      </c>
      <c r="Q277" s="8" t="n">
        <f aca="true">NORMINV(RAND(),Assumptions!$B$14,Assumptions!$B$15)</f>
        <v>0.0676533272691509</v>
      </c>
      <c r="R277" s="8" t="n">
        <f aca="true">NORMINV(RAND(),Assumptions!$B$14,Assumptions!$B$15)</f>
        <v>0.0285103095363874</v>
      </c>
      <c r="S277" s="8" t="n">
        <f aca="true">NORMINV(RAND(),Assumptions!$B$14,Assumptions!$B$15)</f>
        <v>0.0276036541029434</v>
      </c>
      <c r="T277" s="8" t="n">
        <f aca="false">Assumptions!$B$19*H277+(1-Assumptions!$B$19)*N277</f>
        <v>0.211902948041693</v>
      </c>
      <c r="U277" s="8" t="n">
        <f aca="false">Assumptions!$B$20*I277+(1-Assumptions!$B$20)*O277</f>
        <v>-0.587548873032229</v>
      </c>
      <c r="V277" s="8" t="n">
        <f aca="false">Assumptions!$B$21*J277+(1-Assumptions!$B$21)*P277</f>
        <v>-0.0505421633480641</v>
      </c>
      <c r="W277" s="8" t="n">
        <f aca="false">Assumptions!$B$22*K277+(1-Assumptions!$B$22)*Q277</f>
        <v>0.071833749596419</v>
      </c>
      <c r="X277" s="8" t="n">
        <f aca="false">Assumptions!$B$23*L277+(1-Assumptions!$B$23)*R277</f>
        <v>0.271788645342553</v>
      </c>
      <c r="Y277" s="8" t="n">
        <f aca="false">Assumptions!$B$24*M277+(1-Assumptions!$B$24)*S277</f>
        <v>0.139404300401418</v>
      </c>
      <c r="Z277" s="6" t="n">
        <f aca="false">Assumptions!$B$27*(1+T277)</f>
        <v>363570.884412508</v>
      </c>
      <c r="AA277" s="6" t="n">
        <f aca="false">(Z277+Assumptions!$B$28)*(1+U277)</f>
        <v>211822.890053774</v>
      </c>
      <c r="AB277" s="6" t="n">
        <f aca="false">AA277*(1+V277)</f>
        <v>201116.902943817</v>
      </c>
      <c r="AC277" s="6" t="n">
        <f aca="false">AB277*(1+W277)</f>
        <v>215563.884189491</v>
      </c>
      <c r="AD277" s="6" t="n">
        <f aca="false">AC277*(1+X277)</f>
        <v>274151.700258131</v>
      </c>
      <c r="AE277" s="6" t="n">
        <f aca="false">AD277*(1+Y277)</f>
        <v>312369.626236475</v>
      </c>
      <c r="AF277" s="6" t="n">
        <f aca="false">Z277</f>
        <v>363570.884412508</v>
      </c>
      <c r="AG277" s="6" t="n">
        <f aca="false">MAX(AF277,AA277)</f>
        <v>363570.884412508</v>
      </c>
      <c r="AH277" s="6" t="n">
        <f aca="false">MAX(AG277,AB277)</f>
        <v>363570.884412508</v>
      </c>
      <c r="AI277" s="6" t="n">
        <f aca="false">MAX(AH277,AC277)</f>
        <v>363570.884412508</v>
      </c>
      <c r="AJ277" s="6" t="n">
        <f aca="false">MAX(AI277,AD277)</f>
        <v>363570.884412508</v>
      </c>
      <c r="AK277" s="6" t="n">
        <f aca="false">MAX(AJ277,AE277)</f>
        <v>363570.884412508</v>
      </c>
      <c r="AL277" s="8" t="n">
        <f aca="false">MIN(Z277/AF277-1,AA277/AG277-1,AB277/AH277-1,AC277/AI277-1,AD277/AJ277-1,AE277/AK277-1)</f>
        <v>-0.446828908566755</v>
      </c>
      <c r="AM277" s="6" t="n">
        <f aca="false">AE277-Assumptions!$B$35</f>
        <v>-128894.370426028</v>
      </c>
    </row>
    <row r="278" customFormat="false" ht="15" hidden="false" customHeight="false" outlineLevel="0" collapsed="false">
      <c r="A278" s="0" t="n">
        <f aca="false">ROW()-1</f>
        <v>277</v>
      </c>
      <c r="B278" s="0" t="str">
        <f aca="true">IF(RAND()&lt;Assumptions!$B$11,"Bull","Bear")</f>
        <v>Bull</v>
      </c>
      <c r="C278" s="0" t="str">
        <f aca="true">IF(B278="Bull",IF(RAND()&lt;Assumptions!$B$7,"Bull","Bear"),IF(RAND()&lt;Assumptions!$B$10,"Bear","Bull"))</f>
        <v>Bull</v>
      </c>
      <c r="D278" s="0" t="str">
        <f aca="true">IF(C278="Bull",IF(RAND()&lt;Assumptions!$B$7,"Bull","Bear"),IF(RAND()&lt;Assumptions!$B$10,"Bear","Bull"))</f>
        <v>Bull</v>
      </c>
      <c r="E278" s="0" t="str">
        <f aca="true">IF(D278="Bull",IF(RAND()&lt;Assumptions!$B$7,"Bull","Bear"),IF(RAND()&lt;Assumptions!$B$10,"Bear","Bull"))</f>
        <v>Bear</v>
      </c>
      <c r="F278" s="0" t="str">
        <f aca="true">IF(E278="Bull",IF(RAND()&lt;Assumptions!$B$7,"Bull","Bear"),IF(RAND()&lt;Assumptions!$B$10,"Bear","Bull"))</f>
        <v>Bull</v>
      </c>
      <c r="G278" s="0" t="str">
        <f aca="true">IF(F278="Bull",IF(RAND()&lt;Assumptions!$B$7,"Bull","Bear"),IF(RAND()&lt;Assumptions!$B$10,"Bear","Bull"))</f>
        <v>Bull</v>
      </c>
      <c r="H278" s="8" t="n">
        <f aca="true">IF(B278="Bull",NORMINV(RAND(),Assumptions!$B$5,Assumptions!$B$6),NORMINV(RAND(),Assumptions!$B$8,Assumptions!$B$9))</f>
        <v>0.132223150137425</v>
      </c>
      <c r="I278" s="8" t="n">
        <f aca="true">IF(C278="Bull",NORMINV(RAND(),Assumptions!$B$5,Assumptions!$B$6),NORMINV(RAND(),Assumptions!$B$8,Assumptions!$B$9))</f>
        <v>0.199361868961225</v>
      </c>
      <c r="J278" s="8" t="n">
        <f aca="true">IF(D278="Bull",NORMINV(RAND(),Assumptions!$B$5,Assumptions!$B$6),NORMINV(RAND(),Assumptions!$B$8,Assumptions!$B$9))</f>
        <v>0.16617035020346</v>
      </c>
      <c r="K278" s="8" t="n">
        <f aca="true">IF(E278="Bull",NORMINV(RAND(),Assumptions!$B$5,Assumptions!$B$6),NORMINV(RAND(),Assumptions!$B$8,Assumptions!$B$9))</f>
        <v>-0.272963699435335</v>
      </c>
      <c r="L278" s="8" t="n">
        <f aca="true">IF(F278="Bull",NORMINV(RAND(),Assumptions!$B$5,Assumptions!$B$6),NORMINV(RAND(),Assumptions!$B$8,Assumptions!$B$9))</f>
        <v>0.311566888752476</v>
      </c>
      <c r="M278" s="8" t="n">
        <f aca="true">IF(G278="Bull",NORMINV(RAND(),Assumptions!$B$5,Assumptions!$B$6),NORMINV(RAND(),Assumptions!$B$8,Assumptions!$B$9))</f>
        <v>0.157517062024632</v>
      </c>
      <c r="N278" s="8" t="n">
        <f aca="true">NORMINV(RAND(),Assumptions!$B$14,Assumptions!$B$15)</f>
        <v>0.0669857330835892</v>
      </c>
      <c r="O278" s="8" t="n">
        <f aca="true">NORMINV(RAND(),Assumptions!$B$14,Assumptions!$B$15)</f>
        <v>0.0438284389247224</v>
      </c>
      <c r="P278" s="8" t="n">
        <f aca="true">NORMINV(RAND(),Assumptions!$B$14,Assumptions!$B$15)</f>
        <v>0.00214924379064022</v>
      </c>
      <c r="Q278" s="8" t="n">
        <f aca="true">NORMINV(RAND(),Assumptions!$B$14,Assumptions!$B$15)</f>
        <v>0.042869975147591</v>
      </c>
      <c r="R278" s="8" t="n">
        <f aca="true">NORMINV(RAND(),Assumptions!$B$14,Assumptions!$B$15)</f>
        <v>-0.00366234911803741</v>
      </c>
      <c r="S278" s="8" t="n">
        <f aca="true">NORMINV(RAND(),Assumptions!$B$14,Assumptions!$B$15)</f>
        <v>0.0764537207145264</v>
      </c>
      <c r="T278" s="8" t="n">
        <f aca="false">Assumptions!$B$19*H278+(1-Assumptions!$B$19)*N278</f>
        <v>0.132223150137425</v>
      </c>
      <c r="U278" s="8" t="n">
        <f aca="false">Assumptions!$B$20*I278+(1-Assumptions!$B$20)*O278</f>
        <v>0.199361868961225</v>
      </c>
      <c r="V278" s="8" t="n">
        <f aca="false">Assumptions!$B$21*J278+(1-Assumptions!$B$21)*P278</f>
        <v>0.16617035020346</v>
      </c>
      <c r="W278" s="8" t="n">
        <f aca="false">Assumptions!$B$22*K278+(1-Assumptions!$B$22)*Q278</f>
        <v>-0.272963699435335</v>
      </c>
      <c r="X278" s="8" t="n">
        <f aca="false">Assumptions!$B$23*L278+(1-Assumptions!$B$23)*R278</f>
        <v>0.248521041178374</v>
      </c>
      <c r="Y278" s="8" t="n">
        <f aca="false">Assumptions!$B$24*M278+(1-Assumptions!$B$24)*S278</f>
        <v>0.12509172550059</v>
      </c>
      <c r="Z278" s="6" t="n">
        <f aca="false">Assumptions!$B$27*(1+T278)</f>
        <v>339666.945041228</v>
      </c>
      <c r="AA278" s="6" t="n">
        <f aca="false">(Z278+Assumptions!$B$28)*(1+U278)</f>
        <v>587287.86237318</v>
      </c>
      <c r="AB278" s="6" t="n">
        <f aca="false">AA278*(1+V278)</f>
        <v>684877.692133973</v>
      </c>
      <c r="AC278" s="6" t="n">
        <f aca="false">AB278*(1+W278)</f>
        <v>497930.943628349</v>
      </c>
      <c r="AD278" s="6" t="n">
        <f aca="false">AC278*(1+X278)</f>
        <v>621677.260173797</v>
      </c>
      <c r="AE278" s="6" t="n">
        <f aca="false">AD278*(1+Y278)</f>
        <v>699443.941353416</v>
      </c>
      <c r="AF278" s="6" t="n">
        <f aca="false">Z278</f>
        <v>339666.945041228</v>
      </c>
      <c r="AG278" s="6" t="n">
        <f aca="false">MAX(AF278,AA278)</f>
        <v>587287.86237318</v>
      </c>
      <c r="AH278" s="6" t="n">
        <f aca="false">MAX(AG278,AB278)</f>
        <v>684877.692133973</v>
      </c>
      <c r="AI278" s="6" t="n">
        <f aca="false">MAX(AH278,AC278)</f>
        <v>684877.692133973</v>
      </c>
      <c r="AJ278" s="6" t="n">
        <f aca="false">MAX(AI278,AD278)</f>
        <v>684877.692133973</v>
      </c>
      <c r="AK278" s="6" t="n">
        <f aca="false">MAX(AJ278,AE278)</f>
        <v>699443.941353416</v>
      </c>
      <c r="AL278" s="8" t="n">
        <f aca="false">MIN(Z278/AF278-1,AA278/AG278-1,AB278/AH278-1,AC278/AI278-1,AD278/AJ278-1,AE278/AK278-1)</f>
        <v>-0.272963699435335</v>
      </c>
      <c r="AM278" s="6" t="n">
        <f aca="false">AE278-Assumptions!$B$35</f>
        <v>258179.944690913</v>
      </c>
    </row>
    <row r="279" customFormat="false" ht="15" hidden="false" customHeight="false" outlineLevel="0" collapsed="false">
      <c r="A279" s="0" t="n">
        <f aca="false">ROW()-1</f>
        <v>278</v>
      </c>
      <c r="B279" s="0" t="str">
        <f aca="true">IF(RAND()&lt;Assumptions!$B$11,"Bull","Bear")</f>
        <v>Bull</v>
      </c>
      <c r="C279" s="0" t="str">
        <f aca="true">IF(B279="Bull",IF(RAND()&lt;Assumptions!$B$7,"Bull","Bear"),IF(RAND()&lt;Assumptions!$B$10,"Bear","Bull"))</f>
        <v>Bull</v>
      </c>
      <c r="D279" s="0" t="str">
        <f aca="true">IF(C279="Bull",IF(RAND()&lt;Assumptions!$B$7,"Bull","Bear"),IF(RAND()&lt;Assumptions!$B$10,"Bear","Bull"))</f>
        <v>Bear</v>
      </c>
      <c r="E279" s="0" t="str">
        <f aca="true">IF(D279="Bull",IF(RAND()&lt;Assumptions!$B$7,"Bull","Bear"),IF(RAND()&lt;Assumptions!$B$10,"Bear","Bull"))</f>
        <v>Bear</v>
      </c>
      <c r="F279" s="0" t="str">
        <f aca="true">IF(E279="Bull",IF(RAND()&lt;Assumptions!$B$7,"Bull","Bear"),IF(RAND()&lt;Assumptions!$B$10,"Bear","Bull"))</f>
        <v>Bear</v>
      </c>
      <c r="G279" s="0" t="str">
        <f aca="true">IF(F279="Bull",IF(RAND()&lt;Assumptions!$B$7,"Bull","Bear"),IF(RAND()&lt;Assumptions!$B$10,"Bear","Bull"))</f>
        <v>Bear</v>
      </c>
      <c r="H279" s="8" t="n">
        <f aca="true">IF(B279="Bull",NORMINV(RAND(),Assumptions!$B$5,Assumptions!$B$6),NORMINV(RAND(),Assumptions!$B$8,Assumptions!$B$9))</f>
        <v>0.191761405779121</v>
      </c>
      <c r="I279" s="8" t="n">
        <f aca="true">IF(C279="Bull",NORMINV(RAND(),Assumptions!$B$5,Assumptions!$B$6),NORMINV(RAND(),Assumptions!$B$8,Assumptions!$B$9))</f>
        <v>0.0218245381919967</v>
      </c>
      <c r="J279" s="8" t="n">
        <f aca="true">IF(D279="Bull",NORMINV(RAND(),Assumptions!$B$5,Assumptions!$B$6),NORMINV(RAND(),Assumptions!$B$8,Assumptions!$B$9))</f>
        <v>-0.205536366264653</v>
      </c>
      <c r="K279" s="8" t="n">
        <f aca="true">IF(E279="Bull",NORMINV(RAND(),Assumptions!$B$5,Assumptions!$B$6),NORMINV(RAND(),Assumptions!$B$8,Assumptions!$B$9))</f>
        <v>-0.0800051769125879</v>
      </c>
      <c r="L279" s="8" t="n">
        <f aca="true">IF(F279="Bull",NORMINV(RAND(),Assumptions!$B$5,Assumptions!$B$6),NORMINV(RAND(),Assumptions!$B$8,Assumptions!$B$9))</f>
        <v>-0.497201836788275</v>
      </c>
      <c r="M279" s="8" t="n">
        <f aca="true">IF(G279="Bull",NORMINV(RAND(),Assumptions!$B$5,Assumptions!$B$6),NORMINV(RAND(),Assumptions!$B$8,Assumptions!$B$9))</f>
        <v>-0.302414693691864</v>
      </c>
      <c r="N279" s="8" t="n">
        <f aca="true">NORMINV(RAND(),Assumptions!$B$14,Assumptions!$B$15)</f>
        <v>0.0362999280801815</v>
      </c>
      <c r="O279" s="8" t="n">
        <f aca="true">NORMINV(RAND(),Assumptions!$B$14,Assumptions!$B$15)</f>
        <v>0.0345422337711801</v>
      </c>
      <c r="P279" s="8" t="n">
        <f aca="true">NORMINV(RAND(),Assumptions!$B$14,Assumptions!$B$15)</f>
        <v>0.0478546462844696</v>
      </c>
      <c r="Q279" s="8" t="n">
        <f aca="true">NORMINV(RAND(),Assumptions!$B$14,Assumptions!$B$15)</f>
        <v>0.0228414799659383</v>
      </c>
      <c r="R279" s="8" t="n">
        <f aca="true">NORMINV(RAND(),Assumptions!$B$14,Assumptions!$B$15)</f>
        <v>0.0578993121894972</v>
      </c>
      <c r="S279" s="8" t="n">
        <f aca="true">NORMINV(RAND(),Assumptions!$B$14,Assumptions!$B$15)</f>
        <v>0.0419270433887057</v>
      </c>
      <c r="T279" s="8" t="n">
        <f aca="false">Assumptions!$B$19*H279+(1-Assumptions!$B$19)*N279</f>
        <v>0.191761405779121</v>
      </c>
      <c r="U279" s="8" t="n">
        <f aca="false">Assumptions!$B$20*I279+(1-Assumptions!$B$20)*O279</f>
        <v>0.0218245381919967</v>
      </c>
      <c r="V279" s="8" t="n">
        <f aca="false">Assumptions!$B$21*J279+(1-Assumptions!$B$21)*P279</f>
        <v>-0.205536366264653</v>
      </c>
      <c r="W279" s="8" t="n">
        <f aca="false">Assumptions!$B$22*K279+(1-Assumptions!$B$22)*Q279</f>
        <v>-0.0800051769125879</v>
      </c>
      <c r="X279" s="8" t="n">
        <f aca="false">Assumptions!$B$23*L279+(1-Assumptions!$B$23)*R279</f>
        <v>-0.38618160699272</v>
      </c>
      <c r="Y279" s="8" t="n">
        <f aca="false">Assumptions!$B$24*M279+(1-Assumptions!$B$24)*S279</f>
        <v>-0.164677998859636</v>
      </c>
      <c r="Z279" s="6" t="n">
        <f aca="false">Assumptions!$B$27*(1+T279)</f>
        <v>357528.421733736</v>
      </c>
      <c r="AA279" s="6" t="n">
        <f aca="false">(Z279+Assumptions!$B$28)*(1+U279)</f>
        <v>518604.995157388</v>
      </c>
      <c r="AB279" s="6" t="n">
        <f aca="false">AA279*(1+V279)</f>
        <v>412012.80892604</v>
      </c>
      <c r="AC279" s="6" t="n">
        <f aca="false">AB279*(1+W279)</f>
        <v>379049.65125766</v>
      </c>
      <c r="AD279" s="6" t="n">
        <f aca="false">AC279*(1+X279)</f>
        <v>232667.647804947</v>
      </c>
      <c r="AE279" s="6" t="n">
        <f aca="false">AD279*(1+Y279)</f>
        <v>194352.40516505</v>
      </c>
      <c r="AF279" s="6" t="n">
        <f aca="false">Z279</f>
        <v>357528.421733736</v>
      </c>
      <c r="AG279" s="6" t="n">
        <f aca="false">MAX(AF279,AA279)</f>
        <v>518604.995157388</v>
      </c>
      <c r="AH279" s="6" t="n">
        <f aca="false">MAX(AG279,AB279)</f>
        <v>518604.995157388</v>
      </c>
      <c r="AI279" s="6" t="n">
        <f aca="false">MAX(AH279,AC279)</f>
        <v>518604.995157388</v>
      </c>
      <c r="AJ279" s="6" t="n">
        <f aca="false">MAX(AI279,AD279)</f>
        <v>518604.995157388</v>
      </c>
      <c r="AK279" s="6" t="n">
        <f aca="false">MAX(AJ279,AE279)</f>
        <v>518604.995157388</v>
      </c>
      <c r="AL279" s="8" t="n">
        <f aca="false">MIN(Z279/AF279-1,AA279/AG279-1,AB279/AH279-1,AC279/AI279-1,AD279/AJ279-1,AE279/AK279-1)</f>
        <v>-0.625240005437922</v>
      </c>
      <c r="AM279" s="6" t="n">
        <f aca="false">AE279-Assumptions!$B$35</f>
        <v>-246911.591497454</v>
      </c>
    </row>
    <row r="280" customFormat="false" ht="15" hidden="false" customHeight="false" outlineLevel="0" collapsed="false">
      <c r="A280" s="0" t="n">
        <f aca="false">ROW()-1</f>
        <v>279</v>
      </c>
      <c r="B280" s="0" t="str">
        <f aca="true">IF(RAND()&lt;Assumptions!$B$11,"Bull","Bear")</f>
        <v>Bull</v>
      </c>
      <c r="C280" s="0" t="str">
        <f aca="true">IF(B280="Bull",IF(RAND()&lt;Assumptions!$B$7,"Bull","Bear"),IF(RAND()&lt;Assumptions!$B$10,"Bear","Bull"))</f>
        <v>Bear</v>
      </c>
      <c r="D280" s="0" t="str">
        <f aca="true">IF(C280="Bull",IF(RAND()&lt;Assumptions!$B$7,"Bull","Bear"),IF(RAND()&lt;Assumptions!$B$10,"Bear","Bull"))</f>
        <v>Bull</v>
      </c>
      <c r="E280" s="0" t="str">
        <f aca="true">IF(D280="Bull",IF(RAND()&lt;Assumptions!$B$7,"Bull","Bear"),IF(RAND()&lt;Assumptions!$B$10,"Bear","Bull"))</f>
        <v>Bear</v>
      </c>
      <c r="F280" s="0" t="str">
        <f aca="true">IF(E280="Bull",IF(RAND()&lt;Assumptions!$B$7,"Bull","Bear"),IF(RAND()&lt;Assumptions!$B$10,"Bear","Bull"))</f>
        <v>Bull</v>
      </c>
      <c r="G280" s="0" t="str">
        <f aca="true">IF(F280="Bull",IF(RAND()&lt;Assumptions!$B$7,"Bull","Bear"),IF(RAND()&lt;Assumptions!$B$10,"Bear","Bull"))</f>
        <v>Bull</v>
      </c>
      <c r="H280" s="8" t="n">
        <f aca="true">IF(B280="Bull",NORMINV(RAND(),Assumptions!$B$5,Assumptions!$B$6),NORMINV(RAND(),Assumptions!$B$8,Assumptions!$B$9))</f>
        <v>0.195393573341301</v>
      </c>
      <c r="I280" s="8" t="n">
        <f aca="true">IF(C280="Bull",NORMINV(RAND(),Assumptions!$B$5,Assumptions!$B$6),NORMINV(RAND(),Assumptions!$B$8,Assumptions!$B$9))</f>
        <v>-0.182608990115465</v>
      </c>
      <c r="J280" s="8" t="n">
        <f aca="true">IF(D280="Bull",NORMINV(RAND(),Assumptions!$B$5,Assumptions!$B$6),NORMINV(RAND(),Assumptions!$B$8,Assumptions!$B$9))</f>
        <v>0.260589617433725</v>
      </c>
      <c r="K280" s="8" t="n">
        <f aca="true">IF(E280="Bull",NORMINV(RAND(),Assumptions!$B$5,Assumptions!$B$6),NORMINV(RAND(),Assumptions!$B$8,Assumptions!$B$9))</f>
        <v>-0.106081070300789</v>
      </c>
      <c r="L280" s="8" t="n">
        <f aca="true">IF(F280="Bull",NORMINV(RAND(),Assumptions!$B$5,Assumptions!$B$6),NORMINV(RAND(),Assumptions!$B$8,Assumptions!$B$9))</f>
        <v>0.309659056356376</v>
      </c>
      <c r="M280" s="8" t="n">
        <f aca="true">IF(G280="Bull",NORMINV(RAND(),Assumptions!$B$5,Assumptions!$B$6),NORMINV(RAND(),Assumptions!$B$8,Assumptions!$B$9))</f>
        <v>-0.00345484009635891</v>
      </c>
      <c r="N280" s="8" t="n">
        <f aca="true">NORMINV(RAND(),Assumptions!$B$14,Assumptions!$B$15)</f>
        <v>0.0315420296294337</v>
      </c>
      <c r="O280" s="8" t="n">
        <f aca="true">NORMINV(RAND(),Assumptions!$B$14,Assumptions!$B$15)</f>
        <v>0.0260118530678211</v>
      </c>
      <c r="P280" s="8" t="n">
        <f aca="true">NORMINV(RAND(),Assumptions!$B$14,Assumptions!$B$15)</f>
        <v>0.0344419112637988</v>
      </c>
      <c r="Q280" s="8" t="n">
        <f aca="true">NORMINV(RAND(),Assumptions!$B$14,Assumptions!$B$15)</f>
        <v>0.0491654030210217</v>
      </c>
      <c r="R280" s="8" t="n">
        <f aca="true">NORMINV(RAND(),Assumptions!$B$14,Assumptions!$B$15)</f>
        <v>-0.00425404598150999</v>
      </c>
      <c r="S280" s="8" t="n">
        <f aca="true">NORMINV(RAND(),Assumptions!$B$14,Assumptions!$B$15)</f>
        <v>0.0745405428590874</v>
      </c>
      <c r="T280" s="8" t="n">
        <f aca="false">Assumptions!$B$19*H280+(1-Assumptions!$B$19)*N280</f>
        <v>0.195393573341301</v>
      </c>
      <c r="U280" s="8" t="n">
        <f aca="false">Assumptions!$B$20*I280+(1-Assumptions!$B$20)*O280</f>
        <v>-0.182608990115465</v>
      </c>
      <c r="V280" s="8" t="n">
        <f aca="false">Assumptions!$B$21*J280+(1-Assumptions!$B$21)*P280</f>
        <v>0.260589617433725</v>
      </c>
      <c r="W280" s="8" t="n">
        <f aca="false">Assumptions!$B$22*K280+(1-Assumptions!$B$22)*Q280</f>
        <v>-0.106081070300789</v>
      </c>
      <c r="X280" s="8" t="n">
        <f aca="false">Assumptions!$B$23*L280+(1-Assumptions!$B$23)*R280</f>
        <v>0.246876435888798</v>
      </c>
      <c r="Y280" s="8" t="n">
        <f aca="false">Assumptions!$B$24*M280+(1-Assumptions!$B$24)*S280</f>
        <v>0.0277433130858196</v>
      </c>
      <c r="Z280" s="6" t="n">
        <f aca="false">Assumptions!$B$27*(1+T280)</f>
        <v>358618.07200239</v>
      </c>
      <c r="AA280" s="6" t="n">
        <f aca="false">(Z280+Assumptions!$B$28)*(1+U280)</f>
        <v>415739.839519559</v>
      </c>
      <c r="AB280" s="6" t="n">
        <f aca="false">AA280*(1+V280)</f>
        <v>524077.325251919</v>
      </c>
      <c r="AC280" s="6" t="n">
        <f aca="false">AB280*(1+W280)</f>
        <v>468482.641668821</v>
      </c>
      <c r="AD280" s="6" t="n">
        <f aca="false">AC280*(1+X280)</f>
        <v>584139.966519789</v>
      </c>
      <c r="AE280" s="6" t="n">
        <f aca="false">AD280*(1+Y280)</f>
        <v>600345.944496888</v>
      </c>
      <c r="AF280" s="6" t="n">
        <f aca="false">Z280</f>
        <v>358618.07200239</v>
      </c>
      <c r="AG280" s="6" t="n">
        <f aca="false">MAX(AF280,AA280)</f>
        <v>415739.839519559</v>
      </c>
      <c r="AH280" s="6" t="n">
        <f aca="false">MAX(AG280,AB280)</f>
        <v>524077.325251919</v>
      </c>
      <c r="AI280" s="6" t="n">
        <f aca="false">MAX(AH280,AC280)</f>
        <v>524077.325251919</v>
      </c>
      <c r="AJ280" s="6" t="n">
        <f aca="false">MAX(AI280,AD280)</f>
        <v>584139.966519789</v>
      </c>
      <c r="AK280" s="6" t="n">
        <f aca="false">MAX(AJ280,AE280)</f>
        <v>600345.944496888</v>
      </c>
      <c r="AL280" s="8" t="n">
        <f aca="false">MIN(Z280/AF280-1,AA280/AG280-1,AB280/AH280-1,AC280/AI280-1,AD280/AJ280-1,AE280/AK280-1)</f>
        <v>-0.106081070300789</v>
      </c>
      <c r="AM280" s="6" t="n">
        <f aca="false">AE280-Assumptions!$B$35</f>
        <v>159081.947834384</v>
      </c>
    </row>
    <row r="281" customFormat="false" ht="15" hidden="false" customHeight="false" outlineLevel="0" collapsed="false">
      <c r="A281" s="0" t="n">
        <f aca="false">ROW()-1</f>
        <v>280</v>
      </c>
      <c r="B281" s="0" t="str">
        <f aca="true">IF(RAND()&lt;Assumptions!$B$11,"Bull","Bear")</f>
        <v>Bull</v>
      </c>
      <c r="C281" s="0" t="str">
        <f aca="true">IF(B281="Bull",IF(RAND()&lt;Assumptions!$B$7,"Bull","Bear"),IF(RAND()&lt;Assumptions!$B$10,"Bear","Bull"))</f>
        <v>Bull</v>
      </c>
      <c r="D281" s="0" t="str">
        <f aca="true">IF(C281="Bull",IF(RAND()&lt;Assumptions!$B$7,"Bull","Bear"),IF(RAND()&lt;Assumptions!$B$10,"Bear","Bull"))</f>
        <v>Bull</v>
      </c>
      <c r="E281" s="0" t="str">
        <f aca="true">IF(D281="Bull",IF(RAND()&lt;Assumptions!$B$7,"Bull","Bear"),IF(RAND()&lt;Assumptions!$B$10,"Bear","Bull"))</f>
        <v>Bull</v>
      </c>
      <c r="F281" s="0" t="str">
        <f aca="true">IF(E281="Bull",IF(RAND()&lt;Assumptions!$B$7,"Bull","Bear"),IF(RAND()&lt;Assumptions!$B$10,"Bear","Bull"))</f>
        <v>Bull</v>
      </c>
      <c r="G281" s="0" t="str">
        <f aca="true">IF(F281="Bull",IF(RAND()&lt;Assumptions!$B$7,"Bull","Bear"),IF(RAND()&lt;Assumptions!$B$10,"Bear","Bull"))</f>
        <v>Bear</v>
      </c>
      <c r="H281" s="8" t="n">
        <f aca="true">IF(B281="Bull",NORMINV(RAND(),Assumptions!$B$5,Assumptions!$B$6),NORMINV(RAND(),Assumptions!$B$8,Assumptions!$B$9))</f>
        <v>0.177542530061189</v>
      </c>
      <c r="I281" s="8" t="n">
        <f aca="true">IF(C281="Bull",NORMINV(RAND(),Assumptions!$B$5,Assumptions!$B$6),NORMINV(RAND(),Assumptions!$B$8,Assumptions!$B$9))</f>
        <v>0.221022693246224</v>
      </c>
      <c r="J281" s="8" t="n">
        <f aca="true">IF(D281="Bull",NORMINV(RAND(),Assumptions!$B$5,Assumptions!$B$6),NORMINV(RAND(),Assumptions!$B$8,Assumptions!$B$9))</f>
        <v>-0.0193757980225729</v>
      </c>
      <c r="K281" s="8" t="n">
        <f aca="true">IF(E281="Bull",NORMINV(RAND(),Assumptions!$B$5,Assumptions!$B$6),NORMINV(RAND(),Assumptions!$B$8,Assumptions!$B$9))</f>
        <v>0.124030019372916</v>
      </c>
      <c r="L281" s="8" t="n">
        <f aca="true">IF(F281="Bull",NORMINV(RAND(),Assumptions!$B$5,Assumptions!$B$6),NORMINV(RAND(),Assumptions!$B$8,Assumptions!$B$9))</f>
        <v>0.0647760973210547</v>
      </c>
      <c r="M281" s="8" t="n">
        <f aca="true">IF(G281="Bull",NORMINV(RAND(),Assumptions!$B$5,Assumptions!$B$6),NORMINV(RAND(),Assumptions!$B$8,Assumptions!$B$9))</f>
        <v>0.0420262695422937</v>
      </c>
      <c r="N281" s="8" t="n">
        <f aca="true">NORMINV(RAND(),Assumptions!$B$14,Assumptions!$B$15)</f>
        <v>0.051896431090986</v>
      </c>
      <c r="O281" s="8" t="n">
        <f aca="true">NORMINV(RAND(),Assumptions!$B$14,Assumptions!$B$15)</f>
        <v>0.0175794354565527</v>
      </c>
      <c r="P281" s="8" t="n">
        <f aca="true">NORMINV(RAND(),Assumptions!$B$14,Assumptions!$B$15)</f>
        <v>0.0482036697488053</v>
      </c>
      <c r="Q281" s="8" t="n">
        <f aca="true">NORMINV(RAND(),Assumptions!$B$14,Assumptions!$B$15)</f>
        <v>0.0347684649317374</v>
      </c>
      <c r="R281" s="8" t="n">
        <f aca="true">NORMINV(RAND(),Assumptions!$B$14,Assumptions!$B$15)</f>
        <v>0.083788001292757</v>
      </c>
      <c r="S281" s="8" t="n">
        <f aca="true">NORMINV(RAND(),Assumptions!$B$14,Assumptions!$B$15)</f>
        <v>0.0120445916021212</v>
      </c>
      <c r="T281" s="8" t="n">
        <f aca="false">Assumptions!$B$19*H281+(1-Assumptions!$B$19)*N281</f>
        <v>0.177542530061189</v>
      </c>
      <c r="U281" s="8" t="n">
        <f aca="false">Assumptions!$B$20*I281+(1-Assumptions!$B$20)*O281</f>
        <v>0.221022693246224</v>
      </c>
      <c r="V281" s="8" t="n">
        <f aca="false">Assumptions!$B$21*J281+(1-Assumptions!$B$21)*P281</f>
        <v>-0.0193757980225729</v>
      </c>
      <c r="W281" s="8" t="n">
        <f aca="false">Assumptions!$B$22*K281+(1-Assumptions!$B$22)*Q281</f>
        <v>0.124030019372916</v>
      </c>
      <c r="X281" s="8" t="n">
        <f aca="false">Assumptions!$B$23*L281+(1-Assumptions!$B$23)*R281</f>
        <v>0.0685784781153952</v>
      </c>
      <c r="Y281" s="8" t="n">
        <f aca="false">Assumptions!$B$24*M281+(1-Assumptions!$B$24)*S281</f>
        <v>0.0300335983662247</v>
      </c>
      <c r="Z281" s="6" t="n">
        <f aca="false">Assumptions!$B$27*(1+T281)</f>
        <v>353262.759018357</v>
      </c>
      <c r="AA281" s="6" t="n">
        <f aca="false">(Z281+Assumptions!$B$28)*(1+U281)</f>
        <v>614495.249427119</v>
      </c>
      <c r="AB281" s="6" t="n">
        <f aca="false">AA281*(1+V281)</f>
        <v>602588.913588389</v>
      </c>
      <c r="AC281" s="6" t="n">
        <f aca="false">AB281*(1+W281)</f>
        <v>677328.028214661</v>
      </c>
      <c r="AD281" s="6" t="n">
        <f aca="false">AC281*(1+X281)</f>
        <v>723778.153574524</v>
      </c>
      <c r="AE281" s="6" t="n">
        <f aca="false">AD281*(1+Y281)</f>
        <v>745515.815945229</v>
      </c>
      <c r="AF281" s="6" t="n">
        <f aca="false">Z281</f>
        <v>353262.759018357</v>
      </c>
      <c r="AG281" s="6" t="n">
        <f aca="false">MAX(AF281,AA281)</f>
        <v>614495.249427119</v>
      </c>
      <c r="AH281" s="6" t="n">
        <f aca="false">MAX(AG281,AB281)</f>
        <v>614495.249427119</v>
      </c>
      <c r="AI281" s="6" t="n">
        <f aca="false">MAX(AH281,AC281)</f>
        <v>677328.028214661</v>
      </c>
      <c r="AJ281" s="6" t="n">
        <f aca="false">MAX(AI281,AD281)</f>
        <v>723778.153574524</v>
      </c>
      <c r="AK281" s="6" t="n">
        <f aca="false">MAX(AJ281,AE281)</f>
        <v>745515.815945229</v>
      </c>
      <c r="AL281" s="8" t="n">
        <f aca="false">MIN(Z281/AF281-1,AA281/AG281-1,AB281/AH281-1,AC281/AI281-1,AD281/AJ281-1,AE281/AK281-1)</f>
        <v>-0.0193757980225727</v>
      </c>
      <c r="AM281" s="6" t="n">
        <f aca="false">AE281-Assumptions!$B$35</f>
        <v>304251.819282725</v>
      </c>
    </row>
    <row r="282" customFormat="false" ht="15" hidden="false" customHeight="false" outlineLevel="0" collapsed="false">
      <c r="A282" s="0" t="n">
        <f aca="false">ROW()-1</f>
        <v>281</v>
      </c>
      <c r="B282" s="0" t="str">
        <f aca="true">IF(RAND()&lt;Assumptions!$B$11,"Bull","Bear")</f>
        <v>Bull</v>
      </c>
      <c r="C282" s="0" t="str">
        <f aca="true">IF(B282="Bull",IF(RAND()&lt;Assumptions!$B$7,"Bull","Bear"),IF(RAND()&lt;Assumptions!$B$10,"Bear","Bull"))</f>
        <v>Bull</v>
      </c>
      <c r="D282" s="0" t="str">
        <f aca="true">IF(C282="Bull",IF(RAND()&lt;Assumptions!$B$7,"Bull","Bear"),IF(RAND()&lt;Assumptions!$B$10,"Bear","Bull"))</f>
        <v>Bull</v>
      </c>
      <c r="E282" s="0" t="str">
        <f aca="true">IF(D282="Bull",IF(RAND()&lt;Assumptions!$B$7,"Bull","Bear"),IF(RAND()&lt;Assumptions!$B$10,"Bear","Bull"))</f>
        <v>Bull</v>
      </c>
      <c r="F282" s="0" t="str">
        <f aca="true">IF(E282="Bull",IF(RAND()&lt;Assumptions!$B$7,"Bull","Bear"),IF(RAND()&lt;Assumptions!$B$10,"Bear","Bull"))</f>
        <v>Bull</v>
      </c>
      <c r="G282" s="0" t="str">
        <f aca="true">IF(F282="Bull",IF(RAND()&lt;Assumptions!$B$7,"Bull","Bear"),IF(RAND()&lt;Assumptions!$B$10,"Bear","Bull"))</f>
        <v>Bull</v>
      </c>
      <c r="H282" s="8" t="n">
        <f aca="true">IF(B282="Bull",NORMINV(RAND(),Assumptions!$B$5,Assumptions!$B$6),NORMINV(RAND(),Assumptions!$B$8,Assumptions!$B$9))</f>
        <v>0.296996502432096</v>
      </c>
      <c r="I282" s="8" t="n">
        <f aca="true">IF(C282="Bull",NORMINV(RAND(),Assumptions!$B$5,Assumptions!$B$6),NORMINV(RAND(),Assumptions!$B$8,Assumptions!$B$9))</f>
        <v>0.225172568156764</v>
      </c>
      <c r="J282" s="8" t="n">
        <f aca="true">IF(D282="Bull",NORMINV(RAND(),Assumptions!$B$5,Assumptions!$B$6),NORMINV(RAND(),Assumptions!$B$8,Assumptions!$B$9))</f>
        <v>0.322294737574562</v>
      </c>
      <c r="K282" s="8" t="n">
        <f aca="true">IF(E282="Bull",NORMINV(RAND(),Assumptions!$B$5,Assumptions!$B$6),NORMINV(RAND(),Assumptions!$B$8,Assumptions!$B$9))</f>
        <v>0.114255669124829</v>
      </c>
      <c r="L282" s="8" t="n">
        <f aca="true">IF(F282="Bull",NORMINV(RAND(),Assumptions!$B$5,Assumptions!$B$6),NORMINV(RAND(),Assumptions!$B$8,Assumptions!$B$9))</f>
        <v>0.127038392054655</v>
      </c>
      <c r="M282" s="8" t="n">
        <f aca="true">IF(G282="Bull",NORMINV(RAND(),Assumptions!$B$5,Assumptions!$B$6),NORMINV(RAND(),Assumptions!$B$8,Assumptions!$B$9))</f>
        <v>0.120722660602871</v>
      </c>
      <c r="N282" s="8" t="n">
        <f aca="true">NORMINV(RAND(),Assumptions!$B$14,Assumptions!$B$15)</f>
        <v>0.034958342169348</v>
      </c>
      <c r="O282" s="8" t="n">
        <f aca="true">NORMINV(RAND(),Assumptions!$B$14,Assumptions!$B$15)</f>
        <v>-0.00897471069122054</v>
      </c>
      <c r="P282" s="8" t="n">
        <f aca="true">NORMINV(RAND(),Assumptions!$B$14,Assumptions!$B$15)</f>
        <v>0.0163229647934824</v>
      </c>
      <c r="Q282" s="8" t="n">
        <f aca="true">NORMINV(RAND(),Assumptions!$B$14,Assumptions!$B$15)</f>
        <v>0.0494761321462019</v>
      </c>
      <c r="R282" s="8" t="n">
        <f aca="true">NORMINV(RAND(),Assumptions!$B$14,Assumptions!$B$15)</f>
        <v>0.0999154566217706</v>
      </c>
      <c r="S282" s="8" t="n">
        <f aca="true">NORMINV(RAND(),Assumptions!$B$14,Assumptions!$B$15)</f>
        <v>0.0797834441083132</v>
      </c>
      <c r="T282" s="8" t="n">
        <f aca="false">Assumptions!$B$19*H282+(1-Assumptions!$B$19)*N282</f>
        <v>0.296996502432096</v>
      </c>
      <c r="U282" s="8" t="n">
        <f aca="false">Assumptions!$B$20*I282+(1-Assumptions!$B$20)*O282</f>
        <v>0.225172568156764</v>
      </c>
      <c r="V282" s="8" t="n">
        <f aca="false">Assumptions!$B$21*J282+(1-Assumptions!$B$21)*P282</f>
        <v>0.322294737574562</v>
      </c>
      <c r="W282" s="8" t="n">
        <f aca="false">Assumptions!$B$22*K282+(1-Assumptions!$B$22)*Q282</f>
        <v>0.114255669124829</v>
      </c>
      <c r="X282" s="8" t="n">
        <f aca="false">Assumptions!$B$23*L282+(1-Assumptions!$B$23)*R282</f>
        <v>0.121613804968078</v>
      </c>
      <c r="Y282" s="8" t="n">
        <f aca="false">Assumptions!$B$24*M282+(1-Assumptions!$B$24)*S282</f>
        <v>0.104346974005048</v>
      </c>
      <c r="Z282" s="6" t="n">
        <f aca="false">Assumptions!$B$27*(1+T282)</f>
        <v>389098.950729629</v>
      </c>
      <c r="AA282" s="6" t="n">
        <f aca="false">(Z282+Assumptions!$B$28)*(1+U282)</f>
        <v>660489.245956036</v>
      </c>
      <c r="AB282" s="6" t="n">
        <f aca="false">AA282*(1+V282)</f>
        <v>873361.454152257</v>
      </c>
      <c r="AC282" s="6" t="n">
        <f aca="false">AB282*(1+W282)</f>
        <v>973147.951484257</v>
      </c>
      <c r="AD282" s="6" t="n">
        <f aca="false">AC282*(1+X282)</f>
        <v>1091496.17666115</v>
      </c>
      <c r="AE282" s="6" t="n">
        <f aca="false">AD282*(1+Y282)</f>
        <v>1205390.49983382</v>
      </c>
      <c r="AF282" s="6" t="n">
        <f aca="false">Z282</f>
        <v>389098.950729629</v>
      </c>
      <c r="AG282" s="6" t="n">
        <f aca="false">MAX(AF282,AA282)</f>
        <v>660489.245956036</v>
      </c>
      <c r="AH282" s="6" t="n">
        <f aca="false">MAX(AG282,AB282)</f>
        <v>873361.454152257</v>
      </c>
      <c r="AI282" s="6" t="n">
        <f aca="false">MAX(AH282,AC282)</f>
        <v>973147.951484257</v>
      </c>
      <c r="AJ282" s="6" t="n">
        <f aca="false">MAX(AI282,AD282)</f>
        <v>1091496.17666115</v>
      </c>
      <c r="AK282" s="6" t="n">
        <f aca="false">MAX(AJ282,AE282)</f>
        <v>1205390.49983382</v>
      </c>
      <c r="AL282" s="8" t="n">
        <f aca="false">MIN(Z282/AF282-1,AA282/AG282-1,AB282/AH282-1,AC282/AI282-1,AD282/AJ282-1,AE282/AK282-1)</f>
        <v>0</v>
      </c>
      <c r="AM282" s="6" t="n">
        <f aca="false">AE282-Assumptions!$B$35</f>
        <v>764126.503171314</v>
      </c>
    </row>
    <row r="283" customFormat="false" ht="15" hidden="false" customHeight="false" outlineLevel="0" collapsed="false">
      <c r="A283" s="0" t="n">
        <f aca="false">ROW()-1</f>
        <v>282</v>
      </c>
      <c r="B283" s="0" t="str">
        <f aca="true">IF(RAND()&lt;Assumptions!$B$11,"Bull","Bear")</f>
        <v>Bull</v>
      </c>
      <c r="C283" s="0" t="str">
        <f aca="true">IF(B283="Bull",IF(RAND()&lt;Assumptions!$B$7,"Bull","Bear"),IF(RAND()&lt;Assumptions!$B$10,"Bear","Bull"))</f>
        <v>Bull</v>
      </c>
      <c r="D283" s="0" t="str">
        <f aca="true">IF(C283="Bull",IF(RAND()&lt;Assumptions!$B$7,"Bull","Bear"),IF(RAND()&lt;Assumptions!$B$10,"Bear","Bull"))</f>
        <v>Bull</v>
      </c>
      <c r="E283" s="0" t="str">
        <f aca="true">IF(D283="Bull",IF(RAND()&lt;Assumptions!$B$7,"Bull","Bear"),IF(RAND()&lt;Assumptions!$B$10,"Bear","Bull"))</f>
        <v>Bear</v>
      </c>
      <c r="F283" s="0" t="str">
        <f aca="true">IF(E283="Bull",IF(RAND()&lt;Assumptions!$B$7,"Bull","Bear"),IF(RAND()&lt;Assumptions!$B$10,"Bear","Bull"))</f>
        <v>Bear</v>
      </c>
      <c r="G283" s="0" t="str">
        <f aca="true">IF(F283="Bull",IF(RAND()&lt;Assumptions!$B$7,"Bull","Bear"),IF(RAND()&lt;Assumptions!$B$10,"Bear","Bull"))</f>
        <v>Bear</v>
      </c>
      <c r="H283" s="8" t="n">
        <f aca="true">IF(B283="Bull",NORMINV(RAND(),Assumptions!$B$5,Assumptions!$B$6),NORMINV(RAND(),Assumptions!$B$8,Assumptions!$B$9))</f>
        <v>0.22411571740018</v>
      </c>
      <c r="I283" s="8" t="n">
        <f aca="true">IF(C283="Bull",NORMINV(RAND(),Assumptions!$B$5,Assumptions!$B$6),NORMINV(RAND(),Assumptions!$B$8,Assumptions!$B$9))</f>
        <v>-0.0281571119535814</v>
      </c>
      <c r="J283" s="8" t="n">
        <f aca="true">IF(D283="Bull",NORMINV(RAND(),Assumptions!$B$5,Assumptions!$B$6),NORMINV(RAND(),Assumptions!$B$8,Assumptions!$B$9))</f>
        <v>0.110602324004853</v>
      </c>
      <c r="K283" s="8" t="n">
        <f aca="true">IF(E283="Bull",NORMINV(RAND(),Assumptions!$B$5,Assumptions!$B$6),NORMINV(RAND(),Assumptions!$B$8,Assumptions!$B$9))</f>
        <v>-0.274855094619702</v>
      </c>
      <c r="L283" s="8" t="n">
        <f aca="true">IF(F283="Bull",NORMINV(RAND(),Assumptions!$B$5,Assumptions!$B$6),NORMINV(RAND(),Assumptions!$B$8,Assumptions!$B$9))</f>
        <v>-0.0362925181024788</v>
      </c>
      <c r="M283" s="8" t="n">
        <f aca="true">IF(G283="Bull",NORMINV(RAND(),Assumptions!$B$5,Assumptions!$B$6),NORMINV(RAND(),Assumptions!$B$8,Assumptions!$B$9))</f>
        <v>0.0223583564115998</v>
      </c>
      <c r="N283" s="8" t="n">
        <f aca="true">NORMINV(RAND(),Assumptions!$B$14,Assumptions!$B$15)</f>
        <v>0.0732663401833427</v>
      </c>
      <c r="O283" s="8" t="n">
        <f aca="true">NORMINV(RAND(),Assumptions!$B$14,Assumptions!$B$15)</f>
        <v>0.0501097522396519</v>
      </c>
      <c r="P283" s="8" t="n">
        <f aca="true">NORMINV(RAND(),Assumptions!$B$14,Assumptions!$B$15)</f>
        <v>0.0999060117879684</v>
      </c>
      <c r="Q283" s="8" t="n">
        <f aca="true">NORMINV(RAND(),Assumptions!$B$14,Assumptions!$B$15)</f>
        <v>0.00687175733245343</v>
      </c>
      <c r="R283" s="8" t="n">
        <f aca="true">NORMINV(RAND(),Assumptions!$B$14,Assumptions!$B$15)</f>
        <v>0.0732521648236706</v>
      </c>
      <c r="S283" s="8" t="n">
        <f aca="true">NORMINV(RAND(),Assumptions!$B$14,Assumptions!$B$15)</f>
        <v>0.1004748891832</v>
      </c>
      <c r="T283" s="8" t="n">
        <f aca="false">Assumptions!$B$19*H283+(1-Assumptions!$B$19)*N283</f>
        <v>0.22411571740018</v>
      </c>
      <c r="U283" s="8" t="n">
        <f aca="false">Assumptions!$B$20*I283+(1-Assumptions!$B$20)*O283</f>
        <v>-0.0281571119535814</v>
      </c>
      <c r="V283" s="8" t="n">
        <f aca="false">Assumptions!$B$21*J283+(1-Assumptions!$B$21)*P283</f>
        <v>0.110602324004853</v>
      </c>
      <c r="W283" s="8" t="n">
        <f aca="false">Assumptions!$B$22*K283+(1-Assumptions!$B$22)*Q283</f>
        <v>-0.274855094619702</v>
      </c>
      <c r="X283" s="8" t="n">
        <f aca="false">Assumptions!$B$23*L283+(1-Assumptions!$B$23)*R283</f>
        <v>-0.0143835815172489</v>
      </c>
      <c r="Y283" s="8" t="n">
        <f aca="false">Assumptions!$B$24*M283+(1-Assumptions!$B$24)*S283</f>
        <v>0.0536049695202398</v>
      </c>
      <c r="Z283" s="6" t="n">
        <f aca="false">Assumptions!$B$27*(1+T283)</f>
        <v>367234.715220054</v>
      </c>
      <c r="AA283" s="6" t="n">
        <f aca="false">(Z283+Assumptions!$B$28)*(1+U283)</f>
        <v>502670.879437324</v>
      </c>
      <c r="AB283" s="6" t="n">
        <f aca="false">AA283*(1+V283)</f>
        <v>558267.446912656</v>
      </c>
      <c r="AC283" s="6" t="n">
        <f aca="false">AB283*(1+W283)</f>
        <v>404824.794968378</v>
      </c>
      <c r="AD283" s="6" t="n">
        <f aca="false">AC283*(1+X283)</f>
        <v>399001.964529747</v>
      </c>
      <c r="AE283" s="6" t="n">
        <f aca="false">AD283*(1+Y283)</f>
        <v>420390.45267688</v>
      </c>
      <c r="AF283" s="6" t="n">
        <f aca="false">Z283</f>
        <v>367234.715220054</v>
      </c>
      <c r="AG283" s="6" t="n">
        <f aca="false">MAX(AF283,AA283)</f>
        <v>502670.879437324</v>
      </c>
      <c r="AH283" s="6" t="n">
        <f aca="false">MAX(AG283,AB283)</f>
        <v>558267.446912656</v>
      </c>
      <c r="AI283" s="6" t="n">
        <f aca="false">MAX(AH283,AC283)</f>
        <v>558267.446912656</v>
      </c>
      <c r="AJ283" s="6" t="n">
        <f aca="false">MAX(AI283,AD283)</f>
        <v>558267.446912656</v>
      </c>
      <c r="AK283" s="6" t="n">
        <f aca="false">MAX(AJ283,AE283)</f>
        <v>558267.446912656</v>
      </c>
      <c r="AL283" s="8" t="n">
        <f aca="false">MIN(Z283/AF283-1,AA283/AG283-1,AB283/AH283-1,AC283/AI283-1,AD283/AJ283-1,AE283/AK283-1)</f>
        <v>-0.285285275478057</v>
      </c>
      <c r="AM283" s="6" t="n">
        <f aca="false">AE283-Assumptions!$B$35</f>
        <v>-20873.5439856237</v>
      </c>
    </row>
    <row r="284" customFormat="false" ht="15" hidden="false" customHeight="false" outlineLevel="0" collapsed="false">
      <c r="A284" s="0" t="n">
        <f aca="false">ROW()-1</f>
        <v>283</v>
      </c>
      <c r="B284" s="0" t="str">
        <f aca="true">IF(RAND()&lt;Assumptions!$B$11,"Bull","Bear")</f>
        <v>Bull</v>
      </c>
      <c r="C284" s="0" t="str">
        <f aca="true">IF(B284="Bull",IF(RAND()&lt;Assumptions!$B$7,"Bull","Bear"),IF(RAND()&lt;Assumptions!$B$10,"Bear","Bull"))</f>
        <v>Bull</v>
      </c>
      <c r="D284" s="0" t="str">
        <f aca="true">IF(C284="Bull",IF(RAND()&lt;Assumptions!$B$7,"Bull","Bear"),IF(RAND()&lt;Assumptions!$B$10,"Bear","Bull"))</f>
        <v>Bull</v>
      </c>
      <c r="E284" s="0" t="str">
        <f aca="true">IF(D284="Bull",IF(RAND()&lt;Assumptions!$B$7,"Bull","Bear"),IF(RAND()&lt;Assumptions!$B$10,"Bear","Bull"))</f>
        <v>Bull</v>
      </c>
      <c r="F284" s="0" t="str">
        <f aca="true">IF(E284="Bull",IF(RAND()&lt;Assumptions!$B$7,"Bull","Bear"),IF(RAND()&lt;Assumptions!$B$10,"Bear","Bull"))</f>
        <v>Bull</v>
      </c>
      <c r="G284" s="0" t="str">
        <f aca="true">IF(F284="Bull",IF(RAND()&lt;Assumptions!$B$7,"Bull","Bear"),IF(RAND()&lt;Assumptions!$B$10,"Bear","Bull"))</f>
        <v>Bull</v>
      </c>
      <c r="H284" s="8" t="n">
        <f aca="true">IF(B284="Bull",NORMINV(RAND(),Assumptions!$B$5,Assumptions!$B$6),NORMINV(RAND(),Assumptions!$B$8,Assumptions!$B$9))</f>
        <v>0.0175261365372993</v>
      </c>
      <c r="I284" s="8" t="n">
        <f aca="true">IF(C284="Bull",NORMINV(RAND(),Assumptions!$B$5,Assumptions!$B$6),NORMINV(RAND(),Assumptions!$B$8,Assumptions!$B$9))</f>
        <v>0.131967803615383</v>
      </c>
      <c r="J284" s="8" t="n">
        <f aca="true">IF(D284="Bull",NORMINV(RAND(),Assumptions!$B$5,Assumptions!$B$6),NORMINV(RAND(),Assumptions!$B$8,Assumptions!$B$9))</f>
        <v>0.234413064928983</v>
      </c>
      <c r="K284" s="8" t="n">
        <f aca="true">IF(E284="Bull",NORMINV(RAND(),Assumptions!$B$5,Assumptions!$B$6),NORMINV(RAND(),Assumptions!$B$8,Assumptions!$B$9))</f>
        <v>0.100950774845415</v>
      </c>
      <c r="L284" s="8" t="n">
        <f aca="true">IF(F284="Bull",NORMINV(RAND(),Assumptions!$B$5,Assumptions!$B$6),NORMINV(RAND(),Assumptions!$B$8,Assumptions!$B$9))</f>
        <v>0.16116493817445</v>
      </c>
      <c r="M284" s="8" t="n">
        <f aca="true">IF(G284="Bull",NORMINV(RAND(),Assumptions!$B$5,Assumptions!$B$6),NORMINV(RAND(),Assumptions!$B$8,Assumptions!$B$9))</f>
        <v>0.221133903600761</v>
      </c>
      <c r="N284" s="8" t="n">
        <f aca="true">NORMINV(RAND(),Assumptions!$B$14,Assumptions!$B$15)</f>
        <v>0.0381658996892425</v>
      </c>
      <c r="O284" s="8" t="n">
        <f aca="true">NORMINV(RAND(),Assumptions!$B$14,Assumptions!$B$15)</f>
        <v>0.0703240391082159</v>
      </c>
      <c r="P284" s="8" t="n">
        <f aca="true">NORMINV(RAND(),Assumptions!$B$14,Assumptions!$B$15)</f>
        <v>0.0561309073140223</v>
      </c>
      <c r="Q284" s="8" t="n">
        <f aca="true">NORMINV(RAND(),Assumptions!$B$14,Assumptions!$B$15)</f>
        <v>0.070193825553573</v>
      </c>
      <c r="R284" s="8" t="n">
        <f aca="true">NORMINV(RAND(),Assumptions!$B$14,Assumptions!$B$15)</f>
        <v>0.0538165998756312</v>
      </c>
      <c r="S284" s="8" t="n">
        <f aca="true">NORMINV(RAND(),Assumptions!$B$14,Assumptions!$B$15)</f>
        <v>0.0188024807718312</v>
      </c>
      <c r="T284" s="8" t="n">
        <f aca="false">Assumptions!$B$19*H284+(1-Assumptions!$B$19)*N284</f>
        <v>0.0175261365372993</v>
      </c>
      <c r="U284" s="8" t="n">
        <f aca="false">Assumptions!$B$20*I284+(1-Assumptions!$B$20)*O284</f>
        <v>0.131967803615383</v>
      </c>
      <c r="V284" s="8" t="n">
        <f aca="false">Assumptions!$B$21*J284+(1-Assumptions!$B$21)*P284</f>
        <v>0.234413064928983</v>
      </c>
      <c r="W284" s="8" t="n">
        <f aca="false">Assumptions!$B$22*K284+(1-Assumptions!$B$22)*Q284</f>
        <v>0.100950774845415</v>
      </c>
      <c r="X284" s="8" t="n">
        <f aca="false">Assumptions!$B$23*L284+(1-Assumptions!$B$23)*R284</f>
        <v>0.139695270514687</v>
      </c>
      <c r="Y284" s="8" t="n">
        <f aca="false">Assumptions!$B$24*M284+(1-Assumptions!$B$24)*S284</f>
        <v>0.140201334469189</v>
      </c>
      <c r="Z284" s="6" t="n">
        <f aca="false">Assumptions!$B$27*(1+T284)</f>
        <v>305257.84096119</v>
      </c>
      <c r="AA284" s="6" t="n">
        <f aca="false">(Z284+Assumptions!$B$28)*(1+U284)</f>
        <v>515337.218311519</v>
      </c>
      <c r="AB284" s="6" t="n">
        <f aca="false">AA284*(1+V284)</f>
        <v>636138.995127899</v>
      </c>
      <c r="AC284" s="6" t="n">
        <f aca="false">AB284*(1+W284)</f>
        <v>700357.719595444</v>
      </c>
      <c r="AD284" s="6" t="n">
        <f aca="false">AC284*(1+X284)</f>
        <v>798194.380691378</v>
      </c>
      <c r="AE284" s="6" t="n">
        <f aca="false">AD284*(1+Y284)</f>
        <v>910102.298030117</v>
      </c>
      <c r="AF284" s="6" t="n">
        <f aca="false">Z284</f>
        <v>305257.84096119</v>
      </c>
      <c r="AG284" s="6" t="n">
        <f aca="false">MAX(AF284,AA284)</f>
        <v>515337.218311519</v>
      </c>
      <c r="AH284" s="6" t="n">
        <f aca="false">MAX(AG284,AB284)</f>
        <v>636138.995127899</v>
      </c>
      <c r="AI284" s="6" t="n">
        <f aca="false">MAX(AH284,AC284)</f>
        <v>700357.719595444</v>
      </c>
      <c r="AJ284" s="6" t="n">
        <f aca="false">MAX(AI284,AD284)</f>
        <v>798194.380691378</v>
      </c>
      <c r="AK284" s="6" t="n">
        <f aca="false">MAX(AJ284,AE284)</f>
        <v>910102.298030117</v>
      </c>
      <c r="AL284" s="8" t="n">
        <f aca="false">MIN(Z284/AF284-1,AA284/AG284-1,AB284/AH284-1,AC284/AI284-1,AD284/AJ284-1,AE284/AK284-1)</f>
        <v>0</v>
      </c>
      <c r="AM284" s="6" t="n">
        <f aca="false">AE284-Assumptions!$B$35</f>
        <v>468838.301367613</v>
      </c>
    </row>
    <row r="285" customFormat="false" ht="15" hidden="false" customHeight="false" outlineLevel="0" collapsed="false">
      <c r="A285" s="0" t="n">
        <f aca="false">ROW()-1</f>
        <v>284</v>
      </c>
      <c r="B285" s="0" t="str">
        <f aca="true">IF(RAND()&lt;Assumptions!$B$11,"Bull","Bear")</f>
        <v>Bull</v>
      </c>
      <c r="C285" s="0" t="str">
        <f aca="true">IF(B285="Bull",IF(RAND()&lt;Assumptions!$B$7,"Bull","Bear"),IF(RAND()&lt;Assumptions!$B$10,"Bear","Bull"))</f>
        <v>Bear</v>
      </c>
      <c r="D285" s="0" t="str">
        <f aca="true">IF(C285="Bull",IF(RAND()&lt;Assumptions!$B$7,"Bull","Bear"),IF(RAND()&lt;Assumptions!$B$10,"Bear","Bull"))</f>
        <v>Bear</v>
      </c>
      <c r="E285" s="0" t="str">
        <f aca="true">IF(D285="Bull",IF(RAND()&lt;Assumptions!$B$7,"Bull","Bear"),IF(RAND()&lt;Assumptions!$B$10,"Bear","Bull"))</f>
        <v>Bull</v>
      </c>
      <c r="F285" s="0" t="str">
        <f aca="true">IF(E285="Bull",IF(RAND()&lt;Assumptions!$B$7,"Bull","Bear"),IF(RAND()&lt;Assumptions!$B$10,"Bear","Bull"))</f>
        <v>Bull</v>
      </c>
      <c r="G285" s="0" t="str">
        <f aca="true">IF(F285="Bull",IF(RAND()&lt;Assumptions!$B$7,"Bull","Bear"),IF(RAND()&lt;Assumptions!$B$10,"Bear","Bull"))</f>
        <v>Bull</v>
      </c>
      <c r="H285" s="8" t="n">
        <f aca="true">IF(B285="Bull",NORMINV(RAND(),Assumptions!$B$5,Assumptions!$B$6),NORMINV(RAND(),Assumptions!$B$8,Assumptions!$B$9))</f>
        <v>0.144064383390575</v>
      </c>
      <c r="I285" s="8" t="n">
        <f aca="true">IF(C285="Bull",NORMINV(RAND(),Assumptions!$B$5,Assumptions!$B$6),NORMINV(RAND(),Assumptions!$B$8,Assumptions!$B$9))</f>
        <v>-0.267799030590813</v>
      </c>
      <c r="J285" s="8" t="n">
        <f aca="true">IF(D285="Bull",NORMINV(RAND(),Assumptions!$B$5,Assumptions!$B$6),NORMINV(RAND(),Assumptions!$B$8,Assumptions!$B$9))</f>
        <v>0.0485924605150642</v>
      </c>
      <c r="K285" s="8" t="n">
        <f aca="true">IF(E285="Bull",NORMINV(RAND(),Assumptions!$B$5,Assumptions!$B$6),NORMINV(RAND(),Assumptions!$B$8,Assumptions!$B$9))</f>
        <v>0.284045260175787</v>
      </c>
      <c r="L285" s="8" t="n">
        <f aca="true">IF(F285="Bull",NORMINV(RAND(),Assumptions!$B$5,Assumptions!$B$6),NORMINV(RAND(),Assumptions!$B$8,Assumptions!$B$9))</f>
        <v>0.152946812150368</v>
      </c>
      <c r="M285" s="8" t="n">
        <f aca="true">IF(G285="Bull",NORMINV(RAND(),Assumptions!$B$5,Assumptions!$B$6),NORMINV(RAND(),Assumptions!$B$8,Assumptions!$B$9))</f>
        <v>0.0250029779820023</v>
      </c>
      <c r="N285" s="8" t="n">
        <f aca="true">NORMINV(RAND(),Assumptions!$B$14,Assumptions!$B$15)</f>
        <v>0.0240297666984958</v>
      </c>
      <c r="O285" s="8" t="n">
        <f aca="true">NORMINV(RAND(),Assumptions!$B$14,Assumptions!$B$15)</f>
        <v>0.0893805617073758</v>
      </c>
      <c r="P285" s="8" t="n">
        <f aca="true">NORMINV(RAND(),Assumptions!$B$14,Assumptions!$B$15)</f>
        <v>0.044711761802477</v>
      </c>
      <c r="Q285" s="8" t="n">
        <f aca="true">NORMINV(RAND(),Assumptions!$B$14,Assumptions!$B$15)</f>
        <v>-0.0217702748957171</v>
      </c>
      <c r="R285" s="8" t="n">
        <f aca="true">NORMINV(RAND(),Assumptions!$B$14,Assumptions!$B$15)</f>
        <v>0.0569012797343896</v>
      </c>
      <c r="S285" s="8" t="n">
        <f aca="true">NORMINV(RAND(),Assumptions!$B$14,Assumptions!$B$15)</f>
        <v>0.0273081064086394</v>
      </c>
      <c r="T285" s="8" t="n">
        <f aca="false">Assumptions!$B$19*H285+(1-Assumptions!$B$19)*N285</f>
        <v>0.144064383390575</v>
      </c>
      <c r="U285" s="8" t="n">
        <f aca="false">Assumptions!$B$20*I285+(1-Assumptions!$B$20)*O285</f>
        <v>-0.267799030590813</v>
      </c>
      <c r="V285" s="8" t="n">
        <f aca="false">Assumptions!$B$21*J285+(1-Assumptions!$B$21)*P285</f>
        <v>0.0485924605150642</v>
      </c>
      <c r="W285" s="8" t="n">
        <f aca="false">Assumptions!$B$22*K285+(1-Assumptions!$B$22)*Q285</f>
        <v>0.284045260175787</v>
      </c>
      <c r="X285" s="8" t="n">
        <f aca="false">Assumptions!$B$23*L285+(1-Assumptions!$B$23)*R285</f>
        <v>0.133737705667172</v>
      </c>
      <c r="Y285" s="8" t="n">
        <f aca="false">Assumptions!$B$24*M285+(1-Assumptions!$B$24)*S285</f>
        <v>0.0259250293526571</v>
      </c>
      <c r="Z285" s="6" t="n">
        <f aca="false">Assumptions!$B$27*(1+T285)</f>
        <v>343219.315017173</v>
      </c>
      <c r="AA285" s="6" t="n">
        <f aca="false">(Z285+Assumptions!$B$28)*(1+U285)</f>
        <v>361135.660586909</v>
      </c>
      <c r="AB285" s="6" t="n">
        <f aca="false">AA285*(1+V285)</f>
        <v>378684.13091456</v>
      </c>
      <c r="AC285" s="6" t="n">
        <f aca="false">AB285*(1+W285)</f>
        <v>486247.563404628</v>
      </c>
      <c r="AD285" s="6" t="n">
        <f aca="false">AC285*(1+X285)</f>
        <v>551277.196920616</v>
      </c>
      <c r="AE285" s="6" t="n">
        <f aca="false">AD285*(1+Y285)</f>
        <v>565569.074432233</v>
      </c>
      <c r="AF285" s="6" t="n">
        <f aca="false">Z285</f>
        <v>343219.315017173</v>
      </c>
      <c r="AG285" s="6" t="n">
        <f aca="false">MAX(AF285,AA285)</f>
        <v>361135.660586909</v>
      </c>
      <c r="AH285" s="6" t="n">
        <f aca="false">MAX(AG285,AB285)</f>
        <v>378684.13091456</v>
      </c>
      <c r="AI285" s="6" t="n">
        <f aca="false">MAX(AH285,AC285)</f>
        <v>486247.563404628</v>
      </c>
      <c r="AJ285" s="6" t="n">
        <f aca="false">MAX(AI285,AD285)</f>
        <v>551277.196920616</v>
      </c>
      <c r="AK285" s="6" t="n">
        <f aca="false">MAX(AJ285,AE285)</f>
        <v>565569.074432233</v>
      </c>
      <c r="AL285" s="8" t="n">
        <f aca="false">MIN(Z285/AF285-1,AA285/AG285-1,AB285/AH285-1,AC285/AI285-1,AD285/AJ285-1,AE285/AK285-1)</f>
        <v>0</v>
      </c>
      <c r="AM285" s="6" t="n">
        <f aca="false">AE285-Assumptions!$B$35</f>
        <v>124305.07776973</v>
      </c>
    </row>
    <row r="286" customFormat="false" ht="15" hidden="false" customHeight="false" outlineLevel="0" collapsed="false">
      <c r="A286" s="0" t="n">
        <f aca="false">ROW()-1</f>
        <v>285</v>
      </c>
      <c r="B286" s="0" t="str">
        <f aca="true">IF(RAND()&lt;Assumptions!$B$11,"Bull","Bear")</f>
        <v>Bull</v>
      </c>
      <c r="C286" s="0" t="str">
        <f aca="true">IF(B286="Bull",IF(RAND()&lt;Assumptions!$B$7,"Bull","Bear"),IF(RAND()&lt;Assumptions!$B$10,"Bear","Bull"))</f>
        <v>Bull</v>
      </c>
      <c r="D286" s="0" t="str">
        <f aca="true">IF(C286="Bull",IF(RAND()&lt;Assumptions!$B$7,"Bull","Bear"),IF(RAND()&lt;Assumptions!$B$10,"Bear","Bull"))</f>
        <v>Bull</v>
      </c>
      <c r="E286" s="0" t="str">
        <f aca="true">IF(D286="Bull",IF(RAND()&lt;Assumptions!$B$7,"Bull","Bear"),IF(RAND()&lt;Assumptions!$B$10,"Bear","Bull"))</f>
        <v>Bear</v>
      </c>
      <c r="F286" s="0" t="str">
        <f aca="true">IF(E286="Bull",IF(RAND()&lt;Assumptions!$B$7,"Bull","Bear"),IF(RAND()&lt;Assumptions!$B$10,"Bear","Bull"))</f>
        <v>Bull</v>
      </c>
      <c r="G286" s="0" t="str">
        <f aca="true">IF(F286="Bull",IF(RAND()&lt;Assumptions!$B$7,"Bull","Bear"),IF(RAND()&lt;Assumptions!$B$10,"Bear","Bull"))</f>
        <v>Bull</v>
      </c>
      <c r="H286" s="8" t="n">
        <f aca="true">IF(B286="Bull",NORMINV(RAND(),Assumptions!$B$5,Assumptions!$B$6),NORMINV(RAND(),Assumptions!$B$8,Assumptions!$B$9))</f>
        <v>0.316637563648046</v>
      </c>
      <c r="I286" s="8" t="n">
        <f aca="true">IF(C286="Bull",NORMINV(RAND(),Assumptions!$B$5,Assumptions!$B$6),NORMINV(RAND(),Assumptions!$B$8,Assumptions!$B$9))</f>
        <v>0.291362689802329</v>
      </c>
      <c r="J286" s="8" t="n">
        <f aca="true">IF(D286="Bull",NORMINV(RAND(),Assumptions!$B$5,Assumptions!$B$6),NORMINV(RAND(),Assumptions!$B$8,Assumptions!$B$9))</f>
        <v>0.0577590915882041</v>
      </c>
      <c r="K286" s="8" t="n">
        <f aca="true">IF(E286="Bull",NORMINV(RAND(),Assumptions!$B$5,Assumptions!$B$6),NORMINV(RAND(),Assumptions!$B$8,Assumptions!$B$9))</f>
        <v>-0.15007557567285</v>
      </c>
      <c r="L286" s="8" t="n">
        <f aca="true">IF(F286="Bull",NORMINV(RAND(),Assumptions!$B$5,Assumptions!$B$6),NORMINV(RAND(),Assumptions!$B$8,Assumptions!$B$9))</f>
        <v>0.157780733991911</v>
      </c>
      <c r="M286" s="8" t="n">
        <f aca="true">IF(G286="Bull",NORMINV(RAND(),Assumptions!$B$5,Assumptions!$B$6),NORMINV(RAND(),Assumptions!$B$8,Assumptions!$B$9))</f>
        <v>0.20359736149869</v>
      </c>
      <c r="N286" s="8" t="n">
        <f aca="true">NORMINV(RAND(),Assumptions!$B$14,Assumptions!$B$15)</f>
        <v>0.0662280928439933</v>
      </c>
      <c r="O286" s="8" t="n">
        <f aca="true">NORMINV(RAND(),Assumptions!$B$14,Assumptions!$B$15)</f>
        <v>0.0842950483642419</v>
      </c>
      <c r="P286" s="8" t="n">
        <f aca="true">NORMINV(RAND(),Assumptions!$B$14,Assumptions!$B$15)</f>
        <v>0.0361447250958211</v>
      </c>
      <c r="Q286" s="8" t="n">
        <f aca="true">NORMINV(RAND(),Assumptions!$B$14,Assumptions!$B$15)</f>
        <v>0.0462914377193237</v>
      </c>
      <c r="R286" s="8" t="n">
        <f aca="true">NORMINV(RAND(),Assumptions!$B$14,Assumptions!$B$15)</f>
        <v>0.0915912532450815</v>
      </c>
      <c r="S286" s="8" t="n">
        <f aca="true">NORMINV(RAND(),Assumptions!$B$14,Assumptions!$B$15)</f>
        <v>0.058443001772288</v>
      </c>
      <c r="T286" s="8" t="n">
        <f aca="false">Assumptions!$B$19*H286+(1-Assumptions!$B$19)*N286</f>
        <v>0.316637563648046</v>
      </c>
      <c r="U286" s="8" t="n">
        <f aca="false">Assumptions!$B$20*I286+(1-Assumptions!$B$20)*O286</f>
        <v>0.291362689802329</v>
      </c>
      <c r="V286" s="8" t="n">
        <f aca="false">Assumptions!$B$21*J286+(1-Assumptions!$B$21)*P286</f>
        <v>0.0577590915882041</v>
      </c>
      <c r="W286" s="8" t="n">
        <f aca="false">Assumptions!$B$22*K286+(1-Assumptions!$B$22)*Q286</f>
        <v>-0.15007557567285</v>
      </c>
      <c r="X286" s="8" t="n">
        <f aca="false">Assumptions!$B$23*L286+(1-Assumptions!$B$23)*R286</f>
        <v>0.144542837842545</v>
      </c>
      <c r="Y286" s="8" t="n">
        <f aca="false">Assumptions!$B$24*M286+(1-Assumptions!$B$24)*S286</f>
        <v>0.145535617608129</v>
      </c>
      <c r="Z286" s="6" t="n">
        <f aca="false">Assumptions!$B$27*(1+T286)</f>
        <v>394991.269094414</v>
      </c>
      <c r="AA286" s="6" t="n">
        <f aca="false">(Z286+Assumptions!$B$28)*(1+U286)</f>
        <v>703781.391176547</v>
      </c>
      <c r="AB286" s="6" t="n">
        <f aca="false">AA286*(1+V286)</f>
        <v>744431.165007586</v>
      </c>
      <c r="AC286" s="6" t="n">
        <f aca="false">AB286*(1+W286)</f>
        <v>632710.229370263</v>
      </c>
      <c r="AD286" s="6" t="n">
        <f aca="false">AC286*(1+X286)</f>
        <v>724163.961455448</v>
      </c>
      <c r="AE286" s="6" t="n">
        <f aca="false">AD286*(1+Y286)</f>
        <v>829555.610835417</v>
      </c>
      <c r="AF286" s="6" t="n">
        <f aca="false">Z286</f>
        <v>394991.269094414</v>
      </c>
      <c r="AG286" s="6" t="n">
        <f aca="false">MAX(AF286,AA286)</f>
        <v>703781.391176547</v>
      </c>
      <c r="AH286" s="6" t="n">
        <f aca="false">MAX(AG286,AB286)</f>
        <v>744431.165007586</v>
      </c>
      <c r="AI286" s="6" t="n">
        <f aca="false">MAX(AH286,AC286)</f>
        <v>744431.165007586</v>
      </c>
      <c r="AJ286" s="6" t="n">
        <f aca="false">MAX(AI286,AD286)</f>
        <v>744431.165007586</v>
      </c>
      <c r="AK286" s="6" t="n">
        <f aca="false">MAX(AJ286,AE286)</f>
        <v>829555.610835417</v>
      </c>
      <c r="AL286" s="8" t="n">
        <f aca="false">MIN(Z286/AF286-1,AA286/AG286-1,AB286/AH286-1,AC286/AI286-1,AD286/AJ286-1,AE286/AK286-1)</f>
        <v>-0.150075575672849</v>
      </c>
      <c r="AM286" s="6" t="n">
        <f aca="false">AE286-Assumptions!$B$35</f>
        <v>388291.614172913</v>
      </c>
    </row>
    <row r="287" customFormat="false" ht="15" hidden="false" customHeight="false" outlineLevel="0" collapsed="false">
      <c r="A287" s="0" t="n">
        <f aca="false">ROW()-1</f>
        <v>286</v>
      </c>
      <c r="B287" s="0" t="str">
        <f aca="true">IF(RAND()&lt;Assumptions!$B$11,"Bull","Bear")</f>
        <v>Bear</v>
      </c>
      <c r="C287" s="0" t="str">
        <f aca="true">IF(B287="Bull",IF(RAND()&lt;Assumptions!$B$7,"Bull","Bear"),IF(RAND()&lt;Assumptions!$B$10,"Bear","Bull"))</f>
        <v>Bull</v>
      </c>
      <c r="D287" s="0" t="str">
        <f aca="true">IF(C287="Bull",IF(RAND()&lt;Assumptions!$B$7,"Bull","Bear"),IF(RAND()&lt;Assumptions!$B$10,"Bear","Bull"))</f>
        <v>Bull</v>
      </c>
      <c r="E287" s="0" t="str">
        <f aca="true">IF(D287="Bull",IF(RAND()&lt;Assumptions!$B$7,"Bull","Bear"),IF(RAND()&lt;Assumptions!$B$10,"Bear","Bull"))</f>
        <v>Bull</v>
      </c>
      <c r="F287" s="0" t="str">
        <f aca="true">IF(E287="Bull",IF(RAND()&lt;Assumptions!$B$7,"Bull","Bear"),IF(RAND()&lt;Assumptions!$B$10,"Bear","Bull"))</f>
        <v>Bull</v>
      </c>
      <c r="G287" s="0" t="str">
        <f aca="true">IF(F287="Bull",IF(RAND()&lt;Assumptions!$B$7,"Bull","Bear"),IF(RAND()&lt;Assumptions!$B$10,"Bear","Bull"))</f>
        <v>Bull</v>
      </c>
      <c r="H287" s="8" t="n">
        <f aca="true">IF(B287="Bull",NORMINV(RAND(),Assumptions!$B$5,Assumptions!$B$6),NORMINV(RAND(),Assumptions!$B$8,Assumptions!$B$9))</f>
        <v>0.246406351203964</v>
      </c>
      <c r="I287" s="8" t="n">
        <f aca="true">IF(C287="Bull",NORMINV(RAND(),Assumptions!$B$5,Assumptions!$B$6),NORMINV(RAND(),Assumptions!$B$8,Assumptions!$B$9))</f>
        <v>0.274746206375572</v>
      </c>
      <c r="J287" s="8" t="n">
        <f aca="true">IF(D287="Bull",NORMINV(RAND(),Assumptions!$B$5,Assumptions!$B$6),NORMINV(RAND(),Assumptions!$B$8,Assumptions!$B$9))</f>
        <v>0.02226941759249</v>
      </c>
      <c r="K287" s="8" t="n">
        <f aca="true">IF(E287="Bull",NORMINV(RAND(),Assumptions!$B$5,Assumptions!$B$6),NORMINV(RAND(),Assumptions!$B$8,Assumptions!$B$9))</f>
        <v>0.166775567961694</v>
      </c>
      <c r="L287" s="8" t="n">
        <f aca="true">IF(F287="Bull",NORMINV(RAND(),Assumptions!$B$5,Assumptions!$B$6),NORMINV(RAND(),Assumptions!$B$8,Assumptions!$B$9))</f>
        <v>0.0406399657956912</v>
      </c>
      <c r="M287" s="8" t="n">
        <f aca="true">IF(G287="Bull",NORMINV(RAND(),Assumptions!$B$5,Assumptions!$B$6),NORMINV(RAND(),Assumptions!$B$8,Assumptions!$B$9))</f>
        <v>0.0377835261494668</v>
      </c>
      <c r="N287" s="8" t="n">
        <f aca="true">NORMINV(RAND(),Assumptions!$B$14,Assumptions!$B$15)</f>
        <v>0.0271626450717762</v>
      </c>
      <c r="O287" s="8" t="n">
        <f aca="true">NORMINV(RAND(),Assumptions!$B$14,Assumptions!$B$15)</f>
        <v>0.0805255123627078</v>
      </c>
      <c r="P287" s="8" t="n">
        <f aca="true">NORMINV(RAND(),Assumptions!$B$14,Assumptions!$B$15)</f>
        <v>-0.0200917239934532</v>
      </c>
      <c r="Q287" s="8" t="n">
        <f aca="true">NORMINV(RAND(),Assumptions!$B$14,Assumptions!$B$15)</f>
        <v>0.120485335766734</v>
      </c>
      <c r="R287" s="8" t="n">
        <f aca="true">NORMINV(RAND(),Assumptions!$B$14,Assumptions!$B$15)</f>
        <v>0.0390466236755613</v>
      </c>
      <c r="S287" s="8" t="n">
        <f aca="true">NORMINV(RAND(),Assumptions!$B$14,Assumptions!$B$15)</f>
        <v>0.0489798891838845</v>
      </c>
      <c r="T287" s="8" t="n">
        <f aca="false">Assumptions!$B$19*H287+(1-Assumptions!$B$19)*N287</f>
        <v>0.246406351203964</v>
      </c>
      <c r="U287" s="8" t="n">
        <f aca="false">Assumptions!$B$20*I287+(1-Assumptions!$B$20)*O287</f>
        <v>0.274746206375572</v>
      </c>
      <c r="V287" s="8" t="n">
        <f aca="false">Assumptions!$B$21*J287+(1-Assumptions!$B$21)*P287</f>
        <v>0.02226941759249</v>
      </c>
      <c r="W287" s="8" t="n">
        <f aca="false">Assumptions!$B$22*K287+(1-Assumptions!$B$22)*Q287</f>
        <v>0.166775567961694</v>
      </c>
      <c r="X287" s="8" t="n">
        <f aca="false">Assumptions!$B$23*L287+(1-Assumptions!$B$23)*R287</f>
        <v>0.0403212973716652</v>
      </c>
      <c r="Y287" s="8" t="n">
        <f aca="false">Assumptions!$B$24*M287+(1-Assumptions!$B$24)*S287</f>
        <v>0.0422620713632339</v>
      </c>
      <c r="Z287" s="6" t="n">
        <f aca="false">Assumptions!$B$27*(1+T287)</f>
        <v>373921.905361189</v>
      </c>
      <c r="AA287" s="6" t="n">
        <f aca="false">(Z287+Assumptions!$B$28)*(1+U287)</f>
        <v>667867.461296237</v>
      </c>
      <c r="AB287" s="6" t="n">
        <f aca="false">AA287*(1+V287)</f>
        <v>682740.480688279</v>
      </c>
      <c r="AC287" s="6" t="n">
        <f aca="false">AB287*(1+W287)</f>
        <v>796604.912125507</v>
      </c>
      <c r="AD287" s="6" t="n">
        <f aca="false">AC287*(1+X287)</f>
        <v>828725.055675049</v>
      </c>
      <c r="AE287" s="6" t="n">
        <f aca="false">AD287*(1+Y287)</f>
        <v>863748.693118488</v>
      </c>
      <c r="AF287" s="6" t="n">
        <f aca="false">Z287</f>
        <v>373921.905361189</v>
      </c>
      <c r="AG287" s="6" t="n">
        <f aca="false">MAX(AF287,AA287)</f>
        <v>667867.461296237</v>
      </c>
      <c r="AH287" s="6" t="n">
        <f aca="false">MAX(AG287,AB287)</f>
        <v>682740.480688279</v>
      </c>
      <c r="AI287" s="6" t="n">
        <f aca="false">MAX(AH287,AC287)</f>
        <v>796604.912125507</v>
      </c>
      <c r="AJ287" s="6" t="n">
        <f aca="false">MAX(AI287,AD287)</f>
        <v>828725.055675049</v>
      </c>
      <c r="AK287" s="6" t="n">
        <f aca="false">MAX(AJ287,AE287)</f>
        <v>863748.693118488</v>
      </c>
      <c r="AL287" s="8" t="n">
        <f aca="false">MIN(Z287/AF287-1,AA287/AG287-1,AB287/AH287-1,AC287/AI287-1,AD287/AJ287-1,AE287/AK287-1)</f>
        <v>0</v>
      </c>
      <c r="AM287" s="6" t="n">
        <f aca="false">AE287-Assumptions!$B$35</f>
        <v>422484.696455984</v>
      </c>
    </row>
    <row r="288" customFormat="false" ht="15" hidden="false" customHeight="false" outlineLevel="0" collapsed="false">
      <c r="A288" s="0" t="n">
        <f aca="false">ROW()-1</f>
        <v>287</v>
      </c>
      <c r="B288" s="0" t="str">
        <f aca="true">IF(RAND()&lt;Assumptions!$B$11,"Bull","Bear")</f>
        <v>Bull</v>
      </c>
      <c r="C288" s="0" t="str">
        <f aca="true">IF(B288="Bull",IF(RAND()&lt;Assumptions!$B$7,"Bull","Bear"),IF(RAND()&lt;Assumptions!$B$10,"Bear","Bull"))</f>
        <v>Bull</v>
      </c>
      <c r="D288" s="0" t="str">
        <f aca="true">IF(C288="Bull",IF(RAND()&lt;Assumptions!$B$7,"Bull","Bear"),IF(RAND()&lt;Assumptions!$B$10,"Bear","Bull"))</f>
        <v>Bull</v>
      </c>
      <c r="E288" s="0" t="str">
        <f aca="true">IF(D288="Bull",IF(RAND()&lt;Assumptions!$B$7,"Bull","Bear"),IF(RAND()&lt;Assumptions!$B$10,"Bear","Bull"))</f>
        <v>Bull</v>
      </c>
      <c r="F288" s="0" t="str">
        <f aca="true">IF(E288="Bull",IF(RAND()&lt;Assumptions!$B$7,"Bull","Bear"),IF(RAND()&lt;Assumptions!$B$10,"Bear","Bull"))</f>
        <v>Bull</v>
      </c>
      <c r="G288" s="0" t="str">
        <f aca="true">IF(F288="Bull",IF(RAND()&lt;Assumptions!$B$7,"Bull","Bear"),IF(RAND()&lt;Assumptions!$B$10,"Bear","Bull"))</f>
        <v>Bear</v>
      </c>
      <c r="H288" s="8" t="n">
        <f aca="true">IF(B288="Bull",NORMINV(RAND(),Assumptions!$B$5,Assumptions!$B$6),NORMINV(RAND(),Assumptions!$B$8,Assumptions!$B$9))</f>
        <v>0.199538111934971</v>
      </c>
      <c r="I288" s="8" t="n">
        <f aca="true">IF(C288="Bull",NORMINV(RAND(),Assumptions!$B$5,Assumptions!$B$6),NORMINV(RAND(),Assumptions!$B$8,Assumptions!$B$9))</f>
        <v>0.303453242127769</v>
      </c>
      <c r="J288" s="8" t="n">
        <f aca="true">IF(D288="Bull",NORMINV(RAND(),Assumptions!$B$5,Assumptions!$B$6),NORMINV(RAND(),Assumptions!$B$8,Assumptions!$B$9))</f>
        <v>0.213259195269172</v>
      </c>
      <c r="K288" s="8" t="n">
        <f aca="true">IF(E288="Bull",NORMINV(RAND(),Assumptions!$B$5,Assumptions!$B$6),NORMINV(RAND(),Assumptions!$B$8,Assumptions!$B$9))</f>
        <v>0.271642441229586</v>
      </c>
      <c r="L288" s="8" t="n">
        <f aca="true">IF(F288="Bull",NORMINV(RAND(),Assumptions!$B$5,Assumptions!$B$6),NORMINV(RAND(),Assumptions!$B$8,Assumptions!$B$9))</f>
        <v>0.245518129410576</v>
      </c>
      <c r="M288" s="8" t="n">
        <f aca="true">IF(G288="Bull",NORMINV(RAND(),Assumptions!$B$5,Assumptions!$B$6),NORMINV(RAND(),Assumptions!$B$8,Assumptions!$B$9))</f>
        <v>-0.209055313982048</v>
      </c>
      <c r="N288" s="8" t="n">
        <f aca="true">NORMINV(RAND(),Assumptions!$B$14,Assumptions!$B$15)</f>
        <v>0.0556410440472888</v>
      </c>
      <c r="O288" s="8" t="n">
        <f aca="true">NORMINV(RAND(),Assumptions!$B$14,Assumptions!$B$15)</f>
        <v>0.0535520504607281</v>
      </c>
      <c r="P288" s="8" t="n">
        <f aca="true">NORMINV(RAND(),Assumptions!$B$14,Assumptions!$B$15)</f>
        <v>0.0633793949066487</v>
      </c>
      <c r="Q288" s="8" t="n">
        <f aca="true">NORMINV(RAND(),Assumptions!$B$14,Assumptions!$B$15)</f>
        <v>0.100999646422129</v>
      </c>
      <c r="R288" s="8" t="n">
        <f aca="true">NORMINV(RAND(),Assumptions!$B$14,Assumptions!$B$15)</f>
        <v>0.0411617358970955</v>
      </c>
      <c r="S288" s="8" t="n">
        <f aca="true">NORMINV(RAND(),Assumptions!$B$14,Assumptions!$B$15)</f>
        <v>0.043840899432153</v>
      </c>
      <c r="T288" s="8" t="n">
        <f aca="false">Assumptions!$B$19*H288+(1-Assumptions!$B$19)*N288</f>
        <v>0.199538111934971</v>
      </c>
      <c r="U288" s="8" t="n">
        <f aca="false">Assumptions!$B$20*I288+(1-Assumptions!$B$20)*O288</f>
        <v>0.303453242127769</v>
      </c>
      <c r="V288" s="8" t="n">
        <f aca="false">Assumptions!$B$21*J288+(1-Assumptions!$B$21)*P288</f>
        <v>0.213259195269172</v>
      </c>
      <c r="W288" s="8" t="n">
        <f aca="false">Assumptions!$B$22*K288+(1-Assumptions!$B$22)*Q288</f>
        <v>0.271642441229586</v>
      </c>
      <c r="X288" s="8" t="n">
        <f aca="false">Assumptions!$B$23*L288+(1-Assumptions!$B$23)*R288</f>
        <v>0.20464685070788</v>
      </c>
      <c r="Y288" s="8" t="n">
        <f aca="false">Assumptions!$B$24*M288+(1-Assumptions!$B$24)*S288</f>
        <v>-0.107896828616368</v>
      </c>
      <c r="Z288" s="6" t="n">
        <f aca="false">Assumptions!$B$27*(1+T288)</f>
        <v>359861.433580491</v>
      </c>
      <c r="AA288" s="6" t="n">
        <f aca="false">(Z288+Assumptions!$B$28)*(1+U288)</f>
        <v>664580.538636404</v>
      </c>
      <c r="AB288" s="6" t="n">
        <f aca="false">AA288*(1+V288)</f>
        <v>806308.449497556</v>
      </c>
      <c r="AC288" s="6" t="n">
        <f aca="false">AB288*(1+W288)</f>
        <v>1025336.04510311</v>
      </c>
      <c r="AD288" s="6" t="n">
        <f aca="false">AC288*(1+X288)</f>
        <v>1235167.83765074</v>
      </c>
      <c r="AE288" s="6" t="n">
        <f aca="false">AD288*(1+Y288)</f>
        <v>1101897.14515929</v>
      </c>
      <c r="AF288" s="6" t="n">
        <f aca="false">Z288</f>
        <v>359861.433580491</v>
      </c>
      <c r="AG288" s="6" t="n">
        <f aca="false">MAX(AF288,AA288)</f>
        <v>664580.538636404</v>
      </c>
      <c r="AH288" s="6" t="n">
        <f aca="false">MAX(AG288,AB288)</f>
        <v>806308.449497556</v>
      </c>
      <c r="AI288" s="6" t="n">
        <f aca="false">MAX(AH288,AC288)</f>
        <v>1025336.04510311</v>
      </c>
      <c r="AJ288" s="6" t="n">
        <f aca="false">MAX(AI288,AD288)</f>
        <v>1235167.83765074</v>
      </c>
      <c r="AK288" s="6" t="n">
        <f aca="false">MAX(AJ288,AE288)</f>
        <v>1235167.83765074</v>
      </c>
      <c r="AL288" s="8" t="n">
        <f aca="false">MIN(Z288/AF288-1,AA288/AG288-1,AB288/AH288-1,AC288/AI288-1,AD288/AJ288-1,AE288/AK288-1)</f>
        <v>-0.107896828616367</v>
      </c>
      <c r="AM288" s="6" t="n">
        <f aca="false">AE288-Assumptions!$B$35</f>
        <v>660633.148496785</v>
      </c>
    </row>
    <row r="289" customFormat="false" ht="15" hidden="false" customHeight="false" outlineLevel="0" collapsed="false">
      <c r="A289" s="0" t="n">
        <f aca="false">ROW()-1</f>
        <v>288</v>
      </c>
      <c r="B289" s="0" t="str">
        <f aca="true">IF(RAND()&lt;Assumptions!$B$11,"Bull","Bear")</f>
        <v>Bull</v>
      </c>
      <c r="C289" s="0" t="str">
        <f aca="true">IF(B289="Bull",IF(RAND()&lt;Assumptions!$B$7,"Bull","Bear"),IF(RAND()&lt;Assumptions!$B$10,"Bear","Bull"))</f>
        <v>Bull</v>
      </c>
      <c r="D289" s="0" t="str">
        <f aca="true">IF(C289="Bull",IF(RAND()&lt;Assumptions!$B$7,"Bull","Bear"),IF(RAND()&lt;Assumptions!$B$10,"Bear","Bull"))</f>
        <v>Bull</v>
      </c>
      <c r="E289" s="0" t="str">
        <f aca="true">IF(D289="Bull",IF(RAND()&lt;Assumptions!$B$7,"Bull","Bear"),IF(RAND()&lt;Assumptions!$B$10,"Bear","Bull"))</f>
        <v>Bull</v>
      </c>
      <c r="F289" s="0" t="str">
        <f aca="true">IF(E289="Bull",IF(RAND()&lt;Assumptions!$B$7,"Bull","Bear"),IF(RAND()&lt;Assumptions!$B$10,"Bear","Bull"))</f>
        <v>Bear</v>
      </c>
      <c r="G289" s="0" t="str">
        <f aca="true">IF(F289="Bull",IF(RAND()&lt;Assumptions!$B$7,"Bull","Bear"),IF(RAND()&lt;Assumptions!$B$10,"Bear","Bull"))</f>
        <v>Bull</v>
      </c>
      <c r="H289" s="8" t="n">
        <f aca="true">IF(B289="Bull",NORMINV(RAND(),Assumptions!$B$5,Assumptions!$B$6),NORMINV(RAND(),Assumptions!$B$8,Assumptions!$B$9))</f>
        <v>0.263595972166457</v>
      </c>
      <c r="I289" s="8" t="n">
        <f aca="true">IF(C289="Bull",NORMINV(RAND(),Assumptions!$B$5,Assumptions!$B$6),NORMINV(RAND(),Assumptions!$B$8,Assumptions!$B$9))</f>
        <v>0.0857135770879978</v>
      </c>
      <c r="J289" s="8" t="n">
        <f aca="true">IF(D289="Bull",NORMINV(RAND(),Assumptions!$B$5,Assumptions!$B$6),NORMINV(RAND(),Assumptions!$B$8,Assumptions!$B$9))</f>
        <v>0.050000017789834</v>
      </c>
      <c r="K289" s="8" t="n">
        <f aca="true">IF(E289="Bull",NORMINV(RAND(),Assumptions!$B$5,Assumptions!$B$6),NORMINV(RAND(),Assumptions!$B$8,Assumptions!$B$9))</f>
        <v>0.159397788261673</v>
      </c>
      <c r="L289" s="8" t="n">
        <f aca="true">IF(F289="Bull",NORMINV(RAND(),Assumptions!$B$5,Assumptions!$B$6),NORMINV(RAND(),Assumptions!$B$8,Assumptions!$B$9))</f>
        <v>0.338179052419917</v>
      </c>
      <c r="M289" s="8" t="n">
        <f aca="true">IF(G289="Bull",NORMINV(RAND(),Assumptions!$B$5,Assumptions!$B$6),NORMINV(RAND(),Assumptions!$B$8,Assumptions!$B$9))</f>
        <v>0.196370769193368</v>
      </c>
      <c r="N289" s="8" t="n">
        <f aca="true">NORMINV(RAND(),Assumptions!$B$14,Assumptions!$B$15)</f>
        <v>0.0330763633027627</v>
      </c>
      <c r="O289" s="8" t="n">
        <f aca="true">NORMINV(RAND(),Assumptions!$B$14,Assumptions!$B$15)</f>
        <v>0.0253456810775972</v>
      </c>
      <c r="P289" s="8" t="n">
        <f aca="true">NORMINV(RAND(),Assumptions!$B$14,Assumptions!$B$15)</f>
        <v>0.0266899877959049</v>
      </c>
      <c r="Q289" s="8" t="n">
        <f aca="true">NORMINV(RAND(),Assumptions!$B$14,Assumptions!$B$15)</f>
        <v>-0.00929962900083817</v>
      </c>
      <c r="R289" s="8" t="n">
        <f aca="true">NORMINV(RAND(),Assumptions!$B$14,Assumptions!$B$15)</f>
        <v>0.0535918897958681</v>
      </c>
      <c r="S289" s="8" t="n">
        <f aca="true">NORMINV(RAND(),Assumptions!$B$14,Assumptions!$B$15)</f>
        <v>0.0182569514402203</v>
      </c>
      <c r="T289" s="8" t="n">
        <f aca="false">Assumptions!$B$19*H289+(1-Assumptions!$B$19)*N289</f>
        <v>0.263595972166457</v>
      </c>
      <c r="U289" s="8" t="n">
        <f aca="false">Assumptions!$B$20*I289+(1-Assumptions!$B$20)*O289</f>
        <v>0.0857135770879978</v>
      </c>
      <c r="V289" s="8" t="n">
        <f aca="false">Assumptions!$B$21*J289+(1-Assumptions!$B$21)*P289</f>
        <v>0.050000017789834</v>
      </c>
      <c r="W289" s="8" t="n">
        <f aca="false">Assumptions!$B$22*K289+(1-Assumptions!$B$22)*Q289</f>
        <v>0.159397788261673</v>
      </c>
      <c r="X289" s="8" t="n">
        <f aca="false">Assumptions!$B$23*L289+(1-Assumptions!$B$23)*R289</f>
        <v>0.281261619895107</v>
      </c>
      <c r="Y289" s="8" t="n">
        <f aca="false">Assumptions!$B$24*M289+(1-Assumptions!$B$24)*S289</f>
        <v>0.125125242092109</v>
      </c>
      <c r="Z289" s="6" t="n">
        <f aca="false">Assumptions!$B$27*(1+T289)</f>
        <v>379078.791649937</v>
      </c>
      <c r="AA289" s="6" t="n">
        <f aca="false">(Z289+Assumptions!$B$28)*(1+U289)</f>
        <v>574428.027443649</v>
      </c>
      <c r="AB289" s="6" t="n">
        <f aca="false">AA289*(1+V289)</f>
        <v>603149.439034811</v>
      </c>
      <c r="AC289" s="6" t="n">
        <f aca="false">AB289*(1+W289)</f>
        <v>699290.125608228</v>
      </c>
      <c r="AD289" s="6" t="n">
        <f aca="false">AC289*(1+X289)</f>
        <v>895973.599113451</v>
      </c>
      <c r="AE289" s="6" t="n">
        <f aca="false">AD289*(1+Y289)</f>
        <v>1008082.51261066</v>
      </c>
      <c r="AF289" s="6" t="n">
        <f aca="false">Z289</f>
        <v>379078.791649937</v>
      </c>
      <c r="AG289" s="6" t="n">
        <f aca="false">MAX(AF289,AA289)</f>
        <v>574428.027443649</v>
      </c>
      <c r="AH289" s="6" t="n">
        <f aca="false">MAX(AG289,AB289)</f>
        <v>603149.439034811</v>
      </c>
      <c r="AI289" s="6" t="n">
        <f aca="false">MAX(AH289,AC289)</f>
        <v>699290.125608228</v>
      </c>
      <c r="AJ289" s="6" t="n">
        <f aca="false">MAX(AI289,AD289)</f>
        <v>895973.599113451</v>
      </c>
      <c r="AK289" s="6" t="n">
        <f aca="false">MAX(AJ289,AE289)</f>
        <v>1008082.51261066</v>
      </c>
      <c r="AL289" s="8" t="n">
        <f aca="false">MIN(Z289/AF289-1,AA289/AG289-1,AB289/AH289-1,AC289/AI289-1,AD289/AJ289-1,AE289/AK289-1)</f>
        <v>0</v>
      </c>
      <c r="AM289" s="6" t="n">
        <f aca="false">AE289-Assumptions!$B$35</f>
        <v>566818.515948156</v>
      </c>
    </row>
    <row r="290" customFormat="false" ht="15" hidden="false" customHeight="false" outlineLevel="0" collapsed="false">
      <c r="A290" s="0" t="n">
        <f aca="false">ROW()-1</f>
        <v>289</v>
      </c>
      <c r="B290" s="0" t="str">
        <f aca="true">IF(RAND()&lt;Assumptions!$B$11,"Bull","Bear")</f>
        <v>Bull</v>
      </c>
      <c r="C290" s="0" t="str">
        <f aca="true">IF(B290="Bull",IF(RAND()&lt;Assumptions!$B$7,"Bull","Bear"),IF(RAND()&lt;Assumptions!$B$10,"Bear","Bull"))</f>
        <v>Bull</v>
      </c>
      <c r="D290" s="0" t="str">
        <f aca="true">IF(C290="Bull",IF(RAND()&lt;Assumptions!$B$7,"Bull","Bear"),IF(RAND()&lt;Assumptions!$B$10,"Bear","Bull"))</f>
        <v>Bull</v>
      </c>
      <c r="E290" s="0" t="str">
        <f aca="true">IF(D290="Bull",IF(RAND()&lt;Assumptions!$B$7,"Bull","Bear"),IF(RAND()&lt;Assumptions!$B$10,"Bear","Bull"))</f>
        <v>Bull</v>
      </c>
      <c r="F290" s="0" t="str">
        <f aca="true">IF(E290="Bull",IF(RAND()&lt;Assumptions!$B$7,"Bull","Bear"),IF(RAND()&lt;Assumptions!$B$10,"Bear","Bull"))</f>
        <v>Bull</v>
      </c>
      <c r="G290" s="0" t="str">
        <f aca="true">IF(F290="Bull",IF(RAND()&lt;Assumptions!$B$7,"Bull","Bear"),IF(RAND()&lt;Assumptions!$B$10,"Bear","Bull"))</f>
        <v>Bear</v>
      </c>
      <c r="H290" s="8" t="n">
        <f aca="true">IF(B290="Bull",NORMINV(RAND(),Assumptions!$B$5,Assumptions!$B$6),NORMINV(RAND(),Assumptions!$B$8,Assumptions!$B$9))</f>
        <v>0.138222580574496</v>
      </c>
      <c r="I290" s="8" t="n">
        <f aca="true">IF(C290="Bull",NORMINV(RAND(),Assumptions!$B$5,Assumptions!$B$6),NORMINV(RAND(),Assumptions!$B$8,Assumptions!$B$9))</f>
        <v>0.215870312515385</v>
      </c>
      <c r="J290" s="8" t="n">
        <f aca="true">IF(D290="Bull",NORMINV(RAND(),Assumptions!$B$5,Assumptions!$B$6),NORMINV(RAND(),Assumptions!$B$8,Assumptions!$B$9))</f>
        <v>0.244227785243265</v>
      </c>
      <c r="K290" s="8" t="n">
        <f aca="true">IF(E290="Bull",NORMINV(RAND(),Assumptions!$B$5,Assumptions!$B$6),NORMINV(RAND(),Assumptions!$B$8,Assumptions!$B$9))</f>
        <v>-0.0860643301075195</v>
      </c>
      <c r="L290" s="8" t="n">
        <f aca="true">IF(F290="Bull",NORMINV(RAND(),Assumptions!$B$5,Assumptions!$B$6),NORMINV(RAND(),Assumptions!$B$8,Assumptions!$B$9))</f>
        <v>-0.0381112118484165</v>
      </c>
      <c r="M290" s="8" t="n">
        <f aca="true">IF(G290="Bull",NORMINV(RAND(),Assumptions!$B$5,Assumptions!$B$6),NORMINV(RAND(),Assumptions!$B$8,Assumptions!$B$9))</f>
        <v>0.0374990640796208</v>
      </c>
      <c r="N290" s="8" t="n">
        <f aca="true">NORMINV(RAND(),Assumptions!$B$14,Assumptions!$B$15)</f>
        <v>0.0178766095743948</v>
      </c>
      <c r="O290" s="8" t="n">
        <f aca="true">NORMINV(RAND(),Assumptions!$B$14,Assumptions!$B$15)</f>
        <v>0.0432398588308706</v>
      </c>
      <c r="P290" s="8" t="n">
        <f aca="true">NORMINV(RAND(),Assumptions!$B$14,Assumptions!$B$15)</f>
        <v>-0.00979043092728221</v>
      </c>
      <c r="Q290" s="8" t="n">
        <f aca="true">NORMINV(RAND(),Assumptions!$B$14,Assumptions!$B$15)</f>
        <v>0.0390795364611062</v>
      </c>
      <c r="R290" s="8" t="n">
        <f aca="true">NORMINV(RAND(),Assumptions!$B$14,Assumptions!$B$15)</f>
        <v>0.0474125327874259</v>
      </c>
      <c r="S290" s="8" t="n">
        <f aca="true">NORMINV(RAND(),Assumptions!$B$14,Assumptions!$B$15)</f>
        <v>0.021812134372966</v>
      </c>
      <c r="T290" s="8" t="n">
        <f aca="false">Assumptions!$B$19*H290+(1-Assumptions!$B$19)*N290</f>
        <v>0.138222580574496</v>
      </c>
      <c r="U290" s="8" t="n">
        <f aca="false">Assumptions!$B$20*I290+(1-Assumptions!$B$20)*O290</f>
        <v>0.215870312515385</v>
      </c>
      <c r="V290" s="8" t="n">
        <f aca="false">Assumptions!$B$21*J290+(1-Assumptions!$B$21)*P290</f>
        <v>0.244227785243265</v>
      </c>
      <c r="W290" s="8" t="n">
        <f aca="false">Assumptions!$B$22*K290+(1-Assumptions!$B$22)*Q290</f>
        <v>-0.0860643301075195</v>
      </c>
      <c r="X290" s="8" t="n">
        <f aca="false">Assumptions!$B$23*L290+(1-Assumptions!$B$23)*R290</f>
        <v>-0.0210064629212481</v>
      </c>
      <c r="Y290" s="8" t="n">
        <f aca="false">Assumptions!$B$24*M290+(1-Assumptions!$B$24)*S290</f>
        <v>0.0312242921969589</v>
      </c>
      <c r="Z290" s="6" t="n">
        <f aca="false">Assumptions!$B$27*(1+T290)</f>
        <v>341466.774172349</v>
      </c>
      <c r="AA290" s="6" t="n">
        <f aca="false">(Z290+Assumptions!$B$28)*(1+U290)</f>
        <v>597559.860303862</v>
      </c>
      <c r="AB290" s="6" t="n">
        <f aca="false">AA290*(1+V290)</f>
        <v>743500.581536148</v>
      </c>
      <c r="AC290" s="6" t="n">
        <f aca="false">AB290*(1+W290)</f>
        <v>679511.702051689</v>
      </c>
      <c r="AD290" s="6" t="n">
        <f aca="false">AC290*(1+X290)</f>
        <v>665237.564677986</v>
      </c>
      <c r="AE290" s="6" t="n">
        <f aca="false">AD290*(1+Y290)</f>
        <v>686009.136777884</v>
      </c>
      <c r="AF290" s="6" t="n">
        <f aca="false">Z290</f>
        <v>341466.774172349</v>
      </c>
      <c r="AG290" s="6" t="n">
        <f aca="false">MAX(AF290,AA290)</f>
        <v>597559.860303862</v>
      </c>
      <c r="AH290" s="6" t="n">
        <f aca="false">MAX(AG290,AB290)</f>
        <v>743500.581536148</v>
      </c>
      <c r="AI290" s="6" t="n">
        <f aca="false">MAX(AH290,AC290)</f>
        <v>743500.581536148</v>
      </c>
      <c r="AJ290" s="6" t="n">
        <f aca="false">MAX(AI290,AD290)</f>
        <v>743500.581536148</v>
      </c>
      <c r="AK290" s="6" t="n">
        <f aca="false">MAX(AJ290,AE290)</f>
        <v>743500.581536148</v>
      </c>
      <c r="AL290" s="8" t="n">
        <f aca="false">MIN(Z290/AF290-1,AA290/AG290-1,AB290/AH290-1,AC290/AI290-1,AD290/AJ290-1,AE290/AK290-1)</f>
        <v>-0.105262885869522</v>
      </c>
      <c r="AM290" s="6" t="n">
        <f aca="false">AE290-Assumptions!$B$35</f>
        <v>244745.140115381</v>
      </c>
    </row>
    <row r="291" customFormat="false" ht="15" hidden="false" customHeight="false" outlineLevel="0" collapsed="false">
      <c r="A291" s="0" t="n">
        <f aca="false">ROW()-1</f>
        <v>290</v>
      </c>
      <c r="B291" s="0" t="str">
        <f aca="true">IF(RAND()&lt;Assumptions!$B$11,"Bull","Bear")</f>
        <v>Bear</v>
      </c>
      <c r="C291" s="0" t="str">
        <f aca="true">IF(B291="Bull",IF(RAND()&lt;Assumptions!$B$7,"Bull","Bear"),IF(RAND()&lt;Assumptions!$B$10,"Bear","Bull"))</f>
        <v>Bear</v>
      </c>
      <c r="D291" s="0" t="str">
        <f aca="true">IF(C291="Bull",IF(RAND()&lt;Assumptions!$B$7,"Bull","Bear"),IF(RAND()&lt;Assumptions!$B$10,"Bear","Bull"))</f>
        <v>Bear</v>
      </c>
      <c r="E291" s="0" t="str">
        <f aca="true">IF(D291="Bull",IF(RAND()&lt;Assumptions!$B$7,"Bull","Bear"),IF(RAND()&lt;Assumptions!$B$10,"Bear","Bull"))</f>
        <v>Bear</v>
      </c>
      <c r="F291" s="0" t="str">
        <f aca="true">IF(E291="Bull",IF(RAND()&lt;Assumptions!$B$7,"Bull","Bear"),IF(RAND()&lt;Assumptions!$B$10,"Bear","Bull"))</f>
        <v>Bear</v>
      </c>
      <c r="G291" s="0" t="str">
        <f aca="true">IF(F291="Bull",IF(RAND()&lt;Assumptions!$B$7,"Bull","Bear"),IF(RAND()&lt;Assumptions!$B$10,"Bear","Bull"))</f>
        <v>Bull</v>
      </c>
      <c r="H291" s="8" t="n">
        <f aca="true">IF(B291="Bull",NORMINV(RAND(),Assumptions!$B$5,Assumptions!$B$6),NORMINV(RAND(),Assumptions!$B$8,Assumptions!$B$9))</f>
        <v>0.143354739998558</v>
      </c>
      <c r="I291" s="8" t="n">
        <f aca="true">IF(C291="Bull",NORMINV(RAND(),Assumptions!$B$5,Assumptions!$B$6),NORMINV(RAND(),Assumptions!$B$8,Assumptions!$B$9))</f>
        <v>-0.245547713856719</v>
      </c>
      <c r="J291" s="8" t="n">
        <f aca="true">IF(D291="Bull",NORMINV(RAND(),Assumptions!$B$5,Assumptions!$B$6),NORMINV(RAND(),Assumptions!$B$8,Assumptions!$B$9))</f>
        <v>-0.0201143238321665</v>
      </c>
      <c r="K291" s="8" t="n">
        <f aca="true">IF(E291="Bull",NORMINV(RAND(),Assumptions!$B$5,Assumptions!$B$6),NORMINV(RAND(),Assumptions!$B$8,Assumptions!$B$9))</f>
        <v>-0.115772010714991</v>
      </c>
      <c r="L291" s="8" t="n">
        <f aca="true">IF(F291="Bull",NORMINV(RAND(),Assumptions!$B$5,Assumptions!$B$6),NORMINV(RAND(),Assumptions!$B$8,Assumptions!$B$9))</f>
        <v>-0.348392939932241</v>
      </c>
      <c r="M291" s="8" t="n">
        <f aca="true">IF(G291="Bull",NORMINV(RAND(),Assumptions!$B$5,Assumptions!$B$6),NORMINV(RAND(),Assumptions!$B$8,Assumptions!$B$9))</f>
        <v>0.189770238809297</v>
      </c>
      <c r="N291" s="8" t="n">
        <f aca="true">NORMINV(RAND(),Assumptions!$B$14,Assumptions!$B$15)</f>
        <v>0.060151937361951</v>
      </c>
      <c r="O291" s="8" t="n">
        <f aca="true">NORMINV(RAND(),Assumptions!$B$14,Assumptions!$B$15)</f>
        <v>0.0664765954248579</v>
      </c>
      <c r="P291" s="8" t="n">
        <f aca="true">NORMINV(RAND(),Assumptions!$B$14,Assumptions!$B$15)</f>
        <v>0.0608922237486199</v>
      </c>
      <c r="Q291" s="8" t="n">
        <f aca="true">NORMINV(RAND(),Assumptions!$B$14,Assumptions!$B$15)</f>
        <v>0.0360718427943374</v>
      </c>
      <c r="R291" s="8" t="n">
        <f aca="true">NORMINV(RAND(),Assumptions!$B$14,Assumptions!$B$15)</f>
        <v>0.0183018160166688</v>
      </c>
      <c r="S291" s="8" t="n">
        <f aca="true">NORMINV(RAND(),Assumptions!$B$14,Assumptions!$B$15)</f>
        <v>0.0795214294698568</v>
      </c>
      <c r="T291" s="8" t="n">
        <f aca="false">Assumptions!$B$19*H291+(1-Assumptions!$B$19)*N291</f>
        <v>0.143354739998558</v>
      </c>
      <c r="U291" s="8" t="n">
        <f aca="false">Assumptions!$B$20*I291+(1-Assumptions!$B$20)*O291</f>
        <v>-0.245547713856719</v>
      </c>
      <c r="V291" s="8" t="n">
        <f aca="false">Assumptions!$B$21*J291+(1-Assumptions!$B$21)*P291</f>
        <v>-0.0201143238321665</v>
      </c>
      <c r="W291" s="8" t="n">
        <f aca="false">Assumptions!$B$22*K291+(1-Assumptions!$B$22)*Q291</f>
        <v>-0.115772010714991</v>
      </c>
      <c r="X291" s="8" t="n">
        <f aca="false">Assumptions!$B$23*L291+(1-Assumptions!$B$23)*R291</f>
        <v>-0.275053988742459</v>
      </c>
      <c r="Y291" s="8" t="n">
        <f aca="false">Assumptions!$B$24*M291+(1-Assumptions!$B$24)*S291</f>
        <v>0.145670715073521</v>
      </c>
      <c r="Z291" s="6" t="n">
        <f aca="false">Assumptions!$B$27*(1+T291)</f>
        <v>343006.421999567</v>
      </c>
      <c r="AA291" s="6" t="n">
        <f aca="false">(Z291+Assumptions!$B$28)*(1+U291)</f>
        <v>371949.822160893</v>
      </c>
      <c r="AB291" s="6" t="n">
        <f aca="false">AA291*(1+V291)</f>
        <v>364468.302988632</v>
      </c>
      <c r="AC291" s="6" t="n">
        <f aca="false">AB291*(1+W291)</f>
        <v>322273.074709757</v>
      </c>
      <c r="AD291" s="6" t="n">
        <f aca="false">AC291*(1+X291)</f>
        <v>233630.580046542</v>
      </c>
      <c r="AE291" s="6" t="n">
        <f aca="false">AD291*(1+Y291)</f>
        <v>267663.713704963</v>
      </c>
      <c r="AF291" s="6" t="n">
        <f aca="false">Z291</f>
        <v>343006.421999567</v>
      </c>
      <c r="AG291" s="6" t="n">
        <f aca="false">MAX(AF291,AA291)</f>
        <v>371949.822160893</v>
      </c>
      <c r="AH291" s="6" t="n">
        <f aca="false">MAX(AG291,AB291)</f>
        <v>371949.822160893</v>
      </c>
      <c r="AI291" s="6" t="n">
        <f aca="false">MAX(AH291,AC291)</f>
        <v>371949.822160893</v>
      </c>
      <c r="AJ291" s="6" t="n">
        <f aca="false">MAX(AI291,AD291)</f>
        <v>371949.822160893</v>
      </c>
      <c r="AK291" s="6" t="n">
        <f aca="false">MAX(AJ291,AE291)</f>
        <v>371949.822160893</v>
      </c>
      <c r="AL291" s="8" t="n">
        <f aca="false">MIN(Z291/AF291-1,AA291/AG291-1,AB291/AH291-1,AC291/AI291-1,AD291/AJ291-1,AE291/AK291-1)</f>
        <v>-0.371876080786291</v>
      </c>
      <c r="AM291" s="6" t="n">
        <f aca="false">AE291-Assumptions!$B$35</f>
        <v>-173600.28295754</v>
      </c>
    </row>
    <row r="292" customFormat="false" ht="15" hidden="false" customHeight="false" outlineLevel="0" collapsed="false">
      <c r="A292" s="0" t="n">
        <f aca="false">ROW()-1</f>
        <v>291</v>
      </c>
      <c r="B292" s="0" t="str">
        <f aca="true">IF(RAND()&lt;Assumptions!$B$11,"Bull","Bear")</f>
        <v>Bull</v>
      </c>
      <c r="C292" s="0" t="str">
        <f aca="true">IF(B292="Bull",IF(RAND()&lt;Assumptions!$B$7,"Bull","Bear"),IF(RAND()&lt;Assumptions!$B$10,"Bear","Bull"))</f>
        <v>Bull</v>
      </c>
      <c r="D292" s="0" t="str">
        <f aca="true">IF(C292="Bull",IF(RAND()&lt;Assumptions!$B$7,"Bull","Bear"),IF(RAND()&lt;Assumptions!$B$10,"Bear","Bull"))</f>
        <v>Bear</v>
      </c>
      <c r="E292" s="0" t="str">
        <f aca="true">IF(D292="Bull",IF(RAND()&lt;Assumptions!$B$7,"Bull","Bear"),IF(RAND()&lt;Assumptions!$B$10,"Bear","Bull"))</f>
        <v>Bull</v>
      </c>
      <c r="F292" s="0" t="str">
        <f aca="true">IF(E292="Bull",IF(RAND()&lt;Assumptions!$B$7,"Bull","Bear"),IF(RAND()&lt;Assumptions!$B$10,"Bear","Bull"))</f>
        <v>Bull</v>
      </c>
      <c r="G292" s="0" t="str">
        <f aca="true">IF(F292="Bull",IF(RAND()&lt;Assumptions!$B$7,"Bull","Bear"),IF(RAND()&lt;Assumptions!$B$10,"Bear","Bull"))</f>
        <v>Bull</v>
      </c>
      <c r="H292" s="8" t="n">
        <f aca="true">IF(B292="Bull",NORMINV(RAND(),Assumptions!$B$5,Assumptions!$B$6),NORMINV(RAND(),Assumptions!$B$8,Assumptions!$B$9))</f>
        <v>0.101211658208024</v>
      </c>
      <c r="I292" s="8" t="n">
        <f aca="true">IF(C292="Bull",NORMINV(RAND(),Assumptions!$B$5,Assumptions!$B$6),NORMINV(RAND(),Assumptions!$B$8,Assumptions!$B$9))</f>
        <v>0.230764972220959</v>
      </c>
      <c r="J292" s="8" t="n">
        <f aca="true">IF(D292="Bull",NORMINV(RAND(),Assumptions!$B$5,Assumptions!$B$6),NORMINV(RAND(),Assumptions!$B$8,Assumptions!$B$9))</f>
        <v>-0.407456892183989</v>
      </c>
      <c r="K292" s="8" t="n">
        <f aca="true">IF(E292="Bull",NORMINV(RAND(),Assumptions!$B$5,Assumptions!$B$6),NORMINV(RAND(),Assumptions!$B$8,Assumptions!$B$9))</f>
        <v>0.146755536481824</v>
      </c>
      <c r="L292" s="8" t="n">
        <f aca="true">IF(F292="Bull",NORMINV(RAND(),Assumptions!$B$5,Assumptions!$B$6),NORMINV(RAND(),Assumptions!$B$8,Assumptions!$B$9))</f>
        <v>0.259736542767166</v>
      </c>
      <c r="M292" s="8" t="n">
        <f aca="true">IF(G292="Bull",NORMINV(RAND(),Assumptions!$B$5,Assumptions!$B$6),NORMINV(RAND(),Assumptions!$B$8,Assumptions!$B$9))</f>
        <v>0.0419383404103766</v>
      </c>
      <c r="N292" s="8" t="n">
        <f aca="true">NORMINV(RAND(),Assumptions!$B$14,Assumptions!$B$15)</f>
        <v>0.0740171721883821</v>
      </c>
      <c r="O292" s="8" t="n">
        <f aca="true">NORMINV(RAND(),Assumptions!$B$14,Assumptions!$B$15)</f>
        <v>0.0415634929095043</v>
      </c>
      <c r="P292" s="8" t="n">
        <f aca="true">NORMINV(RAND(),Assumptions!$B$14,Assumptions!$B$15)</f>
        <v>0.0326018093603171</v>
      </c>
      <c r="Q292" s="8" t="n">
        <f aca="true">NORMINV(RAND(),Assumptions!$B$14,Assumptions!$B$15)</f>
        <v>0.0136528584095506</v>
      </c>
      <c r="R292" s="8" t="n">
        <f aca="true">NORMINV(RAND(),Assumptions!$B$14,Assumptions!$B$15)</f>
        <v>0.0800287749730914</v>
      </c>
      <c r="S292" s="8" t="n">
        <f aca="true">NORMINV(RAND(),Assumptions!$B$14,Assumptions!$B$15)</f>
        <v>0.0327960264430898</v>
      </c>
      <c r="T292" s="8" t="n">
        <f aca="false">Assumptions!$B$19*H292+(1-Assumptions!$B$19)*N292</f>
        <v>0.101211658208024</v>
      </c>
      <c r="U292" s="8" t="n">
        <f aca="false">Assumptions!$B$20*I292+(1-Assumptions!$B$20)*O292</f>
        <v>0.230764972220959</v>
      </c>
      <c r="V292" s="8" t="n">
        <f aca="false">Assumptions!$B$21*J292+(1-Assumptions!$B$21)*P292</f>
        <v>-0.407456892183989</v>
      </c>
      <c r="W292" s="8" t="n">
        <f aca="false">Assumptions!$B$22*K292+(1-Assumptions!$B$22)*Q292</f>
        <v>0.146755536481824</v>
      </c>
      <c r="X292" s="8" t="n">
        <f aca="false">Assumptions!$B$23*L292+(1-Assumptions!$B$23)*R292</f>
        <v>0.223794989208351</v>
      </c>
      <c r="Y292" s="8" t="n">
        <f aca="false">Assumptions!$B$24*M292+(1-Assumptions!$B$24)*S292</f>
        <v>0.0382814148234619</v>
      </c>
      <c r="Z292" s="6" t="n">
        <f aca="false">Assumptions!$B$27*(1+T292)</f>
        <v>330363.497462407</v>
      </c>
      <c r="AA292" s="6" t="n">
        <f aca="false">(Z292+Assumptions!$B$28)*(1+U292)</f>
        <v>591214.566610282</v>
      </c>
      <c r="AB292" s="6" t="n">
        <f aca="false">AA292*(1+V292)</f>
        <v>350320.116685353</v>
      </c>
      <c r="AC292" s="6" t="n">
        <f aca="false">AB292*(1+W292)</f>
        <v>401731.533349887</v>
      </c>
      <c r="AD292" s="6" t="n">
        <f aca="false">AC292*(1+X292)</f>
        <v>491637.03752058</v>
      </c>
      <c r="AE292" s="6" t="n">
        <f aca="false">AD292*(1+Y292)</f>
        <v>510457.598896483</v>
      </c>
      <c r="AF292" s="6" t="n">
        <f aca="false">Z292</f>
        <v>330363.497462407</v>
      </c>
      <c r="AG292" s="6" t="n">
        <f aca="false">MAX(AF292,AA292)</f>
        <v>591214.566610282</v>
      </c>
      <c r="AH292" s="6" t="n">
        <f aca="false">MAX(AG292,AB292)</f>
        <v>591214.566610282</v>
      </c>
      <c r="AI292" s="6" t="n">
        <f aca="false">MAX(AH292,AC292)</f>
        <v>591214.566610282</v>
      </c>
      <c r="AJ292" s="6" t="n">
        <f aca="false">MAX(AI292,AD292)</f>
        <v>591214.566610282</v>
      </c>
      <c r="AK292" s="6" t="n">
        <f aca="false">MAX(AJ292,AE292)</f>
        <v>591214.566610282</v>
      </c>
      <c r="AL292" s="8" t="n">
        <f aca="false">MIN(Z292/AF292-1,AA292/AG292-1,AB292/AH292-1,AC292/AI292-1,AD292/AJ292-1,AE292/AK292-1)</f>
        <v>-0.407456892183989</v>
      </c>
      <c r="AM292" s="6" t="n">
        <f aca="false">AE292-Assumptions!$B$35</f>
        <v>69193.6022339792</v>
      </c>
    </row>
    <row r="293" customFormat="false" ht="15" hidden="false" customHeight="false" outlineLevel="0" collapsed="false">
      <c r="A293" s="0" t="n">
        <f aca="false">ROW()-1</f>
        <v>292</v>
      </c>
      <c r="B293" s="0" t="str">
        <f aca="true">IF(RAND()&lt;Assumptions!$B$11,"Bull","Bear")</f>
        <v>Bull</v>
      </c>
      <c r="C293" s="0" t="str">
        <f aca="true">IF(B293="Bull",IF(RAND()&lt;Assumptions!$B$7,"Bull","Bear"),IF(RAND()&lt;Assumptions!$B$10,"Bear","Bull"))</f>
        <v>Bull</v>
      </c>
      <c r="D293" s="0" t="str">
        <f aca="true">IF(C293="Bull",IF(RAND()&lt;Assumptions!$B$7,"Bull","Bear"),IF(RAND()&lt;Assumptions!$B$10,"Bear","Bull"))</f>
        <v>Bull</v>
      </c>
      <c r="E293" s="0" t="str">
        <f aca="true">IF(D293="Bull",IF(RAND()&lt;Assumptions!$B$7,"Bull","Bear"),IF(RAND()&lt;Assumptions!$B$10,"Bear","Bull"))</f>
        <v>Bull</v>
      </c>
      <c r="F293" s="0" t="str">
        <f aca="true">IF(E293="Bull",IF(RAND()&lt;Assumptions!$B$7,"Bull","Bear"),IF(RAND()&lt;Assumptions!$B$10,"Bear","Bull"))</f>
        <v>Bear</v>
      </c>
      <c r="G293" s="0" t="str">
        <f aca="true">IF(F293="Bull",IF(RAND()&lt;Assumptions!$B$7,"Bull","Bear"),IF(RAND()&lt;Assumptions!$B$10,"Bear","Bull"))</f>
        <v>Bear</v>
      </c>
      <c r="H293" s="8" t="n">
        <f aca="true">IF(B293="Bull",NORMINV(RAND(),Assumptions!$B$5,Assumptions!$B$6),NORMINV(RAND(),Assumptions!$B$8,Assumptions!$B$9))</f>
        <v>0.209276791602693</v>
      </c>
      <c r="I293" s="8" t="n">
        <f aca="true">IF(C293="Bull",NORMINV(RAND(),Assumptions!$B$5,Assumptions!$B$6),NORMINV(RAND(),Assumptions!$B$8,Assumptions!$B$9))</f>
        <v>0.159816394576231</v>
      </c>
      <c r="J293" s="8" t="n">
        <f aca="true">IF(D293="Bull",NORMINV(RAND(),Assumptions!$B$5,Assumptions!$B$6),NORMINV(RAND(),Assumptions!$B$8,Assumptions!$B$9))</f>
        <v>0.224835001048305</v>
      </c>
      <c r="K293" s="8" t="n">
        <f aca="true">IF(E293="Bull",NORMINV(RAND(),Assumptions!$B$5,Assumptions!$B$6),NORMINV(RAND(),Assumptions!$B$8,Assumptions!$B$9))</f>
        <v>0.0940650902517461</v>
      </c>
      <c r="L293" s="8" t="n">
        <f aca="true">IF(F293="Bull",NORMINV(RAND(),Assumptions!$B$5,Assumptions!$B$6),NORMINV(RAND(),Assumptions!$B$8,Assumptions!$B$9))</f>
        <v>-0.389522658514975</v>
      </c>
      <c r="M293" s="8" t="n">
        <f aca="true">IF(G293="Bull",NORMINV(RAND(),Assumptions!$B$5,Assumptions!$B$6),NORMINV(RAND(),Assumptions!$B$8,Assumptions!$B$9))</f>
        <v>0.0222931424390303</v>
      </c>
      <c r="N293" s="8" t="n">
        <f aca="true">NORMINV(RAND(),Assumptions!$B$14,Assumptions!$B$15)</f>
        <v>0.0652947740806584</v>
      </c>
      <c r="O293" s="8" t="n">
        <f aca="true">NORMINV(RAND(),Assumptions!$B$14,Assumptions!$B$15)</f>
        <v>0.0783690086589859</v>
      </c>
      <c r="P293" s="8" t="n">
        <f aca="true">NORMINV(RAND(),Assumptions!$B$14,Assumptions!$B$15)</f>
        <v>0.0172527560059463</v>
      </c>
      <c r="Q293" s="8" t="n">
        <f aca="true">NORMINV(RAND(),Assumptions!$B$14,Assumptions!$B$15)</f>
        <v>0.0298776980540552</v>
      </c>
      <c r="R293" s="8" t="n">
        <f aca="true">NORMINV(RAND(),Assumptions!$B$14,Assumptions!$B$15)</f>
        <v>-0.00337433884919084</v>
      </c>
      <c r="S293" s="8" t="n">
        <f aca="true">NORMINV(RAND(),Assumptions!$B$14,Assumptions!$B$15)</f>
        <v>0.0393166549082192</v>
      </c>
      <c r="T293" s="8" t="n">
        <f aca="false">Assumptions!$B$19*H293+(1-Assumptions!$B$19)*N293</f>
        <v>0.209276791602693</v>
      </c>
      <c r="U293" s="8" t="n">
        <f aca="false">Assumptions!$B$20*I293+(1-Assumptions!$B$20)*O293</f>
        <v>0.159816394576231</v>
      </c>
      <c r="V293" s="8" t="n">
        <f aca="false">Assumptions!$B$21*J293+(1-Assumptions!$B$21)*P293</f>
        <v>0.224835001048305</v>
      </c>
      <c r="W293" s="8" t="n">
        <f aca="false">Assumptions!$B$22*K293+(1-Assumptions!$B$22)*Q293</f>
        <v>0.0940650902517461</v>
      </c>
      <c r="X293" s="8" t="n">
        <f aca="false">Assumptions!$B$23*L293+(1-Assumptions!$B$23)*R293</f>
        <v>-0.312292994581818</v>
      </c>
      <c r="Y293" s="8" t="n">
        <f aca="false">Assumptions!$B$24*M293+(1-Assumptions!$B$24)*S293</f>
        <v>0.0291025474267059</v>
      </c>
      <c r="Z293" s="6" t="n">
        <f aca="false">Assumptions!$B$27*(1+T293)</f>
        <v>362783.037480808</v>
      </c>
      <c r="AA293" s="6" t="n">
        <f aca="false">(Z293+Assumptions!$B$28)*(1+U293)</f>
        <v>594734.173730839</v>
      </c>
      <c r="AB293" s="6" t="n">
        <f aca="false">AA293*(1+V293)</f>
        <v>728451.232305075</v>
      </c>
      <c r="AC293" s="6" t="n">
        <f aca="false">AB293*(1+W293)</f>
        <v>796973.063215848</v>
      </c>
      <c r="AD293" s="6" t="n">
        <f aca="false">AC293*(1+X293)</f>
        <v>548083.958703126</v>
      </c>
      <c r="AE293" s="6" t="n">
        <f aca="false">AD293*(1+Y293)</f>
        <v>564034.5981051</v>
      </c>
      <c r="AF293" s="6" t="n">
        <f aca="false">Z293</f>
        <v>362783.037480808</v>
      </c>
      <c r="AG293" s="6" t="n">
        <f aca="false">MAX(AF293,AA293)</f>
        <v>594734.173730839</v>
      </c>
      <c r="AH293" s="6" t="n">
        <f aca="false">MAX(AG293,AB293)</f>
        <v>728451.232305075</v>
      </c>
      <c r="AI293" s="6" t="n">
        <f aca="false">MAX(AH293,AC293)</f>
        <v>796973.063215848</v>
      </c>
      <c r="AJ293" s="6" t="n">
        <f aca="false">MAX(AI293,AD293)</f>
        <v>796973.063215848</v>
      </c>
      <c r="AK293" s="6" t="n">
        <f aca="false">MAX(AJ293,AE293)</f>
        <v>796973.063215848</v>
      </c>
      <c r="AL293" s="8" t="n">
        <f aca="false">MIN(Z293/AF293-1,AA293/AG293-1,AB293/AH293-1,AC293/AI293-1,AD293/AJ293-1,AE293/AK293-1)</f>
        <v>-0.312292994581818</v>
      </c>
      <c r="AM293" s="6" t="n">
        <f aca="false">AE293-Assumptions!$B$35</f>
        <v>122770.601442597</v>
      </c>
    </row>
    <row r="294" customFormat="false" ht="15" hidden="false" customHeight="false" outlineLevel="0" collapsed="false">
      <c r="A294" s="0" t="n">
        <f aca="false">ROW()-1</f>
        <v>293</v>
      </c>
      <c r="B294" s="0" t="str">
        <f aca="true">IF(RAND()&lt;Assumptions!$B$11,"Bull","Bear")</f>
        <v>Bull</v>
      </c>
      <c r="C294" s="0" t="str">
        <f aca="true">IF(B294="Bull",IF(RAND()&lt;Assumptions!$B$7,"Bull","Bear"),IF(RAND()&lt;Assumptions!$B$10,"Bear","Bull"))</f>
        <v>Bull</v>
      </c>
      <c r="D294" s="0" t="str">
        <f aca="true">IF(C294="Bull",IF(RAND()&lt;Assumptions!$B$7,"Bull","Bear"),IF(RAND()&lt;Assumptions!$B$10,"Bear","Bull"))</f>
        <v>Bear</v>
      </c>
      <c r="E294" s="0" t="str">
        <f aca="true">IF(D294="Bull",IF(RAND()&lt;Assumptions!$B$7,"Bull","Bear"),IF(RAND()&lt;Assumptions!$B$10,"Bear","Bull"))</f>
        <v>Bull</v>
      </c>
      <c r="F294" s="0" t="str">
        <f aca="true">IF(E294="Bull",IF(RAND()&lt;Assumptions!$B$7,"Bull","Bear"),IF(RAND()&lt;Assumptions!$B$10,"Bear","Bull"))</f>
        <v>Bull</v>
      </c>
      <c r="G294" s="0" t="str">
        <f aca="true">IF(F294="Bull",IF(RAND()&lt;Assumptions!$B$7,"Bull","Bear"),IF(RAND()&lt;Assumptions!$B$10,"Bear","Bull"))</f>
        <v>Bull</v>
      </c>
      <c r="H294" s="8" t="n">
        <f aca="true">IF(B294="Bull",NORMINV(RAND(),Assumptions!$B$5,Assumptions!$B$6),NORMINV(RAND(),Assumptions!$B$8,Assumptions!$B$9))</f>
        <v>0.193077247739914</v>
      </c>
      <c r="I294" s="8" t="n">
        <f aca="true">IF(C294="Bull",NORMINV(RAND(),Assumptions!$B$5,Assumptions!$B$6),NORMINV(RAND(),Assumptions!$B$8,Assumptions!$B$9))</f>
        <v>0.145971236036827</v>
      </c>
      <c r="J294" s="8" t="n">
        <f aca="true">IF(D294="Bull",NORMINV(RAND(),Assumptions!$B$5,Assumptions!$B$6),NORMINV(RAND(),Assumptions!$B$8,Assumptions!$B$9))</f>
        <v>-0.141985238109269</v>
      </c>
      <c r="K294" s="8" t="n">
        <f aca="true">IF(E294="Bull",NORMINV(RAND(),Assumptions!$B$5,Assumptions!$B$6),NORMINV(RAND(),Assumptions!$B$8,Assumptions!$B$9))</f>
        <v>0.0432817395062145</v>
      </c>
      <c r="L294" s="8" t="n">
        <f aca="true">IF(F294="Bull",NORMINV(RAND(),Assumptions!$B$5,Assumptions!$B$6),NORMINV(RAND(),Assumptions!$B$8,Assumptions!$B$9))</f>
        <v>0.21325812463349</v>
      </c>
      <c r="M294" s="8" t="n">
        <f aca="true">IF(G294="Bull",NORMINV(RAND(),Assumptions!$B$5,Assumptions!$B$6),NORMINV(RAND(),Assumptions!$B$8,Assumptions!$B$9))</f>
        <v>0.298048845577744</v>
      </c>
      <c r="N294" s="8" t="n">
        <f aca="true">NORMINV(RAND(),Assumptions!$B$14,Assumptions!$B$15)</f>
        <v>0.0551454621505621</v>
      </c>
      <c r="O294" s="8" t="n">
        <f aca="true">NORMINV(RAND(),Assumptions!$B$14,Assumptions!$B$15)</f>
        <v>0.0262732390861674</v>
      </c>
      <c r="P294" s="8" t="n">
        <f aca="true">NORMINV(RAND(),Assumptions!$B$14,Assumptions!$B$15)</f>
        <v>0.0849426362629057</v>
      </c>
      <c r="Q294" s="8" t="n">
        <f aca="true">NORMINV(RAND(),Assumptions!$B$14,Assumptions!$B$15)</f>
        <v>0.0655916231969238</v>
      </c>
      <c r="R294" s="8" t="n">
        <f aca="true">NORMINV(RAND(),Assumptions!$B$14,Assumptions!$B$15)</f>
        <v>0.0561004050612643</v>
      </c>
      <c r="S294" s="8" t="n">
        <f aca="true">NORMINV(RAND(),Assumptions!$B$14,Assumptions!$B$15)</f>
        <v>0.0647326583726823</v>
      </c>
      <c r="T294" s="8" t="n">
        <f aca="false">Assumptions!$B$19*H294+(1-Assumptions!$B$19)*N294</f>
        <v>0.193077247739914</v>
      </c>
      <c r="U294" s="8" t="n">
        <f aca="false">Assumptions!$B$20*I294+(1-Assumptions!$B$20)*O294</f>
        <v>0.145971236036827</v>
      </c>
      <c r="V294" s="8" t="n">
        <f aca="false">Assumptions!$B$21*J294+(1-Assumptions!$B$21)*P294</f>
        <v>-0.141985238109269</v>
      </c>
      <c r="W294" s="8" t="n">
        <f aca="false">Assumptions!$B$22*K294+(1-Assumptions!$B$22)*Q294</f>
        <v>0.0432817395062145</v>
      </c>
      <c r="X294" s="8" t="n">
        <f aca="false">Assumptions!$B$23*L294+(1-Assumptions!$B$23)*R294</f>
        <v>0.181826580719045</v>
      </c>
      <c r="Y294" s="8" t="n">
        <f aca="false">Assumptions!$B$24*M294+(1-Assumptions!$B$24)*S294</f>
        <v>0.204722370695719</v>
      </c>
      <c r="Z294" s="6" t="n">
        <f aca="false">Assumptions!$B$27*(1+T294)</f>
        <v>357923.174321974</v>
      </c>
      <c r="AA294" s="6" t="n">
        <f aca="false">(Z294+Assumptions!$B$28)*(1+U294)</f>
        <v>582065.347889502</v>
      </c>
      <c r="AB294" s="6" t="n">
        <f aca="false">AA294*(1+V294)</f>
        <v>499420.660874256</v>
      </c>
      <c r="AC294" s="6" t="n">
        <f aca="false">AB294*(1+W294)</f>
        <v>521036.455822237</v>
      </c>
      <c r="AD294" s="6" t="n">
        <f aca="false">AC294*(1+X294)</f>
        <v>615774.733014364</v>
      </c>
      <c r="AE294" s="6" t="n">
        <f aca="false">AD294*(1+Y294)</f>
        <v>741837.596171589</v>
      </c>
      <c r="AF294" s="6" t="n">
        <f aca="false">Z294</f>
        <v>357923.174321974</v>
      </c>
      <c r="AG294" s="6" t="n">
        <f aca="false">MAX(AF294,AA294)</f>
        <v>582065.347889502</v>
      </c>
      <c r="AH294" s="6" t="n">
        <f aca="false">MAX(AG294,AB294)</f>
        <v>582065.347889502</v>
      </c>
      <c r="AI294" s="6" t="n">
        <f aca="false">MAX(AH294,AC294)</f>
        <v>582065.347889502</v>
      </c>
      <c r="AJ294" s="6" t="n">
        <f aca="false">MAX(AI294,AD294)</f>
        <v>615774.733014364</v>
      </c>
      <c r="AK294" s="6" t="n">
        <f aca="false">MAX(AJ294,AE294)</f>
        <v>741837.596171589</v>
      </c>
      <c r="AL294" s="8" t="n">
        <f aca="false">MIN(Z294/AF294-1,AA294/AG294-1,AB294/AH294-1,AC294/AI294-1,AD294/AJ294-1,AE294/AK294-1)</f>
        <v>-0.141985238109269</v>
      </c>
      <c r="AM294" s="6" t="n">
        <f aca="false">AE294-Assumptions!$B$35</f>
        <v>300573.599509085</v>
      </c>
    </row>
    <row r="295" customFormat="false" ht="15" hidden="false" customHeight="false" outlineLevel="0" collapsed="false">
      <c r="A295" s="0" t="n">
        <f aca="false">ROW()-1</f>
        <v>294</v>
      </c>
      <c r="B295" s="0" t="str">
        <f aca="true">IF(RAND()&lt;Assumptions!$B$11,"Bull","Bear")</f>
        <v>Bull</v>
      </c>
      <c r="C295" s="0" t="str">
        <f aca="true">IF(B295="Bull",IF(RAND()&lt;Assumptions!$B$7,"Bull","Bear"),IF(RAND()&lt;Assumptions!$B$10,"Bear","Bull"))</f>
        <v>Bull</v>
      </c>
      <c r="D295" s="0" t="str">
        <f aca="true">IF(C295="Bull",IF(RAND()&lt;Assumptions!$B$7,"Bull","Bear"),IF(RAND()&lt;Assumptions!$B$10,"Bear","Bull"))</f>
        <v>Bull</v>
      </c>
      <c r="E295" s="0" t="str">
        <f aca="true">IF(D295="Bull",IF(RAND()&lt;Assumptions!$B$7,"Bull","Bear"),IF(RAND()&lt;Assumptions!$B$10,"Bear","Bull"))</f>
        <v>Bull</v>
      </c>
      <c r="F295" s="0" t="str">
        <f aca="true">IF(E295="Bull",IF(RAND()&lt;Assumptions!$B$7,"Bull","Bear"),IF(RAND()&lt;Assumptions!$B$10,"Bear","Bull"))</f>
        <v>Bull</v>
      </c>
      <c r="G295" s="0" t="str">
        <f aca="true">IF(F295="Bull",IF(RAND()&lt;Assumptions!$B$7,"Bull","Bear"),IF(RAND()&lt;Assumptions!$B$10,"Bear","Bull"))</f>
        <v>Bear</v>
      </c>
      <c r="H295" s="8" t="n">
        <f aca="true">IF(B295="Bull",NORMINV(RAND(),Assumptions!$B$5,Assumptions!$B$6),NORMINV(RAND(),Assumptions!$B$8,Assumptions!$B$9))</f>
        <v>0.0411447784283469</v>
      </c>
      <c r="I295" s="8" t="n">
        <f aca="true">IF(C295="Bull",NORMINV(RAND(),Assumptions!$B$5,Assumptions!$B$6),NORMINV(RAND(),Assumptions!$B$8,Assumptions!$B$9))</f>
        <v>0.101915842980807</v>
      </c>
      <c r="J295" s="8" t="n">
        <f aca="true">IF(D295="Bull",NORMINV(RAND(),Assumptions!$B$5,Assumptions!$B$6),NORMINV(RAND(),Assumptions!$B$8,Assumptions!$B$9))</f>
        <v>0.086379800936954</v>
      </c>
      <c r="K295" s="8" t="n">
        <f aca="true">IF(E295="Bull",NORMINV(RAND(),Assumptions!$B$5,Assumptions!$B$6),NORMINV(RAND(),Assumptions!$B$8,Assumptions!$B$9))</f>
        <v>0.028603653633048</v>
      </c>
      <c r="L295" s="8" t="n">
        <f aca="true">IF(F295="Bull",NORMINV(RAND(),Assumptions!$B$5,Assumptions!$B$6),NORMINV(RAND(),Assumptions!$B$8,Assumptions!$B$9))</f>
        <v>0.154463624926508</v>
      </c>
      <c r="M295" s="8" t="n">
        <f aca="true">IF(G295="Bull",NORMINV(RAND(),Assumptions!$B$5,Assumptions!$B$6),NORMINV(RAND(),Assumptions!$B$8,Assumptions!$B$9))</f>
        <v>-0.174275721208942</v>
      </c>
      <c r="N295" s="8" t="n">
        <f aca="true">NORMINV(RAND(),Assumptions!$B$14,Assumptions!$B$15)</f>
        <v>0.0511078488852328</v>
      </c>
      <c r="O295" s="8" t="n">
        <f aca="true">NORMINV(RAND(),Assumptions!$B$14,Assumptions!$B$15)</f>
        <v>0.0336270049272155</v>
      </c>
      <c r="P295" s="8" t="n">
        <f aca="true">NORMINV(RAND(),Assumptions!$B$14,Assumptions!$B$15)</f>
        <v>0.0608368485159646</v>
      </c>
      <c r="Q295" s="8" t="n">
        <f aca="true">NORMINV(RAND(),Assumptions!$B$14,Assumptions!$B$15)</f>
        <v>0.0943873893814647</v>
      </c>
      <c r="R295" s="8" t="n">
        <f aca="true">NORMINV(RAND(),Assumptions!$B$14,Assumptions!$B$15)</f>
        <v>0.0629398024702342</v>
      </c>
      <c r="S295" s="8" t="n">
        <f aca="true">NORMINV(RAND(),Assumptions!$B$14,Assumptions!$B$15)</f>
        <v>0.0512025529313927</v>
      </c>
      <c r="T295" s="8" t="n">
        <f aca="false">Assumptions!$B$19*H295+(1-Assumptions!$B$19)*N295</f>
        <v>0.0411447784283469</v>
      </c>
      <c r="U295" s="8" t="n">
        <f aca="false">Assumptions!$B$20*I295+(1-Assumptions!$B$20)*O295</f>
        <v>0.101915842980807</v>
      </c>
      <c r="V295" s="8" t="n">
        <f aca="false">Assumptions!$B$21*J295+(1-Assumptions!$B$21)*P295</f>
        <v>0.086379800936954</v>
      </c>
      <c r="W295" s="8" t="n">
        <f aca="false">Assumptions!$B$22*K295+(1-Assumptions!$B$22)*Q295</f>
        <v>0.028603653633048</v>
      </c>
      <c r="X295" s="8" t="n">
        <f aca="false">Assumptions!$B$23*L295+(1-Assumptions!$B$23)*R295</f>
        <v>0.136158860435253</v>
      </c>
      <c r="Y295" s="8" t="n">
        <f aca="false">Assumptions!$B$24*M295+(1-Assumptions!$B$24)*S295</f>
        <v>-0.084084411552808</v>
      </c>
      <c r="Z295" s="6" t="n">
        <f aca="false">Assumptions!$B$27*(1+T295)</f>
        <v>312343.433528504</v>
      </c>
      <c r="AA295" s="6" t="n">
        <f aca="false">(Z295+Assumptions!$B$28)*(1+U295)</f>
        <v>509463.554303202</v>
      </c>
      <c r="AB295" s="6" t="n">
        <f aca="false">AA295*(1+V295)</f>
        <v>553470.914708546</v>
      </c>
      <c r="AC295" s="6" t="n">
        <f aca="false">AB295*(1+W295)</f>
        <v>569302.205048836</v>
      </c>
      <c r="AD295" s="6" t="n">
        <f aca="false">AC295*(1+X295)</f>
        <v>646817.744531562</v>
      </c>
      <c r="AE295" s="6" t="n">
        <f aca="false">AD295*(1+Y295)</f>
        <v>592430.455100711</v>
      </c>
      <c r="AF295" s="6" t="n">
        <f aca="false">Z295</f>
        <v>312343.433528504</v>
      </c>
      <c r="AG295" s="6" t="n">
        <f aca="false">MAX(AF295,AA295)</f>
        <v>509463.554303202</v>
      </c>
      <c r="AH295" s="6" t="n">
        <f aca="false">MAX(AG295,AB295)</f>
        <v>553470.914708546</v>
      </c>
      <c r="AI295" s="6" t="n">
        <f aca="false">MAX(AH295,AC295)</f>
        <v>569302.205048836</v>
      </c>
      <c r="AJ295" s="6" t="n">
        <f aca="false">MAX(AI295,AD295)</f>
        <v>646817.744531562</v>
      </c>
      <c r="AK295" s="6" t="n">
        <f aca="false">MAX(AJ295,AE295)</f>
        <v>646817.744531562</v>
      </c>
      <c r="AL295" s="8" t="n">
        <f aca="false">MIN(Z295/AF295-1,AA295/AG295-1,AB295/AH295-1,AC295/AI295-1,AD295/AJ295-1,AE295/AK295-1)</f>
        <v>-0.084084411552808</v>
      </c>
      <c r="AM295" s="6" t="n">
        <f aca="false">AE295-Assumptions!$B$35</f>
        <v>151166.458438207</v>
      </c>
    </row>
    <row r="296" customFormat="false" ht="15" hidden="false" customHeight="false" outlineLevel="0" collapsed="false">
      <c r="A296" s="0" t="n">
        <f aca="false">ROW()-1</f>
        <v>295</v>
      </c>
      <c r="B296" s="0" t="str">
        <f aca="true">IF(RAND()&lt;Assumptions!$B$11,"Bull","Bear")</f>
        <v>Bull</v>
      </c>
      <c r="C296" s="0" t="str">
        <f aca="true">IF(B296="Bull",IF(RAND()&lt;Assumptions!$B$7,"Bull","Bear"),IF(RAND()&lt;Assumptions!$B$10,"Bear","Bull"))</f>
        <v>Bear</v>
      </c>
      <c r="D296" s="0" t="str">
        <f aca="true">IF(C296="Bull",IF(RAND()&lt;Assumptions!$B$7,"Bull","Bear"),IF(RAND()&lt;Assumptions!$B$10,"Bear","Bull"))</f>
        <v>Bear</v>
      </c>
      <c r="E296" s="0" t="str">
        <f aca="true">IF(D296="Bull",IF(RAND()&lt;Assumptions!$B$7,"Bull","Bear"),IF(RAND()&lt;Assumptions!$B$10,"Bear","Bull"))</f>
        <v>Bull</v>
      </c>
      <c r="F296" s="0" t="str">
        <f aca="true">IF(E296="Bull",IF(RAND()&lt;Assumptions!$B$7,"Bull","Bear"),IF(RAND()&lt;Assumptions!$B$10,"Bear","Bull"))</f>
        <v>Bull</v>
      </c>
      <c r="G296" s="0" t="str">
        <f aca="true">IF(F296="Bull",IF(RAND()&lt;Assumptions!$B$7,"Bull","Bear"),IF(RAND()&lt;Assumptions!$B$10,"Bear","Bull"))</f>
        <v>Bull</v>
      </c>
      <c r="H296" s="8" t="n">
        <f aca="true">IF(B296="Bull",NORMINV(RAND(),Assumptions!$B$5,Assumptions!$B$6),NORMINV(RAND(),Assumptions!$B$8,Assumptions!$B$9))</f>
        <v>0.22033513779174</v>
      </c>
      <c r="I296" s="8" t="n">
        <f aca="true">IF(C296="Bull",NORMINV(RAND(),Assumptions!$B$5,Assumptions!$B$6),NORMINV(RAND(),Assumptions!$B$8,Assumptions!$B$9))</f>
        <v>0.0136546905077571</v>
      </c>
      <c r="J296" s="8" t="n">
        <f aca="true">IF(D296="Bull",NORMINV(RAND(),Assumptions!$B$5,Assumptions!$B$6),NORMINV(RAND(),Assumptions!$B$8,Assumptions!$B$9))</f>
        <v>0.00863874972960582</v>
      </c>
      <c r="K296" s="8" t="n">
        <f aca="true">IF(E296="Bull",NORMINV(RAND(),Assumptions!$B$5,Assumptions!$B$6),NORMINV(RAND(),Assumptions!$B$8,Assumptions!$B$9))</f>
        <v>0.177205417118709</v>
      </c>
      <c r="L296" s="8" t="n">
        <f aca="true">IF(F296="Bull",NORMINV(RAND(),Assumptions!$B$5,Assumptions!$B$6),NORMINV(RAND(),Assumptions!$B$8,Assumptions!$B$9))</f>
        <v>0.32707536338067</v>
      </c>
      <c r="M296" s="8" t="n">
        <f aca="true">IF(G296="Bull",NORMINV(RAND(),Assumptions!$B$5,Assumptions!$B$6),NORMINV(RAND(),Assumptions!$B$8,Assumptions!$B$9))</f>
        <v>0.0750265981295896</v>
      </c>
      <c r="N296" s="8" t="n">
        <f aca="true">NORMINV(RAND(),Assumptions!$B$14,Assumptions!$B$15)</f>
        <v>0.0439891072943333</v>
      </c>
      <c r="O296" s="8" t="n">
        <f aca="true">NORMINV(RAND(),Assumptions!$B$14,Assumptions!$B$15)</f>
        <v>0.0722458129118232</v>
      </c>
      <c r="P296" s="8" t="n">
        <f aca="true">NORMINV(RAND(),Assumptions!$B$14,Assumptions!$B$15)</f>
        <v>0.063893897877859</v>
      </c>
      <c r="Q296" s="8" t="n">
        <f aca="true">NORMINV(RAND(),Assumptions!$B$14,Assumptions!$B$15)</f>
        <v>0.022883832135262</v>
      </c>
      <c r="R296" s="8" t="n">
        <f aca="true">NORMINV(RAND(),Assumptions!$B$14,Assumptions!$B$15)</f>
        <v>0.0490454298579726</v>
      </c>
      <c r="S296" s="8" t="n">
        <f aca="true">NORMINV(RAND(),Assumptions!$B$14,Assumptions!$B$15)</f>
        <v>0.0472730389363259</v>
      </c>
      <c r="T296" s="8" t="n">
        <f aca="false">Assumptions!$B$19*H296+(1-Assumptions!$B$19)*N296</f>
        <v>0.22033513779174</v>
      </c>
      <c r="U296" s="8" t="n">
        <f aca="false">Assumptions!$B$20*I296+(1-Assumptions!$B$20)*O296</f>
        <v>0.0136546905077571</v>
      </c>
      <c r="V296" s="8" t="n">
        <f aca="false">Assumptions!$B$21*J296+(1-Assumptions!$B$21)*P296</f>
        <v>0.00863874972960582</v>
      </c>
      <c r="W296" s="8" t="n">
        <f aca="false">Assumptions!$B$22*K296+(1-Assumptions!$B$22)*Q296</f>
        <v>0.177205417118709</v>
      </c>
      <c r="X296" s="8" t="n">
        <f aca="false">Assumptions!$B$23*L296+(1-Assumptions!$B$23)*R296</f>
        <v>0.271469376676131</v>
      </c>
      <c r="Y296" s="8" t="n">
        <f aca="false">Assumptions!$B$24*M296+(1-Assumptions!$B$24)*S296</f>
        <v>0.0639251744522841</v>
      </c>
      <c r="Z296" s="6" t="n">
        <f aca="false">Assumptions!$B$27*(1+T296)</f>
        <v>366100.541337522</v>
      </c>
      <c r="AA296" s="6" t="n">
        <f aca="false">(Z296+Assumptions!$B$28)*(1+U296)</f>
        <v>523147.734500372</v>
      </c>
      <c r="AB296" s="6" t="n">
        <f aca="false">AA296*(1+V296)</f>
        <v>527667.076850331</v>
      </c>
      <c r="AC296" s="6" t="n">
        <f aca="false">AB296*(1+W296)</f>
        <v>621172.541303403</v>
      </c>
      <c r="AD296" s="6" t="n">
        <f aca="false">AC296*(1+X296)</f>
        <v>789801.863899366</v>
      </c>
      <c r="AE296" s="6" t="n">
        <f aca="false">AD296*(1+Y296)</f>
        <v>840290.085831872</v>
      </c>
      <c r="AF296" s="6" t="n">
        <f aca="false">Z296</f>
        <v>366100.541337522</v>
      </c>
      <c r="AG296" s="6" t="n">
        <f aca="false">MAX(AF296,AA296)</f>
        <v>523147.734500372</v>
      </c>
      <c r="AH296" s="6" t="n">
        <f aca="false">MAX(AG296,AB296)</f>
        <v>527667.076850331</v>
      </c>
      <c r="AI296" s="6" t="n">
        <f aca="false">MAX(AH296,AC296)</f>
        <v>621172.541303403</v>
      </c>
      <c r="AJ296" s="6" t="n">
        <f aca="false">MAX(AI296,AD296)</f>
        <v>789801.863899366</v>
      </c>
      <c r="AK296" s="6" t="n">
        <f aca="false">MAX(AJ296,AE296)</f>
        <v>840290.085831872</v>
      </c>
      <c r="AL296" s="8" t="n">
        <f aca="false">MIN(Z296/AF296-1,AA296/AG296-1,AB296/AH296-1,AC296/AI296-1,AD296/AJ296-1,AE296/AK296-1)</f>
        <v>0</v>
      </c>
      <c r="AM296" s="6" t="n">
        <f aca="false">AE296-Assumptions!$B$35</f>
        <v>399026.089169369</v>
      </c>
    </row>
    <row r="297" customFormat="false" ht="15" hidden="false" customHeight="false" outlineLevel="0" collapsed="false">
      <c r="A297" s="0" t="n">
        <f aca="false">ROW()-1</f>
        <v>296</v>
      </c>
      <c r="B297" s="0" t="str">
        <f aca="true">IF(RAND()&lt;Assumptions!$B$11,"Bull","Bear")</f>
        <v>Bull</v>
      </c>
      <c r="C297" s="0" t="str">
        <f aca="true">IF(B297="Bull",IF(RAND()&lt;Assumptions!$B$7,"Bull","Bear"),IF(RAND()&lt;Assumptions!$B$10,"Bear","Bull"))</f>
        <v>Bull</v>
      </c>
      <c r="D297" s="0" t="str">
        <f aca="true">IF(C297="Bull",IF(RAND()&lt;Assumptions!$B$7,"Bull","Bear"),IF(RAND()&lt;Assumptions!$B$10,"Bear","Bull"))</f>
        <v>Bull</v>
      </c>
      <c r="E297" s="0" t="str">
        <f aca="true">IF(D297="Bull",IF(RAND()&lt;Assumptions!$B$7,"Bull","Bear"),IF(RAND()&lt;Assumptions!$B$10,"Bear","Bull"))</f>
        <v>Bull</v>
      </c>
      <c r="F297" s="0" t="str">
        <f aca="true">IF(E297="Bull",IF(RAND()&lt;Assumptions!$B$7,"Bull","Bear"),IF(RAND()&lt;Assumptions!$B$10,"Bear","Bull"))</f>
        <v>Bear</v>
      </c>
      <c r="G297" s="0" t="str">
        <f aca="true">IF(F297="Bull",IF(RAND()&lt;Assumptions!$B$7,"Bull","Bear"),IF(RAND()&lt;Assumptions!$B$10,"Bear","Bull"))</f>
        <v>Bear</v>
      </c>
      <c r="H297" s="8" t="n">
        <f aca="true">IF(B297="Bull",NORMINV(RAND(),Assumptions!$B$5,Assumptions!$B$6),NORMINV(RAND(),Assumptions!$B$8,Assumptions!$B$9))</f>
        <v>0.123472128839934</v>
      </c>
      <c r="I297" s="8" t="n">
        <f aca="true">IF(C297="Bull",NORMINV(RAND(),Assumptions!$B$5,Assumptions!$B$6),NORMINV(RAND(),Assumptions!$B$8,Assumptions!$B$9))</f>
        <v>0.313085619756984</v>
      </c>
      <c r="J297" s="8" t="n">
        <f aca="true">IF(D297="Bull",NORMINV(RAND(),Assumptions!$B$5,Assumptions!$B$6),NORMINV(RAND(),Assumptions!$B$8,Assumptions!$B$9))</f>
        <v>0.120354195808648</v>
      </c>
      <c r="K297" s="8" t="n">
        <f aca="true">IF(E297="Bull",NORMINV(RAND(),Assumptions!$B$5,Assumptions!$B$6),NORMINV(RAND(),Assumptions!$B$8,Assumptions!$B$9))</f>
        <v>0.291744947990568</v>
      </c>
      <c r="L297" s="8" t="n">
        <f aca="true">IF(F297="Bull",NORMINV(RAND(),Assumptions!$B$5,Assumptions!$B$6),NORMINV(RAND(),Assumptions!$B$8,Assumptions!$B$9))</f>
        <v>-0.247735997775293</v>
      </c>
      <c r="M297" s="8" t="n">
        <f aca="true">IF(G297="Bull",NORMINV(RAND(),Assumptions!$B$5,Assumptions!$B$6),NORMINV(RAND(),Assumptions!$B$8,Assumptions!$B$9))</f>
        <v>-0.0841398316118147</v>
      </c>
      <c r="N297" s="8" t="n">
        <f aca="true">NORMINV(RAND(),Assumptions!$B$14,Assumptions!$B$15)</f>
        <v>0.0338234031714911</v>
      </c>
      <c r="O297" s="8" t="n">
        <f aca="true">NORMINV(RAND(),Assumptions!$B$14,Assumptions!$B$15)</f>
        <v>0.0881189799806799</v>
      </c>
      <c r="P297" s="8" t="n">
        <f aca="true">NORMINV(RAND(),Assumptions!$B$14,Assumptions!$B$15)</f>
        <v>0.0270932497850729</v>
      </c>
      <c r="Q297" s="8" t="n">
        <f aca="true">NORMINV(RAND(),Assumptions!$B$14,Assumptions!$B$15)</f>
        <v>0.0489859791438627</v>
      </c>
      <c r="R297" s="8" t="n">
        <f aca="true">NORMINV(RAND(),Assumptions!$B$14,Assumptions!$B$15)</f>
        <v>0.0602531562476584</v>
      </c>
      <c r="S297" s="8" t="n">
        <f aca="true">NORMINV(RAND(),Assumptions!$B$14,Assumptions!$B$15)</f>
        <v>0.0322614962160512</v>
      </c>
      <c r="T297" s="8" t="n">
        <f aca="false">Assumptions!$B$19*H297+(1-Assumptions!$B$19)*N297</f>
        <v>0.123472128839934</v>
      </c>
      <c r="U297" s="8" t="n">
        <f aca="false">Assumptions!$B$20*I297+(1-Assumptions!$B$20)*O297</f>
        <v>0.313085619756984</v>
      </c>
      <c r="V297" s="8" t="n">
        <f aca="false">Assumptions!$B$21*J297+(1-Assumptions!$B$21)*P297</f>
        <v>0.120354195808648</v>
      </c>
      <c r="W297" s="8" t="n">
        <f aca="false">Assumptions!$B$22*K297+(1-Assumptions!$B$22)*Q297</f>
        <v>0.291744947990568</v>
      </c>
      <c r="X297" s="8" t="n">
        <f aca="false">Assumptions!$B$23*L297+(1-Assumptions!$B$23)*R297</f>
        <v>-0.186138166970703</v>
      </c>
      <c r="Y297" s="8" t="n">
        <f aca="false">Assumptions!$B$24*M297+(1-Assumptions!$B$24)*S297</f>
        <v>-0.0375793004806684</v>
      </c>
      <c r="Z297" s="6" t="n">
        <f aca="false">Assumptions!$B$27*(1+T297)</f>
        <v>337041.63865198</v>
      </c>
      <c r="AA297" s="6" t="n">
        <f aca="false">(Z297+Assumptions!$B$28)*(1+U297)</f>
        <v>639527.371936793</v>
      </c>
      <c r="AB297" s="6" t="n">
        <f aca="false">AA297*(1+V297)</f>
        <v>716497.174483864</v>
      </c>
      <c r="AC297" s="6" t="n">
        <f aca="false">AB297*(1+W297)</f>
        <v>925531.605389047</v>
      </c>
      <c r="AD297" s="6" t="n">
        <f aca="false">AC297*(1+X297)</f>
        <v>753254.848888478</v>
      </c>
      <c r="AE297" s="6" t="n">
        <f aca="false">AD297*(1+Y297)</f>
        <v>724948.058583577</v>
      </c>
      <c r="AF297" s="6" t="n">
        <f aca="false">Z297</f>
        <v>337041.63865198</v>
      </c>
      <c r="AG297" s="6" t="n">
        <f aca="false">MAX(AF297,AA297)</f>
        <v>639527.371936793</v>
      </c>
      <c r="AH297" s="6" t="n">
        <f aca="false">MAX(AG297,AB297)</f>
        <v>716497.174483864</v>
      </c>
      <c r="AI297" s="6" t="n">
        <f aca="false">MAX(AH297,AC297)</f>
        <v>925531.605389047</v>
      </c>
      <c r="AJ297" s="6" t="n">
        <f aca="false">MAX(AI297,AD297)</f>
        <v>925531.605389047</v>
      </c>
      <c r="AK297" s="6" t="n">
        <f aca="false">MAX(AJ297,AE297)</f>
        <v>925531.605389047</v>
      </c>
      <c r="AL297" s="8" t="n">
        <f aca="false">MIN(Z297/AF297-1,AA297/AG297-1,AB297/AH297-1,AC297/AI297-1,AD297/AJ297-1,AE297/AK297-1)</f>
        <v>-0.216722525343859</v>
      </c>
      <c r="AM297" s="6" t="n">
        <f aca="false">AE297-Assumptions!$B$35</f>
        <v>283684.061921074</v>
      </c>
    </row>
    <row r="298" customFormat="false" ht="15" hidden="false" customHeight="false" outlineLevel="0" collapsed="false">
      <c r="A298" s="0" t="n">
        <f aca="false">ROW()-1</f>
        <v>297</v>
      </c>
      <c r="B298" s="0" t="str">
        <f aca="true">IF(RAND()&lt;Assumptions!$B$11,"Bull","Bear")</f>
        <v>Bull</v>
      </c>
      <c r="C298" s="0" t="str">
        <f aca="true">IF(B298="Bull",IF(RAND()&lt;Assumptions!$B$7,"Bull","Bear"),IF(RAND()&lt;Assumptions!$B$10,"Bear","Bull"))</f>
        <v>Bull</v>
      </c>
      <c r="D298" s="0" t="str">
        <f aca="true">IF(C298="Bull",IF(RAND()&lt;Assumptions!$B$7,"Bull","Bear"),IF(RAND()&lt;Assumptions!$B$10,"Bear","Bull"))</f>
        <v>Bear</v>
      </c>
      <c r="E298" s="0" t="str">
        <f aca="true">IF(D298="Bull",IF(RAND()&lt;Assumptions!$B$7,"Bull","Bear"),IF(RAND()&lt;Assumptions!$B$10,"Bear","Bull"))</f>
        <v>Bear</v>
      </c>
      <c r="F298" s="0" t="str">
        <f aca="true">IF(E298="Bull",IF(RAND()&lt;Assumptions!$B$7,"Bull","Bear"),IF(RAND()&lt;Assumptions!$B$10,"Bear","Bull"))</f>
        <v>Bull</v>
      </c>
      <c r="G298" s="0" t="str">
        <f aca="true">IF(F298="Bull",IF(RAND()&lt;Assumptions!$B$7,"Bull","Bear"),IF(RAND()&lt;Assumptions!$B$10,"Bear","Bull"))</f>
        <v>Bull</v>
      </c>
      <c r="H298" s="8" t="n">
        <f aca="true">IF(B298="Bull",NORMINV(RAND(),Assumptions!$B$5,Assumptions!$B$6),NORMINV(RAND(),Assumptions!$B$8,Assumptions!$B$9))</f>
        <v>0.185511508933687</v>
      </c>
      <c r="I298" s="8" t="n">
        <f aca="true">IF(C298="Bull",NORMINV(RAND(),Assumptions!$B$5,Assumptions!$B$6),NORMINV(RAND(),Assumptions!$B$8,Assumptions!$B$9))</f>
        <v>0.10460654846819</v>
      </c>
      <c r="J298" s="8" t="n">
        <f aca="true">IF(D298="Bull",NORMINV(RAND(),Assumptions!$B$5,Assumptions!$B$6),NORMINV(RAND(),Assumptions!$B$8,Assumptions!$B$9))</f>
        <v>-0.109115676857707</v>
      </c>
      <c r="K298" s="8" t="n">
        <f aca="true">IF(E298="Bull",NORMINV(RAND(),Assumptions!$B$5,Assumptions!$B$6),NORMINV(RAND(),Assumptions!$B$8,Assumptions!$B$9))</f>
        <v>-0.218670554342968</v>
      </c>
      <c r="L298" s="8" t="n">
        <f aca="true">IF(F298="Bull",NORMINV(RAND(),Assumptions!$B$5,Assumptions!$B$6),NORMINV(RAND(),Assumptions!$B$8,Assumptions!$B$9))</f>
        <v>0.304872616241635</v>
      </c>
      <c r="M298" s="8" t="n">
        <f aca="true">IF(G298="Bull",NORMINV(RAND(),Assumptions!$B$5,Assumptions!$B$6),NORMINV(RAND(),Assumptions!$B$8,Assumptions!$B$9))</f>
        <v>0.200796670989829</v>
      </c>
      <c r="N298" s="8" t="n">
        <f aca="true">NORMINV(RAND(),Assumptions!$B$14,Assumptions!$B$15)</f>
        <v>0.00743916074466851</v>
      </c>
      <c r="O298" s="8" t="n">
        <f aca="true">NORMINV(RAND(),Assumptions!$B$14,Assumptions!$B$15)</f>
        <v>0.0599572082758456</v>
      </c>
      <c r="P298" s="8" t="n">
        <f aca="true">NORMINV(RAND(),Assumptions!$B$14,Assumptions!$B$15)</f>
        <v>0.0145949920429377</v>
      </c>
      <c r="Q298" s="8" t="n">
        <f aca="true">NORMINV(RAND(),Assumptions!$B$14,Assumptions!$B$15)</f>
        <v>0.000366752409646294</v>
      </c>
      <c r="R298" s="8" t="n">
        <f aca="true">NORMINV(RAND(),Assumptions!$B$14,Assumptions!$B$15)</f>
        <v>0.039604657559759</v>
      </c>
      <c r="S298" s="8" t="n">
        <f aca="true">NORMINV(RAND(),Assumptions!$B$14,Assumptions!$B$15)</f>
        <v>0.0156573520678477</v>
      </c>
      <c r="T298" s="8" t="n">
        <f aca="false">Assumptions!$B$19*H298+(1-Assumptions!$B$19)*N298</f>
        <v>0.185511508933687</v>
      </c>
      <c r="U298" s="8" t="n">
        <f aca="false">Assumptions!$B$20*I298+(1-Assumptions!$B$20)*O298</f>
        <v>0.10460654846819</v>
      </c>
      <c r="V298" s="8" t="n">
        <f aca="false">Assumptions!$B$21*J298+(1-Assumptions!$B$21)*P298</f>
        <v>-0.109115676857707</v>
      </c>
      <c r="W298" s="8" t="n">
        <f aca="false">Assumptions!$B$22*K298+(1-Assumptions!$B$22)*Q298</f>
        <v>-0.218670554342968</v>
      </c>
      <c r="X298" s="8" t="n">
        <f aca="false">Assumptions!$B$23*L298+(1-Assumptions!$B$23)*R298</f>
        <v>0.25181902450526</v>
      </c>
      <c r="Y298" s="8" t="n">
        <f aca="false">Assumptions!$B$24*M298+(1-Assumptions!$B$24)*S298</f>
        <v>0.126740943421036</v>
      </c>
      <c r="Z298" s="6" t="n">
        <f aca="false">Assumptions!$B$27*(1+T298)</f>
        <v>355653.452680106</v>
      </c>
      <c r="AA298" s="6" t="n">
        <f aca="false">(Z298+Assumptions!$B$28)*(1+U298)</f>
        <v>558548.115085995</v>
      </c>
      <c r="AB298" s="6" t="n">
        <f aca="false">AA298*(1+V298)</f>
        <v>497601.75945079</v>
      </c>
      <c r="AC298" s="6" t="n">
        <f aca="false">AB298*(1+W298)</f>
        <v>388790.90686965</v>
      </c>
      <c r="AD298" s="6" t="n">
        <f aca="false">AC298*(1+X298)</f>
        <v>486695.85377408</v>
      </c>
      <c r="AE298" s="6" t="n">
        <f aca="false">AD298*(1+Y298)</f>
        <v>548380.145440514</v>
      </c>
      <c r="AF298" s="6" t="n">
        <f aca="false">Z298</f>
        <v>355653.452680106</v>
      </c>
      <c r="AG298" s="6" t="n">
        <f aca="false">MAX(AF298,AA298)</f>
        <v>558548.115085995</v>
      </c>
      <c r="AH298" s="6" t="n">
        <f aca="false">MAX(AG298,AB298)</f>
        <v>558548.115085995</v>
      </c>
      <c r="AI298" s="6" t="n">
        <f aca="false">MAX(AH298,AC298)</f>
        <v>558548.115085995</v>
      </c>
      <c r="AJ298" s="6" t="n">
        <f aca="false">MAX(AI298,AD298)</f>
        <v>558548.115085995</v>
      </c>
      <c r="AK298" s="6" t="n">
        <f aca="false">MAX(AJ298,AE298)</f>
        <v>558548.115085995</v>
      </c>
      <c r="AL298" s="8" t="n">
        <f aca="false">MIN(Z298/AF298-1,AA298/AG298-1,AB298/AH298-1,AC298/AI298-1,AD298/AJ298-1,AE298/AK298-1)</f>
        <v>-0.303925845654693</v>
      </c>
      <c r="AM298" s="6" t="n">
        <f aca="false">AE298-Assumptions!$B$35</f>
        <v>107116.14877801</v>
      </c>
    </row>
    <row r="299" customFormat="false" ht="15" hidden="false" customHeight="false" outlineLevel="0" collapsed="false">
      <c r="A299" s="0" t="n">
        <f aca="false">ROW()-1</f>
        <v>298</v>
      </c>
      <c r="B299" s="0" t="str">
        <f aca="true">IF(RAND()&lt;Assumptions!$B$11,"Bull","Bear")</f>
        <v>Bull</v>
      </c>
      <c r="C299" s="0" t="str">
        <f aca="true">IF(B299="Bull",IF(RAND()&lt;Assumptions!$B$7,"Bull","Bear"),IF(RAND()&lt;Assumptions!$B$10,"Bear","Bull"))</f>
        <v>Bull</v>
      </c>
      <c r="D299" s="0" t="str">
        <f aca="true">IF(C299="Bull",IF(RAND()&lt;Assumptions!$B$7,"Bull","Bear"),IF(RAND()&lt;Assumptions!$B$10,"Bear","Bull"))</f>
        <v>Bear</v>
      </c>
      <c r="E299" s="0" t="str">
        <f aca="true">IF(D299="Bull",IF(RAND()&lt;Assumptions!$B$7,"Bull","Bear"),IF(RAND()&lt;Assumptions!$B$10,"Bear","Bull"))</f>
        <v>Bear</v>
      </c>
      <c r="F299" s="0" t="str">
        <f aca="true">IF(E299="Bull",IF(RAND()&lt;Assumptions!$B$7,"Bull","Bear"),IF(RAND()&lt;Assumptions!$B$10,"Bear","Bull"))</f>
        <v>Bear</v>
      </c>
      <c r="G299" s="0" t="str">
        <f aca="true">IF(F299="Bull",IF(RAND()&lt;Assumptions!$B$7,"Bull","Bear"),IF(RAND()&lt;Assumptions!$B$10,"Bear","Bull"))</f>
        <v>Bull</v>
      </c>
      <c r="H299" s="8" t="n">
        <f aca="true">IF(B299="Bull",NORMINV(RAND(),Assumptions!$B$5,Assumptions!$B$6),NORMINV(RAND(),Assumptions!$B$8,Assumptions!$B$9))</f>
        <v>0.154283116640393</v>
      </c>
      <c r="I299" s="8" t="n">
        <f aca="true">IF(C299="Bull",NORMINV(RAND(),Assumptions!$B$5,Assumptions!$B$6),NORMINV(RAND(),Assumptions!$B$8,Assumptions!$B$9))</f>
        <v>0.14830187252276</v>
      </c>
      <c r="J299" s="8" t="n">
        <f aca="true">IF(D299="Bull",NORMINV(RAND(),Assumptions!$B$5,Assumptions!$B$6),NORMINV(RAND(),Assumptions!$B$8,Assumptions!$B$9))</f>
        <v>-0.128435320643938</v>
      </c>
      <c r="K299" s="8" t="n">
        <f aca="true">IF(E299="Bull",NORMINV(RAND(),Assumptions!$B$5,Assumptions!$B$6),NORMINV(RAND(),Assumptions!$B$8,Assumptions!$B$9))</f>
        <v>-0.207204614767876</v>
      </c>
      <c r="L299" s="8" t="n">
        <f aca="true">IF(F299="Bull",NORMINV(RAND(),Assumptions!$B$5,Assumptions!$B$6),NORMINV(RAND(),Assumptions!$B$8,Assumptions!$B$9))</f>
        <v>-0.151154566545527</v>
      </c>
      <c r="M299" s="8" t="n">
        <f aca="true">IF(G299="Bull",NORMINV(RAND(),Assumptions!$B$5,Assumptions!$B$6),NORMINV(RAND(),Assumptions!$B$8,Assumptions!$B$9))</f>
        <v>0.262863623457329</v>
      </c>
      <c r="N299" s="8" t="n">
        <f aca="true">NORMINV(RAND(),Assumptions!$B$14,Assumptions!$B$15)</f>
        <v>0.0393461907288145</v>
      </c>
      <c r="O299" s="8" t="n">
        <f aca="true">NORMINV(RAND(),Assumptions!$B$14,Assumptions!$B$15)</f>
        <v>0.0283275509646028</v>
      </c>
      <c r="P299" s="8" t="n">
        <f aca="true">NORMINV(RAND(),Assumptions!$B$14,Assumptions!$B$15)</f>
        <v>0.00840283097107601</v>
      </c>
      <c r="Q299" s="8" t="n">
        <f aca="true">NORMINV(RAND(),Assumptions!$B$14,Assumptions!$B$15)</f>
        <v>0.0873249814358221</v>
      </c>
      <c r="R299" s="8" t="n">
        <f aca="true">NORMINV(RAND(),Assumptions!$B$14,Assumptions!$B$15)</f>
        <v>0.0350036609357307</v>
      </c>
      <c r="S299" s="8" t="n">
        <f aca="true">NORMINV(RAND(),Assumptions!$B$14,Assumptions!$B$15)</f>
        <v>0.0488668410212954</v>
      </c>
      <c r="T299" s="8" t="n">
        <f aca="false">Assumptions!$B$19*H299+(1-Assumptions!$B$19)*N299</f>
        <v>0.154283116640393</v>
      </c>
      <c r="U299" s="8" t="n">
        <f aca="false">Assumptions!$B$20*I299+(1-Assumptions!$B$20)*O299</f>
        <v>0.14830187252276</v>
      </c>
      <c r="V299" s="8" t="n">
        <f aca="false">Assumptions!$B$21*J299+(1-Assumptions!$B$21)*P299</f>
        <v>-0.128435320643938</v>
      </c>
      <c r="W299" s="8" t="n">
        <f aca="false">Assumptions!$B$22*K299+(1-Assumptions!$B$22)*Q299</f>
        <v>-0.207204614767876</v>
      </c>
      <c r="X299" s="8" t="n">
        <f aca="false">Assumptions!$B$23*L299+(1-Assumptions!$B$23)*R299</f>
        <v>-0.113922921049276</v>
      </c>
      <c r="Y299" s="8" t="n">
        <f aca="false">Assumptions!$B$24*M299+(1-Assumptions!$B$24)*S299</f>
        <v>0.177264910482915</v>
      </c>
      <c r="Z299" s="6" t="n">
        <f aca="false">Assumptions!$B$27*(1+T299)</f>
        <v>346284.934992118</v>
      </c>
      <c r="AA299" s="6" t="n">
        <f aca="false">(Z299+Assumptions!$B$28)*(1+U299)</f>
        <v>569884.920156285</v>
      </c>
      <c r="AB299" s="6" t="n">
        <f aca="false">AA299*(1+V299)</f>
        <v>496691.567705868</v>
      </c>
      <c r="AC299" s="6" t="n">
        <f aca="false">AB299*(1+W299)</f>
        <v>393774.782760921</v>
      </c>
      <c r="AD299" s="6" t="n">
        <f aca="false">AC299*(1+X299)</f>
        <v>348914.809273253</v>
      </c>
      <c r="AE299" s="6" t="n">
        <f aca="false">AD299*(1+Y299)</f>
        <v>410765.16170524</v>
      </c>
      <c r="AF299" s="6" t="n">
        <f aca="false">Z299</f>
        <v>346284.934992118</v>
      </c>
      <c r="AG299" s="6" t="n">
        <f aca="false">MAX(AF299,AA299)</f>
        <v>569884.920156285</v>
      </c>
      <c r="AH299" s="6" t="n">
        <f aca="false">MAX(AG299,AB299)</f>
        <v>569884.920156285</v>
      </c>
      <c r="AI299" s="6" t="n">
        <f aca="false">MAX(AH299,AC299)</f>
        <v>569884.920156285</v>
      </c>
      <c r="AJ299" s="6" t="n">
        <f aca="false">MAX(AI299,AD299)</f>
        <v>569884.920156285</v>
      </c>
      <c r="AK299" s="6" t="n">
        <f aca="false">MAX(AJ299,AE299)</f>
        <v>569884.920156285</v>
      </c>
      <c r="AL299" s="8" t="n">
        <f aca="false">MIN(Z299/AF299-1,AA299/AG299-1,AB299/AH299-1,AC299/AI299-1,AD299/AJ299-1,AE299/AK299-1)</f>
        <v>-0.387745144795959</v>
      </c>
      <c r="AM299" s="6" t="n">
        <f aca="false">AE299-Assumptions!$B$35</f>
        <v>-30498.8349572639</v>
      </c>
    </row>
    <row r="300" customFormat="false" ht="15" hidden="false" customHeight="false" outlineLevel="0" collapsed="false">
      <c r="A300" s="0" t="n">
        <f aca="false">ROW()-1</f>
        <v>299</v>
      </c>
      <c r="B300" s="0" t="str">
        <f aca="true">IF(RAND()&lt;Assumptions!$B$11,"Bull","Bear")</f>
        <v>Bull</v>
      </c>
      <c r="C300" s="0" t="str">
        <f aca="true">IF(B300="Bull",IF(RAND()&lt;Assumptions!$B$7,"Bull","Bear"),IF(RAND()&lt;Assumptions!$B$10,"Bear","Bull"))</f>
        <v>Bull</v>
      </c>
      <c r="D300" s="0" t="str">
        <f aca="true">IF(C300="Bull",IF(RAND()&lt;Assumptions!$B$7,"Bull","Bear"),IF(RAND()&lt;Assumptions!$B$10,"Bear","Bull"))</f>
        <v>Bear</v>
      </c>
      <c r="E300" s="0" t="str">
        <f aca="true">IF(D300="Bull",IF(RAND()&lt;Assumptions!$B$7,"Bull","Bear"),IF(RAND()&lt;Assumptions!$B$10,"Bear","Bull"))</f>
        <v>Bear</v>
      </c>
      <c r="F300" s="0" t="str">
        <f aca="true">IF(E300="Bull",IF(RAND()&lt;Assumptions!$B$7,"Bull","Bear"),IF(RAND()&lt;Assumptions!$B$10,"Bear","Bull"))</f>
        <v>Bull</v>
      </c>
      <c r="G300" s="0" t="str">
        <f aca="true">IF(F300="Bull",IF(RAND()&lt;Assumptions!$B$7,"Bull","Bear"),IF(RAND()&lt;Assumptions!$B$10,"Bear","Bull"))</f>
        <v>Bear</v>
      </c>
      <c r="H300" s="8" t="n">
        <f aca="true">IF(B300="Bull",NORMINV(RAND(),Assumptions!$B$5,Assumptions!$B$6),NORMINV(RAND(),Assumptions!$B$8,Assumptions!$B$9))</f>
        <v>0.0497438708810734</v>
      </c>
      <c r="I300" s="8" t="n">
        <f aca="true">IF(C300="Bull",NORMINV(RAND(),Assumptions!$B$5,Assumptions!$B$6),NORMINV(RAND(),Assumptions!$B$8,Assumptions!$B$9))</f>
        <v>-0.00308346898840697</v>
      </c>
      <c r="J300" s="8" t="n">
        <f aca="true">IF(D300="Bull",NORMINV(RAND(),Assumptions!$B$5,Assumptions!$B$6),NORMINV(RAND(),Assumptions!$B$8,Assumptions!$B$9))</f>
        <v>-0.150228290604908</v>
      </c>
      <c r="K300" s="8" t="n">
        <f aca="true">IF(E300="Bull",NORMINV(RAND(),Assumptions!$B$5,Assumptions!$B$6),NORMINV(RAND(),Assumptions!$B$8,Assumptions!$B$9))</f>
        <v>0.016243286489197</v>
      </c>
      <c r="L300" s="8" t="n">
        <f aca="true">IF(F300="Bull",NORMINV(RAND(),Assumptions!$B$5,Assumptions!$B$6),NORMINV(RAND(),Assumptions!$B$8,Assumptions!$B$9))</f>
        <v>0.129580636642437</v>
      </c>
      <c r="M300" s="8" t="n">
        <f aca="true">IF(G300="Bull",NORMINV(RAND(),Assumptions!$B$5,Assumptions!$B$6),NORMINV(RAND(),Assumptions!$B$8,Assumptions!$B$9))</f>
        <v>-0.0924398721582758</v>
      </c>
      <c r="N300" s="8" t="n">
        <f aca="true">NORMINV(RAND(),Assumptions!$B$14,Assumptions!$B$15)</f>
        <v>0.00696937813477088</v>
      </c>
      <c r="O300" s="8" t="n">
        <f aca="true">NORMINV(RAND(),Assumptions!$B$14,Assumptions!$B$15)</f>
        <v>0.0139625412888049</v>
      </c>
      <c r="P300" s="8" t="n">
        <f aca="true">NORMINV(RAND(),Assumptions!$B$14,Assumptions!$B$15)</f>
        <v>0.0172680281890208</v>
      </c>
      <c r="Q300" s="8" t="n">
        <f aca="true">NORMINV(RAND(),Assumptions!$B$14,Assumptions!$B$15)</f>
        <v>0.0125874439439839</v>
      </c>
      <c r="R300" s="8" t="n">
        <f aca="true">NORMINV(RAND(),Assumptions!$B$14,Assumptions!$B$15)</f>
        <v>0.0129518026642814</v>
      </c>
      <c r="S300" s="8" t="n">
        <f aca="true">NORMINV(RAND(),Assumptions!$B$14,Assumptions!$B$15)</f>
        <v>0.0191979810743571</v>
      </c>
      <c r="T300" s="8" t="n">
        <f aca="false">Assumptions!$B$19*H300+(1-Assumptions!$B$19)*N300</f>
        <v>0.0497438708810734</v>
      </c>
      <c r="U300" s="8" t="n">
        <f aca="false">Assumptions!$B$20*I300+(1-Assumptions!$B$20)*O300</f>
        <v>-0.00308346898840697</v>
      </c>
      <c r="V300" s="8" t="n">
        <f aca="false">Assumptions!$B$21*J300+(1-Assumptions!$B$21)*P300</f>
        <v>-0.150228290604908</v>
      </c>
      <c r="W300" s="8" t="n">
        <f aca="false">Assumptions!$B$22*K300+(1-Assumptions!$B$22)*Q300</f>
        <v>0.016243286489197</v>
      </c>
      <c r="X300" s="8" t="n">
        <f aca="false">Assumptions!$B$23*L300+(1-Assumptions!$B$23)*R300</f>
        <v>0.106254869846806</v>
      </c>
      <c r="Y300" s="8" t="n">
        <f aca="false">Assumptions!$B$24*M300+(1-Assumptions!$B$24)*S300</f>
        <v>-0.0477847308652226</v>
      </c>
      <c r="Z300" s="6" t="n">
        <f aca="false">Assumptions!$B$27*(1+T300)</f>
        <v>314923.161264322</v>
      </c>
      <c r="AA300" s="6" t="n">
        <f aca="false">(Z300+Assumptions!$B$28)*(1+U300)</f>
        <v>463489.585114571</v>
      </c>
      <c r="AB300" s="6" t="n">
        <f aca="false">AA300*(1+V300)</f>
        <v>393860.337029631</v>
      </c>
      <c r="AC300" s="6" t="n">
        <f aca="false">AB300*(1+W300)</f>
        <v>400257.923320735</v>
      </c>
      <c r="AD300" s="6" t="n">
        <f aca="false">AC300*(1+X300)</f>
        <v>442787.276868333</v>
      </c>
      <c r="AE300" s="6" t="n">
        <f aca="false">AD300*(1+Y300)</f>
        <v>421628.806012635</v>
      </c>
      <c r="AF300" s="6" t="n">
        <f aca="false">Z300</f>
        <v>314923.161264322</v>
      </c>
      <c r="AG300" s="6" t="n">
        <f aca="false">MAX(AF300,AA300)</f>
        <v>463489.585114571</v>
      </c>
      <c r="AH300" s="6" t="n">
        <f aca="false">MAX(AG300,AB300)</f>
        <v>463489.585114571</v>
      </c>
      <c r="AI300" s="6" t="n">
        <f aca="false">MAX(AH300,AC300)</f>
        <v>463489.585114571</v>
      </c>
      <c r="AJ300" s="6" t="n">
        <f aca="false">MAX(AI300,AD300)</f>
        <v>463489.585114571</v>
      </c>
      <c r="AK300" s="6" t="n">
        <f aca="false">MAX(AJ300,AE300)</f>
        <v>463489.585114571</v>
      </c>
      <c r="AL300" s="8" t="n">
        <f aca="false">MIN(Z300/AF300-1,AA300/AG300-1,AB300/AH300-1,AC300/AI300-1,AD300/AJ300-1,AE300/AK300-1)</f>
        <v>-0.150228290604908</v>
      </c>
      <c r="AM300" s="6" t="n">
        <f aca="false">AE300-Assumptions!$B$35</f>
        <v>-19635.190649869</v>
      </c>
    </row>
    <row r="301" customFormat="false" ht="15" hidden="false" customHeight="false" outlineLevel="0" collapsed="false">
      <c r="A301" s="0" t="n">
        <f aca="false">ROW()-1</f>
        <v>300</v>
      </c>
      <c r="B301" s="0" t="str">
        <f aca="true">IF(RAND()&lt;Assumptions!$B$11,"Bull","Bear")</f>
        <v>Bull</v>
      </c>
      <c r="C301" s="0" t="str">
        <f aca="true">IF(B301="Bull",IF(RAND()&lt;Assumptions!$B$7,"Bull","Bear"),IF(RAND()&lt;Assumptions!$B$10,"Bear","Bull"))</f>
        <v>Bull</v>
      </c>
      <c r="D301" s="0" t="str">
        <f aca="true">IF(C301="Bull",IF(RAND()&lt;Assumptions!$B$7,"Bull","Bear"),IF(RAND()&lt;Assumptions!$B$10,"Bear","Bull"))</f>
        <v>Bull</v>
      </c>
      <c r="E301" s="0" t="str">
        <f aca="true">IF(D301="Bull",IF(RAND()&lt;Assumptions!$B$7,"Bull","Bear"),IF(RAND()&lt;Assumptions!$B$10,"Bear","Bull"))</f>
        <v>Bull</v>
      </c>
      <c r="F301" s="0" t="str">
        <f aca="true">IF(E301="Bull",IF(RAND()&lt;Assumptions!$B$7,"Bull","Bear"),IF(RAND()&lt;Assumptions!$B$10,"Bear","Bull"))</f>
        <v>Bull</v>
      </c>
      <c r="G301" s="0" t="str">
        <f aca="true">IF(F301="Bull",IF(RAND()&lt;Assumptions!$B$7,"Bull","Bear"),IF(RAND()&lt;Assumptions!$B$10,"Bear","Bull"))</f>
        <v>Bull</v>
      </c>
      <c r="H301" s="8" t="n">
        <f aca="true">IF(B301="Bull",NORMINV(RAND(),Assumptions!$B$5,Assumptions!$B$6),NORMINV(RAND(),Assumptions!$B$8,Assumptions!$B$9))</f>
        <v>0.167374612195205</v>
      </c>
      <c r="I301" s="8" t="n">
        <f aca="true">IF(C301="Bull",NORMINV(RAND(),Assumptions!$B$5,Assumptions!$B$6),NORMINV(RAND(),Assumptions!$B$8,Assumptions!$B$9))</f>
        <v>0.145770641253872</v>
      </c>
      <c r="J301" s="8" t="n">
        <f aca="true">IF(D301="Bull",NORMINV(RAND(),Assumptions!$B$5,Assumptions!$B$6),NORMINV(RAND(),Assumptions!$B$8,Assumptions!$B$9))</f>
        <v>0.256292511896215</v>
      </c>
      <c r="K301" s="8" t="n">
        <f aca="true">IF(E301="Bull",NORMINV(RAND(),Assumptions!$B$5,Assumptions!$B$6),NORMINV(RAND(),Assumptions!$B$8,Assumptions!$B$9))</f>
        <v>0.261209679492431</v>
      </c>
      <c r="L301" s="8" t="n">
        <f aca="true">IF(F301="Bull",NORMINV(RAND(),Assumptions!$B$5,Assumptions!$B$6),NORMINV(RAND(),Assumptions!$B$8,Assumptions!$B$9))</f>
        <v>0.439919266437407</v>
      </c>
      <c r="M301" s="8" t="n">
        <f aca="true">IF(G301="Bull",NORMINV(RAND(),Assumptions!$B$5,Assumptions!$B$6),NORMINV(RAND(),Assumptions!$B$8,Assumptions!$B$9))</f>
        <v>0.175776673622666</v>
      </c>
      <c r="N301" s="8" t="n">
        <f aca="true">NORMINV(RAND(),Assumptions!$B$14,Assumptions!$B$15)</f>
        <v>0.0500849643811419</v>
      </c>
      <c r="O301" s="8" t="n">
        <f aca="true">NORMINV(RAND(),Assumptions!$B$14,Assumptions!$B$15)</f>
        <v>0.0452405861538411</v>
      </c>
      <c r="P301" s="8" t="n">
        <f aca="true">NORMINV(RAND(),Assumptions!$B$14,Assumptions!$B$15)</f>
        <v>0.0716119792615668</v>
      </c>
      <c r="Q301" s="8" t="n">
        <f aca="true">NORMINV(RAND(),Assumptions!$B$14,Assumptions!$B$15)</f>
        <v>0.0921085673890292</v>
      </c>
      <c r="R301" s="8" t="n">
        <f aca="true">NORMINV(RAND(),Assumptions!$B$14,Assumptions!$B$15)</f>
        <v>0.0447655966991871</v>
      </c>
      <c r="S301" s="8" t="n">
        <f aca="true">NORMINV(RAND(),Assumptions!$B$14,Assumptions!$B$15)</f>
        <v>0.0778694205901581</v>
      </c>
      <c r="T301" s="8" t="n">
        <f aca="false">Assumptions!$B$19*H301+(1-Assumptions!$B$19)*N301</f>
        <v>0.167374612195205</v>
      </c>
      <c r="U301" s="8" t="n">
        <f aca="false">Assumptions!$B$20*I301+(1-Assumptions!$B$20)*O301</f>
        <v>0.145770641253872</v>
      </c>
      <c r="V301" s="8" t="n">
        <f aca="false">Assumptions!$B$21*J301+(1-Assumptions!$B$21)*P301</f>
        <v>0.256292511896215</v>
      </c>
      <c r="W301" s="8" t="n">
        <f aca="false">Assumptions!$B$22*K301+(1-Assumptions!$B$22)*Q301</f>
        <v>0.261209679492431</v>
      </c>
      <c r="X301" s="8" t="n">
        <f aca="false">Assumptions!$B$23*L301+(1-Assumptions!$B$23)*R301</f>
        <v>0.360888532489763</v>
      </c>
      <c r="Y301" s="8" t="n">
        <f aca="false">Assumptions!$B$24*M301+(1-Assumptions!$B$24)*S301</f>
        <v>0.136613772409663</v>
      </c>
      <c r="Z301" s="6" t="n">
        <f aca="false">Assumptions!$B$27*(1+T301)</f>
        <v>350212.383658561</v>
      </c>
      <c r="AA301" s="6" t="n">
        <f aca="false">(Z301+Assumptions!$B$28)*(1+U301)</f>
        <v>573128.663587598</v>
      </c>
      <c r="AB301" s="6" t="n">
        <f aca="false">AA301*(1+V301)</f>
        <v>720017.248418184</v>
      </c>
      <c r="AC301" s="6" t="n">
        <f aca="false">AB301*(1+W301)</f>
        <v>908092.72310652</v>
      </c>
      <c r="AD301" s="6" t="n">
        <f aca="false">AC301*(1+X301)</f>
        <v>1235812.97331306</v>
      </c>
      <c r="AE301" s="6" t="n">
        <f aca="false">AD301*(1+Y301)</f>
        <v>1404642.04559016</v>
      </c>
      <c r="AF301" s="6" t="n">
        <f aca="false">Z301</f>
        <v>350212.383658561</v>
      </c>
      <c r="AG301" s="6" t="n">
        <f aca="false">MAX(AF301,AA301)</f>
        <v>573128.663587598</v>
      </c>
      <c r="AH301" s="6" t="n">
        <f aca="false">MAX(AG301,AB301)</f>
        <v>720017.248418184</v>
      </c>
      <c r="AI301" s="6" t="n">
        <f aca="false">MAX(AH301,AC301)</f>
        <v>908092.72310652</v>
      </c>
      <c r="AJ301" s="6" t="n">
        <f aca="false">MAX(AI301,AD301)</f>
        <v>1235812.97331306</v>
      </c>
      <c r="AK301" s="6" t="n">
        <f aca="false">MAX(AJ301,AE301)</f>
        <v>1404642.04559016</v>
      </c>
      <c r="AL301" s="8" t="n">
        <f aca="false">MIN(Z301/AF301-1,AA301/AG301-1,AB301/AH301-1,AC301/AI301-1,AD301/AJ301-1,AE301/AK301-1)</f>
        <v>0</v>
      </c>
      <c r="AM301" s="6" t="n">
        <f aca="false">AE301-Assumptions!$B$35</f>
        <v>963378.048927661</v>
      </c>
    </row>
    <row r="302" customFormat="false" ht="15" hidden="false" customHeight="false" outlineLevel="0" collapsed="false">
      <c r="A302" s="0" t="n">
        <f aca="false">ROW()-1</f>
        <v>301</v>
      </c>
      <c r="B302" s="0" t="str">
        <f aca="true">IF(RAND()&lt;Assumptions!$B$11,"Bull","Bear")</f>
        <v>Bull</v>
      </c>
      <c r="C302" s="0" t="str">
        <f aca="true">IF(B302="Bull",IF(RAND()&lt;Assumptions!$B$7,"Bull","Bear"),IF(RAND()&lt;Assumptions!$B$10,"Bear","Bull"))</f>
        <v>Bull</v>
      </c>
      <c r="D302" s="0" t="str">
        <f aca="true">IF(C302="Bull",IF(RAND()&lt;Assumptions!$B$7,"Bull","Bear"),IF(RAND()&lt;Assumptions!$B$10,"Bear","Bull"))</f>
        <v>Bull</v>
      </c>
      <c r="E302" s="0" t="str">
        <f aca="true">IF(D302="Bull",IF(RAND()&lt;Assumptions!$B$7,"Bull","Bear"),IF(RAND()&lt;Assumptions!$B$10,"Bear","Bull"))</f>
        <v>Bull</v>
      </c>
      <c r="F302" s="0" t="str">
        <f aca="true">IF(E302="Bull",IF(RAND()&lt;Assumptions!$B$7,"Bull","Bear"),IF(RAND()&lt;Assumptions!$B$10,"Bear","Bull"))</f>
        <v>Bull</v>
      </c>
      <c r="G302" s="0" t="str">
        <f aca="true">IF(F302="Bull",IF(RAND()&lt;Assumptions!$B$7,"Bull","Bear"),IF(RAND()&lt;Assumptions!$B$10,"Bear","Bull"))</f>
        <v>Bull</v>
      </c>
      <c r="H302" s="8" t="n">
        <f aca="true">IF(B302="Bull",NORMINV(RAND(),Assumptions!$B$5,Assumptions!$B$6),NORMINV(RAND(),Assumptions!$B$8,Assumptions!$B$9))</f>
        <v>0.116950838113604</v>
      </c>
      <c r="I302" s="8" t="n">
        <f aca="true">IF(C302="Bull",NORMINV(RAND(),Assumptions!$B$5,Assumptions!$B$6),NORMINV(RAND(),Assumptions!$B$8,Assumptions!$B$9))</f>
        <v>0.280522028304476</v>
      </c>
      <c r="J302" s="8" t="n">
        <f aca="true">IF(D302="Bull",NORMINV(RAND(),Assumptions!$B$5,Assumptions!$B$6),NORMINV(RAND(),Assumptions!$B$8,Assumptions!$B$9))</f>
        <v>0.163816825074864</v>
      </c>
      <c r="K302" s="8" t="n">
        <f aca="true">IF(E302="Bull",NORMINV(RAND(),Assumptions!$B$5,Assumptions!$B$6),NORMINV(RAND(),Assumptions!$B$8,Assumptions!$B$9))</f>
        <v>0.295380272200483</v>
      </c>
      <c r="L302" s="8" t="n">
        <f aca="true">IF(F302="Bull",NORMINV(RAND(),Assumptions!$B$5,Assumptions!$B$6),NORMINV(RAND(),Assumptions!$B$8,Assumptions!$B$9))</f>
        <v>0.314595654592358</v>
      </c>
      <c r="M302" s="8" t="n">
        <f aca="true">IF(G302="Bull",NORMINV(RAND(),Assumptions!$B$5,Assumptions!$B$6),NORMINV(RAND(),Assumptions!$B$8,Assumptions!$B$9))</f>
        <v>0.260469546439867</v>
      </c>
      <c r="N302" s="8" t="n">
        <f aca="true">NORMINV(RAND(),Assumptions!$B$14,Assumptions!$B$15)</f>
        <v>0.0611507547794037</v>
      </c>
      <c r="O302" s="8" t="n">
        <f aca="true">NORMINV(RAND(),Assumptions!$B$14,Assumptions!$B$15)</f>
        <v>0.107847654830846</v>
      </c>
      <c r="P302" s="8" t="n">
        <f aca="true">NORMINV(RAND(),Assumptions!$B$14,Assumptions!$B$15)</f>
        <v>0.100071957980869</v>
      </c>
      <c r="Q302" s="8" t="n">
        <f aca="true">NORMINV(RAND(),Assumptions!$B$14,Assumptions!$B$15)</f>
        <v>-0.00947789327048317</v>
      </c>
      <c r="R302" s="8" t="n">
        <f aca="true">NORMINV(RAND(),Assumptions!$B$14,Assumptions!$B$15)</f>
        <v>0.0622390288662842</v>
      </c>
      <c r="S302" s="8" t="n">
        <f aca="true">NORMINV(RAND(),Assumptions!$B$14,Assumptions!$B$15)</f>
        <v>0.0562363124400341</v>
      </c>
      <c r="T302" s="8" t="n">
        <f aca="false">Assumptions!$B$19*H302+(1-Assumptions!$B$19)*N302</f>
        <v>0.116950838113604</v>
      </c>
      <c r="U302" s="8" t="n">
        <f aca="false">Assumptions!$B$20*I302+(1-Assumptions!$B$20)*O302</f>
        <v>0.280522028304476</v>
      </c>
      <c r="V302" s="8" t="n">
        <f aca="false">Assumptions!$B$21*J302+(1-Assumptions!$B$21)*P302</f>
        <v>0.163816825074864</v>
      </c>
      <c r="W302" s="8" t="n">
        <f aca="false">Assumptions!$B$22*K302+(1-Assumptions!$B$22)*Q302</f>
        <v>0.295380272200483</v>
      </c>
      <c r="X302" s="8" t="n">
        <f aca="false">Assumptions!$B$23*L302+(1-Assumptions!$B$23)*R302</f>
        <v>0.264124329447143</v>
      </c>
      <c r="Y302" s="8" t="n">
        <f aca="false">Assumptions!$B$24*M302+(1-Assumptions!$B$24)*S302</f>
        <v>0.178776252839934</v>
      </c>
      <c r="Z302" s="6" t="n">
        <f aca="false">Assumptions!$B$27*(1+T302)</f>
        <v>335085.251434081</v>
      </c>
      <c r="AA302" s="6" t="n">
        <f aca="false">(Z302+Assumptions!$B$28)*(1+U302)</f>
        <v>621162.350066956</v>
      </c>
      <c r="AB302" s="6" t="n">
        <f aca="false">AA302*(1+V302)</f>
        <v>722919.194110966</v>
      </c>
      <c r="AC302" s="6" t="n">
        <f aca="false">AB302*(1+W302)</f>
        <v>936455.262446417</v>
      </c>
      <c r="AD302" s="6" t="n">
        <f aca="false">AC302*(1+X302)</f>
        <v>1183795.88069733</v>
      </c>
      <c r="AE302" s="6" t="n">
        <f aca="false">AD302*(1+Y302)</f>
        <v>1395430.47237574</v>
      </c>
      <c r="AF302" s="6" t="n">
        <f aca="false">Z302</f>
        <v>335085.251434081</v>
      </c>
      <c r="AG302" s="6" t="n">
        <f aca="false">MAX(AF302,AA302)</f>
        <v>621162.350066956</v>
      </c>
      <c r="AH302" s="6" t="n">
        <f aca="false">MAX(AG302,AB302)</f>
        <v>722919.194110966</v>
      </c>
      <c r="AI302" s="6" t="n">
        <f aca="false">MAX(AH302,AC302)</f>
        <v>936455.262446417</v>
      </c>
      <c r="AJ302" s="6" t="n">
        <f aca="false">MAX(AI302,AD302)</f>
        <v>1183795.88069733</v>
      </c>
      <c r="AK302" s="6" t="n">
        <f aca="false">MAX(AJ302,AE302)</f>
        <v>1395430.47237574</v>
      </c>
      <c r="AL302" s="8" t="n">
        <f aca="false">MIN(Z302/AF302-1,AA302/AG302-1,AB302/AH302-1,AC302/AI302-1,AD302/AJ302-1,AE302/AK302-1)</f>
        <v>0</v>
      </c>
      <c r="AM302" s="6" t="n">
        <f aca="false">AE302-Assumptions!$B$35</f>
        <v>954166.475713239</v>
      </c>
    </row>
    <row r="303" customFormat="false" ht="15" hidden="false" customHeight="false" outlineLevel="0" collapsed="false">
      <c r="A303" s="0" t="n">
        <f aca="false">ROW()-1</f>
        <v>302</v>
      </c>
      <c r="B303" s="0" t="str">
        <f aca="true">IF(RAND()&lt;Assumptions!$B$11,"Bull","Bear")</f>
        <v>Bear</v>
      </c>
      <c r="C303" s="0" t="str">
        <f aca="true">IF(B303="Bull",IF(RAND()&lt;Assumptions!$B$7,"Bull","Bear"),IF(RAND()&lt;Assumptions!$B$10,"Bear","Bull"))</f>
        <v>Bull</v>
      </c>
      <c r="D303" s="0" t="str">
        <f aca="true">IF(C303="Bull",IF(RAND()&lt;Assumptions!$B$7,"Bull","Bear"),IF(RAND()&lt;Assumptions!$B$10,"Bear","Bull"))</f>
        <v>Bear</v>
      </c>
      <c r="E303" s="0" t="str">
        <f aca="true">IF(D303="Bull",IF(RAND()&lt;Assumptions!$B$7,"Bull","Bear"),IF(RAND()&lt;Assumptions!$B$10,"Bear","Bull"))</f>
        <v>Bear</v>
      </c>
      <c r="F303" s="0" t="str">
        <f aca="true">IF(E303="Bull",IF(RAND()&lt;Assumptions!$B$7,"Bull","Bear"),IF(RAND()&lt;Assumptions!$B$10,"Bear","Bull"))</f>
        <v>Bull</v>
      </c>
      <c r="G303" s="0" t="str">
        <f aca="true">IF(F303="Bull",IF(RAND()&lt;Assumptions!$B$7,"Bull","Bear"),IF(RAND()&lt;Assumptions!$B$10,"Bear","Bull"))</f>
        <v>Bull</v>
      </c>
      <c r="H303" s="8" t="n">
        <f aca="true">IF(B303="Bull",NORMINV(RAND(),Assumptions!$B$5,Assumptions!$B$6),NORMINV(RAND(),Assumptions!$B$8,Assumptions!$B$9))</f>
        <v>0.00511424091794502</v>
      </c>
      <c r="I303" s="8" t="n">
        <f aca="true">IF(C303="Bull",NORMINV(RAND(),Assumptions!$B$5,Assumptions!$B$6),NORMINV(RAND(),Assumptions!$B$8,Assumptions!$B$9))</f>
        <v>0.0573312295821954</v>
      </c>
      <c r="J303" s="8" t="n">
        <f aca="true">IF(D303="Bull",NORMINV(RAND(),Assumptions!$B$5,Assumptions!$B$6),NORMINV(RAND(),Assumptions!$B$8,Assumptions!$B$9))</f>
        <v>-0.431428615067635</v>
      </c>
      <c r="K303" s="8" t="n">
        <f aca="true">IF(E303="Bull",NORMINV(RAND(),Assumptions!$B$5,Assumptions!$B$6),NORMINV(RAND(),Assumptions!$B$8,Assumptions!$B$9))</f>
        <v>-0.359230904196898</v>
      </c>
      <c r="L303" s="8" t="n">
        <f aca="true">IF(F303="Bull",NORMINV(RAND(),Assumptions!$B$5,Assumptions!$B$6),NORMINV(RAND(),Assumptions!$B$8,Assumptions!$B$9))</f>
        <v>0.168811834553887</v>
      </c>
      <c r="M303" s="8" t="n">
        <f aca="true">IF(G303="Bull",NORMINV(RAND(),Assumptions!$B$5,Assumptions!$B$6),NORMINV(RAND(),Assumptions!$B$8,Assumptions!$B$9))</f>
        <v>0.181901478500001</v>
      </c>
      <c r="N303" s="8" t="n">
        <f aca="true">NORMINV(RAND(),Assumptions!$B$14,Assumptions!$B$15)</f>
        <v>0.036602438448062</v>
      </c>
      <c r="O303" s="8" t="n">
        <f aca="true">NORMINV(RAND(),Assumptions!$B$14,Assumptions!$B$15)</f>
        <v>0.00672006855563292</v>
      </c>
      <c r="P303" s="8" t="n">
        <f aca="true">NORMINV(RAND(),Assumptions!$B$14,Assumptions!$B$15)</f>
        <v>0.0505923127560996</v>
      </c>
      <c r="Q303" s="8" t="n">
        <f aca="true">NORMINV(RAND(),Assumptions!$B$14,Assumptions!$B$15)</f>
        <v>0.0942265944587367</v>
      </c>
      <c r="R303" s="8" t="n">
        <f aca="true">NORMINV(RAND(),Assumptions!$B$14,Assumptions!$B$15)</f>
        <v>0.116978828845284</v>
      </c>
      <c r="S303" s="8" t="n">
        <f aca="true">NORMINV(RAND(),Assumptions!$B$14,Assumptions!$B$15)</f>
        <v>0.00178679912217725</v>
      </c>
      <c r="T303" s="8" t="n">
        <f aca="false">Assumptions!$B$19*H303+(1-Assumptions!$B$19)*N303</f>
        <v>0.00511424091794502</v>
      </c>
      <c r="U303" s="8" t="n">
        <f aca="false">Assumptions!$B$20*I303+(1-Assumptions!$B$20)*O303</f>
        <v>0.0573312295821954</v>
      </c>
      <c r="V303" s="8" t="n">
        <f aca="false">Assumptions!$B$21*J303+(1-Assumptions!$B$21)*P303</f>
        <v>-0.431428615067635</v>
      </c>
      <c r="W303" s="8" t="n">
        <f aca="false">Assumptions!$B$22*K303+(1-Assumptions!$B$22)*Q303</f>
        <v>-0.359230904196898</v>
      </c>
      <c r="X303" s="8" t="n">
        <f aca="false">Assumptions!$B$23*L303+(1-Assumptions!$B$23)*R303</f>
        <v>0.158445233412166</v>
      </c>
      <c r="Y303" s="8" t="n">
        <f aca="false">Assumptions!$B$24*M303+(1-Assumptions!$B$24)*S303</f>
        <v>0.109855606748872</v>
      </c>
      <c r="Z303" s="6" t="n">
        <f aca="false">Assumptions!$B$27*(1+T303)</f>
        <v>301534.272275384</v>
      </c>
      <c r="AA303" s="6" t="n">
        <f aca="false">(Z303+Assumptions!$B$28)*(1+U303)</f>
        <v>477421.287303433</v>
      </c>
      <c r="AB303" s="6" t="n">
        <f aca="false">AA303*(1+V303)</f>
        <v>271448.082518306</v>
      </c>
      <c r="AC303" s="6" t="n">
        <f aca="false">AB303*(1+W303)</f>
        <v>173935.542392741</v>
      </c>
      <c r="AD303" s="6" t="n">
        <f aca="false">AC303*(1+X303)</f>
        <v>201494.80000583</v>
      </c>
      <c r="AE303" s="6" t="n">
        <f aca="false">AD303*(1+Y303)</f>
        <v>223630.133517213</v>
      </c>
      <c r="AF303" s="6" t="n">
        <f aca="false">Z303</f>
        <v>301534.272275384</v>
      </c>
      <c r="AG303" s="6" t="n">
        <f aca="false">MAX(AF303,AA303)</f>
        <v>477421.287303433</v>
      </c>
      <c r="AH303" s="6" t="n">
        <f aca="false">MAX(AG303,AB303)</f>
        <v>477421.287303433</v>
      </c>
      <c r="AI303" s="6" t="n">
        <f aca="false">MAX(AH303,AC303)</f>
        <v>477421.287303433</v>
      </c>
      <c r="AJ303" s="6" t="n">
        <f aca="false">MAX(AI303,AD303)</f>
        <v>477421.287303433</v>
      </c>
      <c r="AK303" s="6" t="n">
        <f aca="false">MAX(AJ303,AE303)</f>
        <v>477421.287303433</v>
      </c>
      <c r="AL303" s="8" t="n">
        <f aca="false">MIN(Z303/AF303-1,AA303/AG303-1,AB303/AH303-1,AC303/AI303-1,AD303/AJ303-1,AE303/AK303-1)</f>
        <v>-0.635677027777371</v>
      </c>
      <c r="AM303" s="6" t="n">
        <f aca="false">AE303-Assumptions!$B$35</f>
        <v>-217633.863145291</v>
      </c>
    </row>
    <row r="304" customFormat="false" ht="15" hidden="false" customHeight="false" outlineLevel="0" collapsed="false">
      <c r="A304" s="0" t="n">
        <f aca="false">ROW()-1</f>
        <v>303</v>
      </c>
      <c r="B304" s="0" t="str">
        <f aca="true">IF(RAND()&lt;Assumptions!$B$11,"Bull","Bear")</f>
        <v>Bear</v>
      </c>
      <c r="C304" s="0" t="str">
        <f aca="true">IF(B304="Bull",IF(RAND()&lt;Assumptions!$B$7,"Bull","Bear"),IF(RAND()&lt;Assumptions!$B$10,"Bear","Bull"))</f>
        <v>Bull</v>
      </c>
      <c r="D304" s="0" t="str">
        <f aca="true">IF(C304="Bull",IF(RAND()&lt;Assumptions!$B$7,"Bull","Bear"),IF(RAND()&lt;Assumptions!$B$10,"Bear","Bull"))</f>
        <v>Bull</v>
      </c>
      <c r="E304" s="0" t="str">
        <f aca="true">IF(D304="Bull",IF(RAND()&lt;Assumptions!$B$7,"Bull","Bear"),IF(RAND()&lt;Assumptions!$B$10,"Bear","Bull"))</f>
        <v>Bear</v>
      </c>
      <c r="F304" s="0" t="str">
        <f aca="true">IF(E304="Bull",IF(RAND()&lt;Assumptions!$B$7,"Bull","Bear"),IF(RAND()&lt;Assumptions!$B$10,"Bear","Bull"))</f>
        <v>Bear</v>
      </c>
      <c r="G304" s="0" t="str">
        <f aca="true">IF(F304="Bull",IF(RAND()&lt;Assumptions!$B$7,"Bull","Bear"),IF(RAND()&lt;Assumptions!$B$10,"Bear","Bull"))</f>
        <v>Bull</v>
      </c>
      <c r="H304" s="8" t="n">
        <f aca="true">IF(B304="Bull",NORMINV(RAND(),Assumptions!$B$5,Assumptions!$B$6),NORMINV(RAND(),Assumptions!$B$8,Assumptions!$B$9))</f>
        <v>-0.0675613113242664</v>
      </c>
      <c r="I304" s="8" t="n">
        <f aca="true">IF(C304="Bull",NORMINV(RAND(),Assumptions!$B$5,Assumptions!$B$6),NORMINV(RAND(),Assumptions!$B$8,Assumptions!$B$9))</f>
        <v>0.200901097806276</v>
      </c>
      <c r="J304" s="8" t="n">
        <f aca="true">IF(D304="Bull",NORMINV(RAND(),Assumptions!$B$5,Assumptions!$B$6),NORMINV(RAND(),Assumptions!$B$8,Assumptions!$B$9))</f>
        <v>0.222467231364948</v>
      </c>
      <c r="K304" s="8" t="n">
        <f aca="true">IF(E304="Bull",NORMINV(RAND(),Assumptions!$B$5,Assumptions!$B$6),NORMINV(RAND(),Assumptions!$B$8,Assumptions!$B$9))</f>
        <v>-0.30222653692009</v>
      </c>
      <c r="L304" s="8" t="n">
        <f aca="true">IF(F304="Bull",NORMINV(RAND(),Assumptions!$B$5,Assumptions!$B$6),NORMINV(RAND(),Assumptions!$B$8,Assumptions!$B$9))</f>
        <v>0.316868138985755</v>
      </c>
      <c r="M304" s="8" t="n">
        <f aca="true">IF(G304="Bull",NORMINV(RAND(),Assumptions!$B$5,Assumptions!$B$6),NORMINV(RAND(),Assumptions!$B$8,Assumptions!$B$9))</f>
        <v>0.0694438123450485</v>
      </c>
      <c r="N304" s="8" t="n">
        <f aca="true">NORMINV(RAND(),Assumptions!$B$14,Assumptions!$B$15)</f>
        <v>0.0105866688673779</v>
      </c>
      <c r="O304" s="8" t="n">
        <f aca="true">NORMINV(RAND(),Assumptions!$B$14,Assumptions!$B$15)</f>
        <v>0.05795260177504</v>
      </c>
      <c r="P304" s="8" t="n">
        <f aca="true">NORMINV(RAND(),Assumptions!$B$14,Assumptions!$B$15)</f>
        <v>0.0493702793641159</v>
      </c>
      <c r="Q304" s="8" t="n">
        <f aca="true">NORMINV(RAND(),Assumptions!$B$14,Assumptions!$B$15)</f>
        <v>-0.0033278882135255</v>
      </c>
      <c r="R304" s="8" t="n">
        <f aca="true">NORMINV(RAND(),Assumptions!$B$14,Assumptions!$B$15)</f>
        <v>0.0633507335964477</v>
      </c>
      <c r="S304" s="8" t="n">
        <f aca="true">NORMINV(RAND(),Assumptions!$B$14,Assumptions!$B$15)</f>
        <v>0.0409640508423579</v>
      </c>
      <c r="T304" s="8" t="n">
        <f aca="false">Assumptions!$B$19*H304+(1-Assumptions!$B$19)*N304</f>
        <v>-0.0675613113242664</v>
      </c>
      <c r="U304" s="8" t="n">
        <f aca="false">Assumptions!$B$20*I304+(1-Assumptions!$B$20)*O304</f>
        <v>0.200901097806276</v>
      </c>
      <c r="V304" s="8" t="n">
        <f aca="false">Assumptions!$B$21*J304+(1-Assumptions!$B$21)*P304</f>
        <v>0.222467231364948</v>
      </c>
      <c r="W304" s="8" t="n">
        <f aca="false">Assumptions!$B$22*K304+(1-Assumptions!$B$22)*Q304</f>
        <v>-0.30222653692009</v>
      </c>
      <c r="X304" s="8" t="n">
        <f aca="false">Assumptions!$B$23*L304+(1-Assumptions!$B$23)*R304</f>
        <v>0.266164657907893</v>
      </c>
      <c r="Y304" s="8" t="n">
        <f aca="false">Assumptions!$B$24*M304+(1-Assumptions!$B$24)*S304</f>
        <v>0.0580519077439723</v>
      </c>
      <c r="Z304" s="6" t="n">
        <f aca="false">Assumptions!$B$27*(1+T304)</f>
        <v>279731.60660272</v>
      </c>
      <c r="AA304" s="6" t="n">
        <f aca="false">(Z304+Assumptions!$B$28)*(1+U304)</f>
        <v>516065.158131261</v>
      </c>
      <c r="AB304" s="6" t="n">
        <f aca="false">AA304*(1+V304)</f>
        <v>630872.745064637</v>
      </c>
      <c r="AC304" s="6" t="n">
        <f aca="false">AB304*(1+W304)</f>
        <v>440206.260086481</v>
      </c>
      <c r="AD304" s="6" t="n">
        <f aca="false">AC304*(1+X304)</f>
        <v>557373.608711312</v>
      </c>
      <c r="AE304" s="6" t="n">
        <f aca="false">AD304*(1+Y304)</f>
        <v>589730.210023146</v>
      </c>
      <c r="AF304" s="6" t="n">
        <f aca="false">Z304</f>
        <v>279731.60660272</v>
      </c>
      <c r="AG304" s="6" t="n">
        <f aca="false">MAX(AF304,AA304)</f>
        <v>516065.158131261</v>
      </c>
      <c r="AH304" s="6" t="n">
        <f aca="false">MAX(AG304,AB304)</f>
        <v>630872.745064637</v>
      </c>
      <c r="AI304" s="6" t="n">
        <f aca="false">MAX(AH304,AC304)</f>
        <v>630872.745064637</v>
      </c>
      <c r="AJ304" s="6" t="n">
        <f aca="false">MAX(AI304,AD304)</f>
        <v>630872.745064637</v>
      </c>
      <c r="AK304" s="6" t="n">
        <f aca="false">MAX(AJ304,AE304)</f>
        <v>630872.745064637</v>
      </c>
      <c r="AL304" s="8" t="n">
        <f aca="false">MIN(Z304/AF304-1,AA304/AG304-1,AB304/AH304-1,AC304/AI304-1,AD304/AJ304-1,AE304/AK304-1)</f>
        <v>-0.30222653692009</v>
      </c>
      <c r="AM304" s="6" t="n">
        <f aca="false">AE304-Assumptions!$B$35</f>
        <v>148466.213360642</v>
      </c>
    </row>
    <row r="305" customFormat="false" ht="15" hidden="false" customHeight="false" outlineLevel="0" collapsed="false">
      <c r="A305" s="0" t="n">
        <f aca="false">ROW()-1</f>
        <v>304</v>
      </c>
      <c r="B305" s="0" t="str">
        <f aca="true">IF(RAND()&lt;Assumptions!$B$11,"Bull","Bear")</f>
        <v>Bull</v>
      </c>
      <c r="C305" s="0" t="str">
        <f aca="true">IF(B305="Bull",IF(RAND()&lt;Assumptions!$B$7,"Bull","Bear"),IF(RAND()&lt;Assumptions!$B$10,"Bear","Bull"))</f>
        <v>Bull</v>
      </c>
      <c r="D305" s="0" t="str">
        <f aca="true">IF(C305="Bull",IF(RAND()&lt;Assumptions!$B$7,"Bull","Bear"),IF(RAND()&lt;Assumptions!$B$10,"Bear","Bull"))</f>
        <v>Bull</v>
      </c>
      <c r="E305" s="0" t="str">
        <f aca="true">IF(D305="Bull",IF(RAND()&lt;Assumptions!$B$7,"Bull","Bear"),IF(RAND()&lt;Assumptions!$B$10,"Bear","Bull"))</f>
        <v>Bull</v>
      </c>
      <c r="F305" s="0" t="str">
        <f aca="true">IF(E305="Bull",IF(RAND()&lt;Assumptions!$B$7,"Bull","Bear"),IF(RAND()&lt;Assumptions!$B$10,"Bear","Bull"))</f>
        <v>Bear</v>
      </c>
      <c r="G305" s="0" t="str">
        <f aca="true">IF(F305="Bull",IF(RAND()&lt;Assumptions!$B$7,"Bull","Bear"),IF(RAND()&lt;Assumptions!$B$10,"Bear","Bull"))</f>
        <v>Bear</v>
      </c>
      <c r="H305" s="8" t="n">
        <f aca="true">IF(B305="Bull",NORMINV(RAND(),Assumptions!$B$5,Assumptions!$B$6),NORMINV(RAND(),Assumptions!$B$8,Assumptions!$B$9))</f>
        <v>0.201035995024927</v>
      </c>
      <c r="I305" s="8" t="n">
        <f aca="true">IF(C305="Bull",NORMINV(RAND(),Assumptions!$B$5,Assumptions!$B$6),NORMINV(RAND(),Assumptions!$B$8,Assumptions!$B$9))</f>
        <v>0.140050497791171</v>
      </c>
      <c r="J305" s="8" t="n">
        <f aca="true">IF(D305="Bull",NORMINV(RAND(),Assumptions!$B$5,Assumptions!$B$6),NORMINV(RAND(),Assumptions!$B$8,Assumptions!$B$9))</f>
        <v>0.198459214591379</v>
      </c>
      <c r="K305" s="8" t="n">
        <f aca="true">IF(E305="Bull",NORMINV(RAND(),Assumptions!$B$5,Assumptions!$B$6),NORMINV(RAND(),Assumptions!$B$8,Assumptions!$B$9))</f>
        <v>0.0610542847434053</v>
      </c>
      <c r="L305" s="8" t="n">
        <f aca="true">IF(F305="Bull",NORMINV(RAND(),Assumptions!$B$5,Assumptions!$B$6),NORMINV(RAND(),Assumptions!$B$8,Assumptions!$B$9))</f>
        <v>-0.109192044091411</v>
      </c>
      <c r="M305" s="8" t="n">
        <f aca="true">IF(G305="Bull",NORMINV(RAND(),Assumptions!$B$5,Assumptions!$B$6),NORMINV(RAND(),Assumptions!$B$8,Assumptions!$B$9))</f>
        <v>-0.130427055915051</v>
      </c>
      <c r="N305" s="8" t="n">
        <f aca="true">NORMINV(RAND(),Assumptions!$B$14,Assumptions!$B$15)</f>
        <v>-0.0117752635206919</v>
      </c>
      <c r="O305" s="8" t="n">
        <f aca="true">NORMINV(RAND(),Assumptions!$B$14,Assumptions!$B$15)</f>
        <v>0.00117453407181026</v>
      </c>
      <c r="P305" s="8" t="n">
        <f aca="true">NORMINV(RAND(),Assumptions!$B$14,Assumptions!$B$15)</f>
        <v>0.0641059555609735</v>
      </c>
      <c r="Q305" s="8" t="n">
        <f aca="true">NORMINV(RAND(),Assumptions!$B$14,Assumptions!$B$15)</f>
        <v>-0.0202556113570969</v>
      </c>
      <c r="R305" s="8" t="n">
        <f aca="true">NORMINV(RAND(),Assumptions!$B$14,Assumptions!$B$15)</f>
        <v>0.0213425811272446</v>
      </c>
      <c r="S305" s="8" t="n">
        <f aca="true">NORMINV(RAND(),Assumptions!$B$14,Assumptions!$B$15)</f>
        <v>0.0716095559915701</v>
      </c>
      <c r="T305" s="8" t="n">
        <f aca="false">Assumptions!$B$19*H305+(1-Assumptions!$B$19)*N305</f>
        <v>0.201035995024927</v>
      </c>
      <c r="U305" s="8" t="n">
        <f aca="false">Assumptions!$B$20*I305+(1-Assumptions!$B$20)*O305</f>
        <v>0.140050497791171</v>
      </c>
      <c r="V305" s="8" t="n">
        <f aca="false">Assumptions!$B$21*J305+(1-Assumptions!$B$21)*P305</f>
        <v>0.198459214591379</v>
      </c>
      <c r="W305" s="8" t="n">
        <f aca="false">Assumptions!$B$22*K305+(1-Assumptions!$B$22)*Q305</f>
        <v>0.0610542847434053</v>
      </c>
      <c r="X305" s="8" t="n">
        <f aca="false">Assumptions!$B$23*L305+(1-Assumptions!$B$23)*R305</f>
        <v>-0.08308511904768</v>
      </c>
      <c r="Y305" s="8" t="n">
        <f aca="false">Assumptions!$B$24*M305+(1-Assumptions!$B$24)*S305</f>
        <v>-0.0496124111524026</v>
      </c>
      <c r="Z305" s="6" t="n">
        <f aca="false">Assumptions!$B$27*(1+T305)</f>
        <v>360310.798507478</v>
      </c>
      <c r="AA305" s="6" t="n">
        <f aca="false">(Z305+Assumptions!$B$28)*(1+U305)</f>
        <v>581780.07986666</v>
      </c>
      <c r="AB305" s="6" t="n">
        <f aca="false">AA305*(1+V305)</f>
        <v>697239.697581908</v>
      </c>
      <c r="AC305" s="6" t="n">
        <f aca="false">AB305*(1+W305)</f>
        <v>739809.168612479</v>
      </c>
      <c r="AD305" s="6" t="n">
        <f aca="false">AC305*(1+X305)</f>
        <v>678342.035765746</v>
      </c>
      <c r="AE305" s="6" t="n">
        <f aca="false">AD305*(1+Y305)</f>
        <v>644687.851785378</v>
      </c>
      <c r="AF305" s="6" t="n">
        <f aca="false">Z305</f>
        <v>360310.798507478</v>
      </c>
      <c r="AG305" s="6" t="n">
        <f aca="false">MAX(AF305,AA305)</f>
        <v>581780.07986666</v>
      </c>
      <c r="AH305" s="6" t="n">
        <f aca="false">MAX(AG305,AB305)</f>
        <v>697239.697581908</v>
      </c>
      <c r="AI305" s="6" t="n">
        <f aca="false">MAX(AH305,AC305)</f>
        <v>739809.168612479</v>
      </c>
      <c r="AJ305" s="6" t="n">
        <f aca="false">MAX(AI305,AD305)</f>
        <v>739809.168612479</v>
      </c>
      <c r="AK305" s="6" t="n">
        <f aca="false">MAX(AJ305,AE305)</f>
        <v>739809.168612479</v>
      </c>
      <c r="AL305" s="8" t="n">
        <f aca="false">MIN(Z305/AF305-1,AA305/AG305-1,AB305/AH305-1,AC305/AI305-1,AD305/AJ305-1,AE305/AK305-1)</f>
        <v>-0.128575477113243</v>
      </c>
      <c r="AM305" s="6" t="n">
        <f aca="false">AE305-Assumptions!$B$35</f>
        <v>203423.855122875</v>
      </c>
    </row>
    <row r="306" customFormat="false" ht="15" hidden="false" customHeight="false" outlineLevel="0" collapsed="false">
      <c r="A306" s="0" t="n">
        <f aca="false">ROW()-1</f>
        <v>305</v>
      </c>
      <c r="B306" s="0" t="str">
        <f aca="true">IF(RAND()&lt;Assumptions!$B$11,"Bull","Bear")</f>
        <v>Bull</v>
      </c>
      <c r="C306" s="0" t="str">
        <f aca="true">IF(B306="Bull",IF(RAND()&lt;Assumptions!$B$7,"Bull","Bear"),IF(RAND()&lt;Assumptions!$B$10,"Bear","Bull"))</f>
        <v>Bull</v>
      </c>
      <c r="D306" s="0" t="str">
        <f aca="true">IF(C306="Bull",IF(RAND()&lt;Assumptions!$B$7,"Bull","Bear"),IF(RAND()&lt;Assumptions!$B$10,"Bear","Bull"))</f>
        <v>Bear</v>
      </c>
      <c r="E306" s="0" t="str">
        <f aca="true">IF(D306="Bull",IF(RAND()&lt;Assumptions!$B$7,"Bull","Bear"),IF(RAND()&lt;Assumptions!$B$10,"Bear","Bull"))</f>
        <v>Bear</v>
      </c>
      <c r="F306" s="0" t="str">
        <f aca="true">IF(E306="Bull",IF(RAND()&lt;Assumptions!$B$7,"Bull","Bear"),IF(RAND()&lt;Assumptions!$B$10,"Bear","Bull"))</f>
        <v>Bull</v>
      </c>
      <c r="G306" s="0" t="str">
        <f aca="true">IF(F306="Bull",IF(RAND()&lt;Assumptions!$B$7,"Bull","Bear"),IF(RAND()&lt;Assumptions!$B$10,"Bear","Bull"))</f>
        <v>Bull</v>
      </c>
      <c r="H306" s="8" t="n">
        <f aca="true">IF(B306="Bull",NORMINV(RAND(),Assumptions!$B$5,Assumptions!$B$6),NORMINV(RAND(),Assumptions!$B$8,Assumptions!$B$9))</f>
        <v>0.18492362383485</v>
      </c>
      <c r="I306" s="8" t="n">
        <f aca="true">IF(C306="Bull",NORMINV(RAND(),Assumptions!$B$5,Assumptions!$B$6),NORMINV(RAND(),Assumptions!$B$8,Assumptions!$B$9))</f>
        <v>0.20011475539213</v>
      </c>
      <c r="J306" s="8" t="n">
        <f aca="true">IF(D306="Bull",NORMINV(RAND(),Assumptions!$B$5,Assumptions!$B$6),NORMINV(RAND(),Assumptions!$B$8,Assumptions!$B$9))</f>
        <v>-0.157044383384805</v>
      </c>
      <c r="K306" s="8" t="n">
        <f aca="true">IF(E306="Bull",NORMINV(RAND(),Assumptions!$B$5,Assumptions!$B$6),NORMINV(RAND(),Assumptions!$B$8,Assumptions!$B$9))</f>
        <v>-0.38711268571802</v>
      </c>
      <c r="L306" s="8" t="n">
        <f aca="true">IF(F306="Bull",NORMINV(RAND(),Assumptions!$B$5,Assumptions!$B$6),NORMINV(RAND(),Assumptions!$B$8,Assumptions!$B$9))</f>
        <v>0.346516857416986</v>
      </c>
      <c r="M306" s="8" t="n">
        <f aca="true">IF(G306="Bull",NORMINV(RAND(),Assumptions!$B$5,Assumptions!$B$6),NORMINV(RAND(),Assumptions!$B$8,Assumptions!$B$9))</f>
        <v>-0.104038428820228</v>
      </c>
      <c r="N306" s="8" t="n">
        <f aca="true">NORMINV(RAND(),Assumptions!$B$14,Assumptions!$B$15)</f>
        <v>0.0676109321590485</v>
      </c>
      <c r="O306" s="8" t="n">
        <f aca="true">NORMINV(RAND(),Assumptions!$B$14,Assumptions!$B$15)</f>
        <v>0.0752570817182031</v>
      </c>
      <c r="P306" s="8" t="n">
        <f aca="true">NORMINV(RAND(),Assumptions!$B$14,Assumptions!$B$15)</f>
        <v>-0.0123162905244666</v>
      </c>
      <c r="Q306" s="8" t="n">
        <f aca="true">NORMINV(RAND(),Assumptions!$B$14,Assumptions!$B$15)</f>
        <v>0.048732646569824</v>
      </c>
      <c r="R306" s="8" t="n">
        <f aca="true">NORMINV(RAND(),Assumptions!$B$14,Assumptions!$B$15)</f>
        <v>-0.0237015150063599</v>
      </c>
      <c r="S306" s="8" t="n">
        <f aca="true">NORMINV(RAND(),Assumptions!$B$14,Assumptions!$B$15)</f>
        <v>0.0481148199453727</v>
      </c>
      <c r="T306" s="8" t="n">
        <f aca="false">Assumptions!$B$19*H306+(1-Assumptions!$B$19)*N306</f>
        <v>0.18492362383485</v>
      </c>
      <c r="U306" s="8" t="n">
        <f aca="false">Assumptions!$B$20*I306+(1-Assumptions!$B$20)*O306</f>
        <v>0.20011475539213</v>
      </c>
      <c r="V306" s="8" t="n">
        <f aca="false">Assumptions!$B$21*J306+(1-Assumptions!$B$21)*P306</f>
        <v>-0.157044383384805</v>
      </c>
      <c r="W306" s="8" t="n">
        <f aca="false">Assumptions!$B$22*K306+(1-Assumptions!$B$22)*Q306</f>
        <v>-0.38711268571802</v>
      </c>
      <c r="X306" s="8" t="n">
        <f aca="false">Assumptions!$B$23*L306+(1-Assumptions!$B$23)*R306</f>
        <v>0.272473182932317</v>
      </c>
      <c r="Y306" s="8" t="n">
        <f aca="false">Assumptions!$B$24*M306+(1-Assumptions!$B$24)*S306</f>
        <v>-0.0431771293139879</v>
      </c>
      <c r="Z306" s="6" t="n">
        <f aca="false">Assumptions!$B$27*(1+T306)</f>
        <v>355477.087150455</v>
      </c>
      <c r="AA306" s="6" t="n">
        <f aca="false">(Z306+Assumptions!$B$28)*(1+U306)</f>
        <v>606630.510801895</v>
      </c>
      <c r="AB306" s="6" t="n">
        <f aca="false">AA306*(1+V306)</f>
        <v>511362.596290602</v>
      </c>
      <c r="AC306" s="6" t="n">
        <f aca="false">AB306*(1+W306)</f>
        <v>313407.648264808</v>
      </c>
      <c r="AD306" s="6" t="n">
        <f aca="false">AC306*(1+X306)</f>
        <v>398802.827742852</v>
      </c>
      <c r="AE306" s="6" t="n">
        <f aca="false">AD306*(1+Y306)</f>
        <v>381583.666478614</v>
      </c>
      <c r="AF306" s="6" t="n">
        <f aca="false">Z306</f>
        <v>355477.087150455</v>
      </c>
      <c r="AG306" s="6" t="n">
        <f aca="false">MAX(AF306,AA306)</f>
        <v>606630.510801895</v>
      </c>
      <c r="AH306" s="6" t="n">
        <f aca="false">MAX(AG306,AB306)</f>
        <v>606630.510801895</v>
      </c>
      <c r="AI306" s="6" t="n">
        <f aca="false">MAX(AH306,AC306)</f>
        <v>606630.510801895</v>
      </c>
      <c r="AJ306" s="6" t="n">
        <f aca="false">MAX(AI306,AD306)</f>
        <v>606630.510801895</v>
      </c>
      <c r="AK306" s="6" t="n">
        <f aca="false">MAX(AJ306,AE306)</f>
        <v>606630.510801895</v>
      </c>
      <c r="AL306" s="8" t="n">
        <f aca="false">MIN(Z306/AF306-1,AA306/AG306-1,AB306/AH306-1,AC306/AI306-1,AD306/AJ306-1,AE306/AK306-1)</f>
        <v>-0.483363196073802</v>
      </c>
      <c r="AM306" s="6" t="n">
        <f aca="false">AE306-Assumptions!$B$35</f>
        <v>-59680.3301838891</v>
      </c>
    </row>
    <row r="307" customFormat="false" ht="15" hidden="false" customHeight="false" outlineLevel="0" collapsed="false">
      <c r="A307" s="0" t="n">
        <f aca="false">ROW()-1</f>
        <v>306</v>
      </c>
      <c r="B307" s="0" t="str">
        <f aca="true">IF(RAND()&lt;Assumptions!$B$11,"Bull","Bear")</f>
        <v>Bear</v>
      </c>
      <c r="C307" s="0" t="str">
        <f aca="true">IF(B307="Bull",IF(RAND()&lt;Assumptions!$B$7,"Bull","Bear"),IF(RAND()&lt;Assumptions!$B$10,"Bear","Bull"))</f>
        <v>Bear</v>
      </c>
      <c r="D307" s="0" t="str">
        <f aca="true">IF(C307="Bull",IF(RAND()&lt;Assumptions!$B$7,"Bull","Bear"),IF(RAND()&lt;Assumptions!$B$10,"Bear","Bull"))</f>
        <v>Bull</v>
      </c>
      <c r="E307" s="0" t="str">
        <f aca="true">IF(D307="Bull",IF(RAND()&lt;Assumptions!$B$7,"Bull","Bear"),IF(RAND()&lt;Assumptions!$B$10,"Bear","Bull"))</f>
        <v>Bull</v>
      </c>
      <c r="F307" s="0" t="str">
        <f aca="true">IF(E307="Bull",IF(RAND()&lt;Assumptions!$B$7,"Bull","Bear"),IF(RAND()&lt;Assumptions!$B$10,"Bear","Bull"))</f>
        <v>Bear</v>
      </c>
      <c r="G307" s="0" t="str">
        <f aca="true">IF(F307="Bull",IF(RAND()&lt;Assumptions!$B$7,"Bull","Bear"),IF(RAND()&lt;Assumptions!$B$10,"Bear","Bull"))</f>
        <v>Bear</v>
      </c>
      <c r="H307" s="8" t="n">
        <f aca="true">IF(B307="Bull",NORMINV(RAND(),Assumptions!$B$5,Assumptions!$B$6),NORMINV(RAND(),Assumptions!$B$8,Assumptions!$B$9))</f>
        <v>-0.0151651771459285</v>
      </c>
      <c r="I307" s="8" t="n">
        <f aca="true">IF(C307="Bull",NORMINV(RAND(),Assumptions!$B$5,Assumptions!$B$6),NORMINV(RAND(),Assumptions!$B$8,Assumptions!$B$9))</f>
        <v>0.0561516061540635</v>
      </c>
      <c r="J307" s="8" t="n">
        <f aca="true">IF(D307="Bull",NORMINV(RAND(),Assumptions!$B$5,Assumptions!$B$6),NORMINV(RAND(),Assumptions!$B$8,Assumptions!$B$9))</f>
        <v>0.101061517617987</v>
      </c>
      <c r="K307" s="8" t="n">
        <f aca="true">IF(E307="Bull",NORMINV(RAND(),Assumptions!$B$5,Assumptions!$B$6),NORMINV(RAND(),Assumptions!$B$8,Assumptions!$B$9))</f>
        <v>0.219899508167127</v>
      </c>
      <c r="L307" s="8" t="n">
        <f aca="true">IF(F307="Bull",NORMINV(RAND(),Assumptions!$B$5,Assumptions!$B$6),NORMINV(RAND(),Assumptions!$B$8,Assumptions!$B$9))</f>
        <v>-0.286908302900591</v>
      </c>
      <c r="M307" s="8" t="n">
        <f aca="true">IF(G307="Bull",NORMINV(RAND(),Assumptions!$B$5,Assumptions!$B$6),NORMINV(RAND(),Assumptions!$B$8,Assumptions!$B$9))</f>
        <v>-0.275258103944112</v>
      </c>
      <c r="N307" s="8" t="n">
        <f aca="true">NORMINV(RAND(),Assumptions!$B$14,Assumptions!$B$15)</f>
        <v>0.0303885478986095</v>
      </c>
      <c r="O307" s="8" t="n">
        <f aca="true">NORMINV(RAND(),Assumptions!$B$14,Assumptions!$B$15)</f>
        <v>0.00346800942102974</v>
      </c>
      <c r="P307" s="8" t="n">
        <f aca="true">NORMINV(RAND(),Assumptions!$B$14,Assumptions!$B$15)</f>
        <v>0.0713914060337707</v>
      </c>
      <c r="Q307" s="8" t="n">
        <f aca="true">NORMINV(RAND(),Assumptions!$B$14,Assumptions!$B$15)</f>
        <v>0.0312501091746863</v>
      </c>
      <c r="R307" s="8" t="n">
        <f aca="true">NORMINV(RAND(),Assumptions!$B$14,Assumptions!$B$15)</f>
        <v>0.0606376764462832</v>
      </c>
      <c r="S307" s="8" t="n">
        <f aca="true">NORMINV(RAND(),Assumptions!$B$14,Assumptions!$B$15)</f>
        <v>0.0647736817095279</v>
      </c>
      <c r="T307" s="8" t="n">
        <f aca="false">Assumptions!$B$19*H307+(1-Assumptions!$B$19)*N307</f>
        <v>-0.0151651771459285</v>
      </c>
      <c r="U307" s="8" t="n">
        <f aca="false">Assumptions!$B$20*I307+(1-Assumptions!$B$20)*O307</f>
        <v>0.0561516061540635</v>
      </c>
      <c r="V307" s="8" t="n">
        <f aca="false">Assumptions!$B$21*J307+(1-Assumptions!$B$21)*P307</f>
        <v>0.101061517617987</v>
      </c>
      <c r="W307" s="8" t="n">
        <f aca="false">Assumptions!$B$22*K307+(1-Assumptions!$B$22)*Q307</f>
        <v>0.219899508167127</v>
      </c>
      <c r="X307" s="8" t="n">
        <f aca="false">Assumptions!$B$23*L307+(1-Assumptions!$B$23)*R307</f>
        <v>-0.217399107031216</v>
      </c>
      <c r="Y307" s="8" t="n">
        <f aca="false">Assumptions!$B$24*M307+(1-Assumptions!$B$24)*S307</f>
        <v>-0.139245389682656</v>
      </c>
      <c r="Z307" s="6" t="n">
        <f aca="false">Assumptions!$B$27*(1+T307)</f>
        <v>295450.446856222</v>
      </c>
      <c r="AA307" s="6" t="n">
        <f aca="false">(Z307+Assumptions!$B$28)*(1+U307)</f>
        <v>470463.204909244</v>
      </c>
      <c r="AB307" s="6" t="n">
        <f aca="false">AA307*(1+V307)</f>
        <v>518008.930380794</v>
      </c>
      <c r="AC307" s="6" t="n">
        <f aca="false">AB307*(1+W307)</f>
        <v>631918.83939771</v>
      </c>
      <c r="AD307" s="6" t="n">
        <f aca="false">AC307*(1+X307)</f>
        <v>494540.247996445</v>
      </c>
      <c r="AE307" s="6" t="n">
        <f aca="false">AD307*(1+Y307)</f>
        <v>425677.798450423</v>
      </c>
      <c r="AF307" s="6" t="n">
        <f aca="false">Z307</f>
        <v>295450.446856222</v>
      </c>
      <c r="AG307" s="6" t="n">
        <f aca="false">MAX(AF307,AA307)</f>
        <v>470463.204909244</v>
      </c>
      <c r="AH307" s="6" t="n">
        <f aca="false">MAX(AG307,AB307)</f>
        <v>518008.930380794</v>
      </c>
      <c r="AI307" s="6" t="n">
        <f aca="false">MAX(AH307,AC307)</f>
        <v>631918.83939771</v>
      </c>
      <c r="AJ307" s="6" t="n">
        <f aca="false">MAX(AI307,AD307)</f>
        <v>631918.83939771</v>
      </c>
      <c r="AK307" s="6" t="n">
        <f aca="false">MAX(AJ307,AE307)</f>
        <v>631918.83939771</v>
      </c>
      <c r="AL307" s="8" t="n">
        <f aca="false">MIN(Z307/AF307-1,AA307/AG307-1,AB307/AH307-1,AC307/AI307-1,AD307/AJ307-1,AE307/AK307-1)</f>
        <v>-0.326372673338649</v>
      </c>
      <c r="AM307" s="6" t="n">
        <f aca="false">AE307-Assumptions!$B$35</f>
        <v>-15586.1982120806</v>
      </c>
    </row>
    <row r="308" customFormat="false" ht="15" hidden="false" customHeight="false" outlineLevel="0" collapsed="false">
      <c r="A308" s="0" t="n">
        <f aca="false">ROW()-1</f>
        <v>307</v>
      </c>
      <c r="B308" s="0" t="str">
        <f aca="true">IF(RAND()&lt;Assumptions!$B$11,"Bull","Bear")</f>
        <v>Bull</v>
      </c>
      <c r="C308" s="0" t="str">
        <f aca="true">IF(B308="Bull",IF(RAND()&lt;Assumptions!$B$7,"Bull","Bear"),IF(RAND()&lt;Assumptions!$B$10,"Bear","Bull"))</f>
        <v>Bull</v>
      </c>
      <c r="D308" s="0" t="str">
        <f aca="true">IF(C308="Bull",IF(RAND()&lt;Assumptions!$B$7,"Bull","Bear"),IF(RAND()&lt;Assumptions!$B$10,"Bear","Bull"))</f>
        <v>Bull</v>
      </c>
      <c r="E308" s="0" t="str">
        <f aca="true">IF(D308="Bull",IF(RAND()&lt;Assumptions!$B$7,"Bull","Bear"),IF(RAND()&lt;Assumptions!$B$10,"Bear","Bull"))</f>
        <v>Bear</v>
      </c>
      <c r="F308" s="0" t="str">
        <f aca="true">IF(E308="Bull",IF(RAND()&lt;Assumptions!$B$7,"Bull","Bear"),IF(RAND()&lt;Assumptions!$B$10,"Bear","Bull"))</f>
        <v>Bear</v>
      </c>
      <c r="G308" s="0" t="str">
        <f aca="true">IF(F308="Bull",IF(RAND()&lt;Assumptions!$B$7,"Bull","Bear"),IF(RAND()&lt;Assumptions!$B$10,"Bear","Bull"))</f>
        <v>Bull</v>
      </c>
      <c r="H308" s="8" t="n">
        <f aca="true">IF(B308="Bull",NORMINV(RAND(),Assumptions!$B$5,Assumptions!$B$6),NORMINV(RAND(),Assumptions!$B$8,Assumptions!$B$9))</f>
        <v>0.100196758306612</v>
      </c>
      <c r="I308" s="8" t="n">
        <f aca="true">IF(C308="Bull",NORMINV(RAND(),Assumptions!$B$5,Assumptions!$B$6),NORMINV(RAND(),Assumptions!$B$8,Assumptions!$B$9))</f>
        <v>0.220590048874063</v>
      </c>
      <c r="J308" s="8" t="n">
        <f aca="true">IF(D308="Bull",NORMINV(RAND(),Assumptions!$B$5,Assumptions!$B$6),NORMINV(RAND(),Assumptions!$B$8,Assumptions!$B$9))</f>
        <v>0.131437824197023</v>
      </c>
      <c r="K308" s="8" t="n">
        <f aca="true">IF(E308="Bull",NORMINV(RAND(),Assumptions!$B$5,Assumptions!$B$6),NORMINV(RAND(),Assumptions!$B$8,Assumptions!$B$9))</f>
        <v>0.0720610911698569</v>
      </c>
      <c r="L308" s="8" t="n">
        <f aca="true">IF(F308="Bull",NORMINV(RAND(),Assumptions!$B$5,Assumptions!$B$6),NORMINV(RAND(),Assumptions!$B$8,Assumptions!$B$9))</f>
        <v>-0.321178164481177</v>
      </c>
      <c r="M308" s="8" t="n">
        <f aca="true">IF(G308="Bull",NORMINV(RAND(),Assumptions!$B$5,Assumptions!$B$6),NORMINV(RAND(),Assumptions!$B$8,Assumptions!$B$9))</f>
        <v>0.257617112894887</v>
      </c>
      <c r="N308" s="8" t="n">
        <f aca="true">NORMINV(RAND(),Assumptions!$B$14,Assumptions!$B$15)</f>
        <v>0.0590171288189895</v>
      </c>
      <c r="O308" s="8" t="n">
        <f aca="true">NORMINV(RAND(),Assumptions!$B$14,Assumptions!$B$15)</f>
        <v>0.0447391382921452</v>
      </c>
      <c r="P308" s="8" t="n">
        <f aca="true">NORMINV(RAND(),Assumptions!$B$14,Assumptions!$B$15)</f>
        <v>0.0586241695774019</v>
      </c>
      <c r="Q308" s="8" t="n">
        <f aca="true">NORMINV(RAND(),Assumptions!$B$14,Assumptions!$B$15)</f>
        <v>-0.0159246517066979</v>
      </c>
      <c r="R308" s="8" t="n">
        <f aca="true">NORMINV(RAND(),Assumptions!$B$14,Assumptions!$B$15)</f>
        <v>0.0866811951123899</v>
      </c>
      <c r="S308" s="8" t="n">
        <f aca="true">NORMINV(RAND(),Assumptions!$B$14,Assumptions!$B$15)</f>
        <v>0.0895708318597651</v>
      </c>
      <c r="T308" s="8" t="n">
        <f aca="false">Assumptions!$B$19*H308+(1-Assumptions!$B$19)*N308</f>
        <v>0.100196758306612</v>
      </c>
      <c r="U308" s="8" t="n">
        <f aca="false">Assumptions!$B$20*I308+(1-Assumptions!$B$20)*O308</f>
        <v>0.220590048874063</v>
      </c>
      <c r="V308" s="8" t="n">
        <f aca="false">Assumptions!$B$21*J308+(1-Assumptions!$B$21)*P308</f>
        <v>0.131437824197023</v>
      </c>
      <c r="W308" s="8" t="n">
        <f aca="false">Assumptions!$B$22*K308+(1-Assumptions!$B$22)*Q308</f>
        <v>0.0720610911698569</v>
      </c>
      <c r="X308" s="8" t="n">
        <f aca="false">Assumptions!$B$23*L308+(1-Assumptions!$B$23)*R308</f>
        <v>-0.239606292562464</v>
      </c>
      <c r="Y308" s="8" t="n">
        <f aca="false">Assumptions!$B$24*M308+(1-Assumptions!$B$24)*S308</f>
        <v>0.190398600480838</v>
      </c>
      <c r="Z308" s="6" t="n">
        <f aca="false">Assumptions!$B$27*(1+T308)</f>
        <v>330059.027491984</v>
      </c>
      <c r="AA308" s="6" t="n">
        <f aca="false">(Z308+Assumptions!$B$28)*(1+U308)</f>
        <v>585955.271828875</v>
      </c>
      <c r="AB308" s="6" t="n">
        <f aca="false">AA308*(1+V308)</f>
        <v>662971.957834838</v>
      </c>
      <c r="AC308" s="6" t="n">
        <f aca="false">AB308*(1+W308)</f>
        <v>710746.440531433</v>
      </c>
      <c r="AD308" s="6" t="n">
        <f aca="false">AC308*(1+X308)</f>
        <v>540447.120963728</v>
      </c>
      <c r="AE308" s="6" t="n">
        <f aca="false">AD308*(1+Y308)</f>
        <v>643347.49642912</v>
      </c>
      <c r="AF308" s="6" t="n">
        <f aca="false">Z308</f>
        <v>330059.027491984</v>
      </c>
      <c r="AG308" s="6" t="n">
        <f aca="false">MAX(AF308,AA308)</f>
        <v>585955.271828875</v>
      </c>
      <c r="AH308" s="6" t="n">
        <f aca="false">MAX(AG308,AB308)</f>
        <v>662971.957834838</v>
      </c>
      <c r="AI308" s="6" t="n">
        <f aca="false">MAX(AH308,AC308)</f>
        <v>710746.440531433</v>
      </c>
      <c r="AJ308" s="6" t="n">
        <f aca="false">MAX(AI308,AD308)</f>
        <v>710746.440531433</v>
      </c>
      <c r="AK308" s="6" t="n">
        <f aca="false">MAX(AJ308,AE308)</f>
        <v>710746.440531433</v>
      </c>
      <c r="AL308" s="8" t="n">
        <f aca="false">MIN(Z308/AF308-1,AA308/AG308-1,AB308/AH308-1,AC308/AI308-1,AD308/AJ308-1,AE308/AK308-1)</f>
        <v>-0.239606292562464</v>
      </c>
      <c r="AM308" s="6" t="n">
        <f aca="false">AE308-Assumptions!$B$35</f>
        <v>202083.499766617</v>
      </c>
    </row>
    <row r="309" customFormat="false" ht="15" hidden="false" customHeight="false" outlineLevel="0" collapsed="false">
      <c r="A309" s="0" t="n">
        <f aca="false">ROW()-1</f>
        <v>308</v>
      </c>
      <c r="B309" s="0" t="str">
        <f aca="true">IF(RAND()&lt;Assumptions!$B$11,"Bull","Bear")</f>
        <v>Bull</v>
      </c>
      <c r="C309" s="0" t="str">
        <f aca="true">IF(B309="Bull",IF(RAND()&lt;Assumptions!$B$7,"Bull","Bear"),IF(RAND()&lt;Assumptions!$B$10,"Bear","Bull"))</f>
        <v>Bull</v>
      </c>
      <c r="D309" s="0" t="str">
        <f aca="true">IF(C309="Bull",IF(RAND()&lt;Assumptions!$B$7,"Bull","Bear"),IF(RAND()&lt;Assumptions!$B$10,"Bear","Bull"))</f>
        <v>Bull</v>
      </c>
      <c r="E309" s="0" t="str">
        <f aca="true">IF(D309="Bull",IF(RAND()&lt;Assumptions!$B$7,"Bull","Bear"),IF(RAND()&lt;Assumptions!$B$10,"Bear","Bull"))</f>
        <v>Bull</v>
      </c>
      <c r="F309" s="0" t="str">
        <f aca="true">IF(E309="Bull",IF(RAND()&lt;Assumptions!$B$7,"Bull","Bear"),IF(RAND()&lt;Assumptions!$B$10,"Bear","Bull"))</f>
        <v>Bull</v>
      </c>
      <c r="G309" s="0" t="str">
        <f aca="true">IF(F309="Bull",IF(RAND()&lt;Assumptions!$B$7,"Bull","Bear"),IF(RAND()&lt;Assumptions!$B$10,"Bear","Bull"))</f>
        <v>Bull</v>
      </c>
      <c r="H309" s="8" t="n">
        <f aca="true">IF(B309="Bull",NORMINV(RAND(),Assumptions!$B$5,Assumptions!$B$6),NORMINV(RAND(),Assumptions!$B$8,Assumptions!$B$9))</f>
        <v>0.189671623702512</v>
      </c>
      <c r="I309" s="8" t="n">
        <f aca="true">IF(C309="Bull",NORMINV(RAND(),Assumptions!$B$5,Assumptions!$B$6),NORMINV(RAND(),Assumptions!$B$8,Assumptions!$B$9))</f>
        <v>0.165302893862936</v>
      </c>
      <c r="J309" s="8" t="n">
        <f aca="true">IF(D309="Bull",NORMINV(RAND(),Assumptions!$B$5,Assumptions!$B$6),NORMINV(RAND(),Assumptions!$B$8,Assumptions!$B$9))</f>
        <v>0.124704830010961</v>
      </c>
      <c r="K309" s="8" t="n">
        <f aca="true">IF(E309="Bull",NORMINV(RAND(),Assumptions!$B$5,Assumptions!$B$6),NORMINV(RAND(),Assumptions!$B$8,Assumptions!$B$9))</f>
        <v>0.344541423109828</v>
      </c>
      <c r="L309" s="8" t="n">
        <f aca="true">IF(F309="Bull",NORMINV(RAND(),Assumptions!$B$5,Assumptions!$B$6),NORMINV(RAND(),Assumptions!$B$8,Assumptions!$B$9))</f>
        <v>0.384410811064856</v>
      </c>
      <c r="M309" s="8" t="n">
        <f aca="true">IF(G309="Bull",NORMINV(RAND(),Assumptions!$B$5,Assumptions!$B$6),NORMINV(RAND(),Assumptions!$B$8,Assumptions!$B$9))</f>
        <v>0.0776150962891106</v>
      </c>
      <c r="N309" s="8" t="n">
        <f aca="true">NORMINV(RAND(),Assumptions!$B$14,Assumptions!$B$15)</f>
        <v>0.0332315108691012</v>
      </c>
      <c r="O309" s="8" t="n">
        <f aca="true">NORMINV(RAND(),Assumptions!$B$14,Assumptions!$B$15)</f>
        <v>0.123451292714812</v>
      </c>
      <c r="P309" s="8" t="n">
        <f aca="true">NORMINV(RAND(),Assumptions!$B$14,Assumptions!$B$15)</f>
        <v>0.0942913402947517</v>
      </c>
      <c r="Q309" s="8" t="n">
        <f aca="true">NORMINV(RAND(),Assumptions!$B$14,Assumptions!$B$15)</f>
        <v>0.0794882028828282</v>
      </c>
      <c r="R309" s="8" t="n">
        <f aca="true">NORMINV(RAND(),Assumptions!$B$14,Assumptions!$B$15)</f>
        <v>0.0740630925009265</v>
      </c>
      <c r="S309" s="8" t="n">
        <f aca="true">NORMINV(RAND(),Assumptions!$B$14,Assumptions!$B$15)</f>
        <v>0.0266053443722642</v>
      </c>
      <c r="T309" s="8" t="n">
        <f aca="false">Assumptions!$B$19*H309+(1-Assumptions!$B$19)*N309</f>
        <v>0.189671623702512</v>
      </c>
      <c r="U309" s="8" t="n">
        <f aca="false">Assumptions!$B$20*I309+(1-Assumptions!$B$20)*O309</f>
        <v>0.165302893862936</v>
      </c>
      <c r="V309" s="8" t="n">
        <f aca="false">Assumptions!$B$21*J309+(1-Assumptions!$B$21)*P309</f>
        <v>0.124704830010961</v>
      </c>
      <c r="W309" s="8" t="n">
        <f aca="false">Assumptions!$B$22*K309+(1-Assumptions!$B$22)*Q309</f>
        <v>0.344541423109828</v>
      </c>
      <c r="X309" s="8" t="n">
        <f aca="false">Assumptions!$B$23*L309+(1-Assumptions!$B$23)*R309</f>
        <v>0.32234126735207</v>
      </c>
      <c r="Y309" s="8" t="n">
        <f aca="false">Assumptions!$B$24*M309+(1-Assumptions!$B$24)*S309</f>
        <v>0.057211195522372</v>
      </c>
      <c r="Z309" s="6" t="n">
        <f aca="false">Assumptions!$B$27*(1+T309)</f>
        <v>356901.487110754</v>
      </c>
      <c r="AA309" s="6" t="n">
        <f aca="false">(Z309+Assumptions!$B$28)*(1+U309)</f>
        <v>590693.769833587</v>
      </c>
      <c r="AB309" s="6" t="n">
        <f aca="false">AA309*(1+V309)</f>
        <v>664356.135989218</v>
      </c>
      <c r="AC309" s="6" t="n">
        <f aca="false">AB309*(1+W309)</f>
        <v>893254.34453469</v>
      </c>
      <c r="AD309" s="6" t="n">
        <f aca="false">AC309*(1+X309)</f>
        <v>1181187.08201974</v>
      </c>
      <c r="AE309" s="6" t="n">
        <f aca="false">AD309*(1+Y309)</f>
        <v>1248764.20711768</v>
      </c>
      <c r="AF309" s="6" t="n">
        <f aca="false">Z309</f>
        <v>356901.487110754</v>
      </c>
      <c r="AG309" s="6" t="n">
        <f aca="false">MAX(AF309,AA309)</f>
        <v>590693.769833587</v>
      </c>
      <c r="AH309" s="6" t="n">
        <f aca="false">MAX(AG309,AB309)</f>
        <v>664356.135989218</v>
      </c>
      <c r="AI309" s="6" t="n">
        <f aca="false">MAX(AH309,AC309)</f>
        <v>893254.34453469</v>
      </c>
      <c r="AJ309" s="6" t="n">
        <f aca="false">MAX(AI309,AD309)</f>
        <v>1181187.08201974</v>
      </c>
      <c r="AK309" s="6" t="n">
        <f aca="false">MAX(AJ309,AE309)</f>
        <v>1248764.20711768</v>
      </c>
      <c r="AL309" s="8" t="n">
        <f aca="false">MIN(Z309/AF309-1,AA309/AG309-1,AB309/AH309-1,AC309/AI309-1,AD309/AJ309-1,AE309/AK309-1)</f>
        <v>0</v>
      </c>
      <c r="AM309" s="6" t="n">
        <f aca="false">AE309-Assumptions!$B$35</f>
        <v>807500.210455172</v>
      </c>
    </row>
    <row r="310" customFormat="false" ht="15" hidden="false" customHeight="false" outlineLevel="0" collapsed="false">
      <c r="A310" s="0" t="n">
        <f aca="false">ROW()-1</f>
        <v>309</v>
      </c>
      <c r="B310" s="0" t="str">
        <f aca="true">IF(RAND()&lt;Assumptions!$B$11,"Bull","Bear")</f>
        <v>Bull</v>
      </c>
      <c r="C310" s="0" t="str">
        <f aca="true">IF(B310="Bull",IF(RAND()&lt;Assumptions!$B$7,"Bull","Bear"),IF(RAND()&lt;Assumptions!$B$10,"Bear","Bull"))</f>
        <v>Bear</v>
      </c>
      <c r="D310" s="0" t="str">
        <f aca="true">IF(C310="Bull",IF(RAND()&lt;Assumptions!$B$7,"Bull","Bear"),IF(RAND()&lt;Assumptions!$B$10,"Bear","Bull"))</f>
        <v>Bull</v>
      </c>
      <c r="E310" s="0" t="str">
        <f aca="true">IF(D310="Bull",IF(RAND()&lt;Assumptions!$B$7,"Bull","Bear"),IF(RAND()&lt;Assumptions!$B$10,"Bear","Bull"))</f>
        <v>Bull</v>
      </c>
      <c r="F310" s="0" t="str">
        <f aca="true">IF(E310="Bull",IF(RAND()&lt;Assumptions!$B$7,"Bull","Bear"),IF(RAND()&lt;Assumptions!$B$10,"Bear","Bull"))</f>
        <v>Bull</v>
      </c>
      <c r="G310" s="0" t="str">
        <f aca="true">IF(F310="Bull",IF(RAND()&lt;Assumptions!$B$7,"Bull","Bear"),IF(RAND()&lt;Assumptions!$B$10,"Bear","Bull"))</f>
        <v>Bull</v>
      </c>
      <c r="H310" s="8" t="n">
        <f aca="true">IF(B310="Bull",NORMINV(RAND(),Assumptions!$B$5,Assumptions!$B$6),NORMINV(RAND(),Assumptions!$B$8,Assumptions!$B$9))</f>
        <v>0.150333665365685</v>
      </c>
      <c r="I310" s="8" t="n">
        <f aca="true">IF(C310="Bull",NORMINV(RAND(),Assumptions!$B$5,Assumptions!$B$6),NORMINV(RAND(),Assumptions!$B$8,Assumptions!$B$9))</f>
        <v>-0.145224182832789</v>
      </c>
      <c r="J310" s="8" t="n">
        <f aca="true">IF(D310="Bull",NORMINV(RAND(),Assumptions!$B$5,Assumptions!$B$6),NORMINV(RAND(),Assumptions!$B$8,Assumptions!$B$9))</f>
        <v>0.0816037718444064</v>
      </c>
      <c r="K310" s="8" t="n">
        <f aca="true">IF(E310="Bull",NORMINV(RAND(),Assumptions!$B$5,Assumptions!$B$6),NORMINV(RAND(),Assumptions!$B$8,Assumptions!$B$9))</f>
        <v>0.270754917508371</v>
      </c>
      <c r="L310" s="8" t="n">
        <f aca="true">IF(F310="Bull",NORMINV(RAND(),Assumptions!$B$5,Assumptions!$B$6),NORMINV(RAND(),Assumptions!$B$8,Assumptions!$B$9))</f>
        <v>0.00991037694469757</v>
      </c>
      <c r="M310" s="8" t="n">
        <f aca="true">IF(G310="Bull",NORMINV(RAND(),Assumptions!$B$5,Assumptions!$B$6),NORMINV(RAND(),Assumptions!$B$8,Assumptions!$B$9))</f>
        <v>0.185689404813328</v>
      </c>
      <c r="N310" s="8" t="n">
        <f aca="true">NORMINV(RAND(),Assumptions!$B$14,Assumptions!$B$15)</f>
        <v>0.058500203849731</v>
      </c>
      <c r="O310" s="8" t="n">
        <f aca="true">NORMINV(RAND(),Assumptions!$B$14,Assumptions!$B$15)</f>
        <v>0.0890315695930498</v>
      </c>
      <c r="P310" s="8" t="n">
        <f aca="true">NORMINV(RAND(),Assumptions!$B$14,Assumptions!$B$15)</f>
        <v>-0.0290209358933761</v>
      </c>
      <c r="Q310" s="8" t="n">
        <f aca="true">NORMINV(RAND(),Assumptions!$B$14,Assumptions!$B$15)</f>
        <v>0.0388485955529316</v>
      </c>
      <c r="R310" s="8" t="n">
        <f aca="true">NORMINV(RAND(),Assumptions!$B$14,Assumptions!$B$15)</f>
        <v>0.0859245060004138</v>
      </c>
      <c r="S310" s="8" t="n">
        <f aca="true">NORMINV(RAND(),Assumptions!$B$14,Assumptions!$B$15)</f>
        <v>0.0321116141802901</v>
      </c>
      <c r="T310" s="8" t="n">
        <f aca="false">Assumptions!$B$19*H310+(1-Assumptions!$B$19)*N310</f>
        <v>0.150333665365685</v>
      </c>
      <c r="U310" s="8" t="n">
        <f aca="false">Assumptions!$B$20*I310+(1-Assumptions!$B$20)*O310</f>
        <v>-0.145224182832789</v>
      </c>
      <c r="V310" s="8" t="n">
        <f aca="false">Assumptions!$B$21*J310+(1-Assumptions!$B$21)*P310</f>
        <v>0.0816037718444064</v>
      </c>
      <c r="W310" s="8" t="n">
        <f aca="false">Assumptions!$B$22*K310+(1-Assumptions!$B$22)*Q310</f>
        <v>0.270754917508371</v>
      </c>
      <c r="X310" s="8" t="n">
        <f aca="false">Assumptions!$B$23*L310+(1-Assumptions!$B$23)*R310</f>
        <v>0.0251132027558408</v>
      </c>
      <c r="Y310" s="8" t="n">
        <f aca="false">Assumptions!$B$24*M310+(1-Assumptions!$B$24)*S310</f>
        <v>0.124258288560113</v>
      </c>
      <c r="Z310" s="6" t="n">
        <f aca="false">Assumptions!$B$27*(1+T310)</f>
        <v>345100.099609706</v>
      </c>
      <c r="AA310" s="6" t="n">
        <f aca="false">(Z310+Assumptions!$B$28)*(1+U310)</f>
        <v>423199.592223454</v>
      </c>
      <c r="AB310" s="6" t="n">
        <f aca="false">AA310*(1+V310)</f>
        <v>457734.275191902</v>
      </c>
      <c r="AC310" s="6" t="n">
        <f aca="false">AB310*(1+W310)</f>
        <v>581668.081112239</v>
      </c>
      <c r="AD310" s="6" t="n">
        <f aca="false">AC310*(1+X310)</f>
        <v>596275.629569812</v>
      </c>
      <c r="AE310" s="6" t="n">
        <f aca="false">AD310*(1+Y310)</f>
        <v>670367.818810261</v>
      </c>
      <c r="AF310" s="6" t="n">
        <f aca="false">Z310</f>
        <v>345100.099609706</v>
      </c>
      <c r="AG310" s="6" t="n">
        <f aca="false">MAX(AF310,AA310)</f>
        <v>423199.592223454</v>
      </c>
      <c r="AH310" s="6" t="n">
        <f aca="false">MAX(AG310,AB310)</f>
        <v>457734.275191902</v>
      </c>
      <c r="AI310" s="6" t="n">
        <f aca="false">MAX(AH310,AC310)</f>
        <v>581668.081112239</v>
      </c>
      <c r="AJ310" s="6" t="n">
        <f aca="false">MAX(AI310,AD310)</f>
        <v>596275.629569812</v>
      </c>
      <c r="AK310" s="6" t="n">
        <f aca="false">MAX(AJ310,AE310)</f>
        <v>670367.818810261</v>
      </c>
      <c r="AL310" s="8" t="n">
        <f aca="false">MIN(Z310/AF310-1,AA310/AG310-1,AB310/AH310-1,AC310/AI310-1,AD310/AJ310-1,AE310/AK310-1)</f>
        <v>0</v>
      </c>
      <c r="AM310" s="6" t="n">
        <f aca="false">AE310-Assumptions!$B$35</f>
        <v>229103.822147757</v>
      </c>
    </row>
    <row r="311" customFormat="false" ht="15" hidden="false" customHeight="false" outlineLevel="0" collapsed="false">
      <c r="A311" s="0" t="n">
        <f aca="false">ROW()-1</f>
        <v>310</v>
      </c>
      <c r="B311" s="0" t="str">
        <f aca="true">IF(RAND()&lt;Assumptions!$B$11,"Bull","Bear")</f>
        <v>Bull</v>
      </c>
      <c r="C311" s="0" t="str">
        <f aca="true">IF(B311="Bull",IF(RAND()&lt;Assumptions!$B$7,"Bull","Bear"),IF(RAND()&lt;Assumptions!$B$10,"Bear","Bull"))</f>
        <v>Bull</v>
      </c>
      <c r="D311" s="0" t="str">
        <f aca="true">IF(C311="Bull",IF(RAND()&lt;Assumptions!$B$7,"Bull","Bear"),IF(RAND()&lt;Assumptions!$B$10,"Bear","Bull"))</f>
        <v>Bull</v>
      </c>
      <c r="E311" s="0" t="str">
        <f aca="true">IF(D311="Bull",IF(RAND()&lt;Assumptions!$B$7,"Bull","Bear"),IF(RAND()&lt;Assumptions!$B$10,"Bear","Bull"))</f>
        <v>Bear</v>
      </c>
      <c r="F311" s="0" t="str">
        <f aca="true">IF(E311="Bull",IF(RAND()&lt;Assumptions!$B$7,"Bull","Bear"),IF(RAND()&lt;Assumptions!$B$10,"Bear","Bull"))</f>
        <v>Bull</v>
      </c>
      <c r="G311" s="0" t="str">
        <f aca="true">IF(F311="Bull",IF(RAND()&lt;Assumptions!$B$7,"Bull","Bear"),IF(RAND()&lt;Assumptions!$B$10,"Bear","Bull"))</f>
        <v>Bear</v>
      </c>
      <c r="H311" s="8" t="n">
        <f aca="true">IF(B311="Bull",NORMINV(RAND(),Assumptions!$B$5,Assumptions!$B$6),NORMINV(RAND(),Assumptions!$B$8,Assumptions!$B$9))</f>
        <v>0.264122480607149</v>
      </c>
      <c r="I311" s="8" t="n">
        <f aca="true">IF(C311="Bull",NORMINV(RAND(),Assumptions!$B$5,Assumptions!$B$6),NORMINV(RAND(),Assumptions!$B$8,Assumptions!$B$9))</f>
        <v>0.336088170222588</v>
      </c>
      <c r="J311" s="8" t="n">
        <f aca="true">IF(D311="Bull",NORMINV(RAND(),Assumptions!$B$5,Assumptions!$B$6),NORMINV(RAND(),Assumptions!$B$8,Assumptions!$B$9))</f>
        <v>0.145757693409023</v>
      </c>
      <c r="K311" s="8" t="n">
        <f aca="true">IF(E311="Bull",NORMINV(RAND(),Assumptions!$B$5,Assumptions!$B$6),NORMINV(RAND(),Assumptions!$B$8,Assumptions!$B$9))</f>
        <v>0.0366386581699641</v>
      </c>
      <c r="L311" s="8" t="n">
        <f aca="true">IF(F311="Bull",NORMINV(RAND(),Assumptions!$B$5,Assumptions!$B$6),NORMINV(RAND(),Assumptions!$B$8,Assumptions!$B$9))</f>
        <v>0.0623657285066206</v>
      </c>
      <c r="M311" s="8" t="n">
        <f aca="true">IF(G311="Bull",NORMINV(RAND(),Assumptions!$B$5,Assumptions!$B$6),NORMINV(RAND(),Assumptions!$B$8,Assumptions!$B$9))</f>
        <v>0.0130122638411914</v>
      </c>
      <c r="N311" s="8" t="n">
        <f aca="true">NORMINV(RAND(),Assumptions!$B$14,Assumptions!$B$15)</f>
        <v>0.0470970408684346</v>
      </c>
      <c r="O311" s="8" t="n">
        <f aca="true">NORMINV(RAND(),Assumptions!$B$14,Assumptions!$B$15)</f>
        <v>0.0764276408681489</v>
      </c>
      <c r="P311" s="8" t="n">
        <f aca="true">NORMINV(RAND(),Assumptions!$B$14,Assumptions!$B$15)</f>
        <v>-0.00374466101495374</v>
      </c>
      <c r="Q311" s="8" t="n">
        <f aca="true">NORMINV(RAND(),Assumptions!$B$14,Assumptions!$B$15)</f>
        <v>0.0179191606757236</v>
      </c>
      <c r="R311" s="8" t="n">
        <f aca="true">NORMINV(RAND(),Assumptions!$B$14,Assumptions!$B$15)</f>
        <v>-0.0059265275368984</v>
      </c>
      <c r="S311" s="8" t="n">
        <f aca="true">NORMINV(RAND(),Assumptions!$B$14,Assumptions!$B$15)</f>
        <v>0.114612843984315</v>
      </c>
      <c r="T311" s="8" t="n">
        <f aca="false">Assumptions!$B$19*H311+(1-Assumptions!$B$19)*N311</f>
        <v>0.264122480607149</v>
      </c>
      <c r="U311" s="8" t="n">
        <f aca="false">Assumptions!$B$20*I311+(1-Assumptions!$B$20)*O311</f>
        <v>0.336088170222588</v>
      </c>
      <c r="V311" s="8" t="n">
        <f aca="false">Assumptions!$B$21*J311+(1-Assumptions!$B$21)*P311</f>
        <v>0.145757693409023</v>
      </c>
      <c r="W311" s="8" t="n">
        <f aca="false">Assumptions!$B$22*K311+(1-Assumptions!$B$22)*Q311</f>
        <v>0.0366386581699641</v>
      </c>
      <c r="X311" s="8" t="n">
        <f aca="false">Assumptions!$B$23*L311+(1-Assumptions!$B$23)*R311</f>
        <v>0.0487072772979168</v>
      </c>
      <c r="Y311" s="8" t="n">
        <f aca="false">Assumptions!$B$24*M311+(1-Assumptions!$B$24)*S311</f>
        <v>0.0536524958984409</v>
      </c>
      <c r="Z311" s="6" t="n">
        <f aca="false">Assumptions!$B$27*(1+T311)</f>
        <v>379236.744182145</v>
      </c>
      <c r="AA311" s="6" t="n">
        <f aca="false">(Z311+Assumptions!$B$28)*(1+U311)</f>
        <v>707106.953148882</v>
      </c>
      <c r="AB311" s="6" t="n">
        <f aca="false">AA311*(1+V311)</f>
        <v>810173.231633345</v>
      </c>
      <c r="AC311" s="6" t="n">
        <f aca="false">AB311*(1+W311)</f>
        <v>839856.891725614</v>
      </c>
      <c r="AD311" s="6" t="n">
        <f aca="false">AC311*(1+X311)</f>
        <v>880764.03424146</v>
      </c>
      <c r="AE311" s="6" t="n">
        <f aca="false">AD311*(1+Y311)</f>
        <v>928019.222976095</v>
      </c>
      <c r="AF311" s="6" t="n">
        <f aca="false">Z311</f>
        <v>379236.744182145</v>
      </c>
      <c r="AG311" s="6" t="n">
        <f aca="false">MAX(AF311,AA311)</f>
        <v>707106.953148882</v>
      </c>
      <c r="AH311" s="6" t="n">
        <f aca="false">MAX(AG311,AB311)</f>
        <v>810173.231633345</v>
      </c>
      <c r="AI311" s="6" t="n">
        <f aca="false">MAX(AH311,AC311)</f>
        <v>839856.891725614</v>
      </c>
      <c r="AJ311" s="6" t="n">
        <f aca="false">MAX(AI311,AD311)</f>
        <v>880764.03424146</v>
      </c>
      <c r="AK311" s="6" t="n">
        <f aca="false">MAX(AJ311,AE311)</f>
        <v>928019.222976095</v>
      </c>
      <c r="AL311" s="8" t="n">
        <f aca="false">MIN(Z311/AF311-1,AA311/AG311-1,AB311/AH311-1,AC311/AI311-1,AD311/AJ311-1,AE311/AK311-1)</f>
        <v>0</v>
      </c>
      <c r="AM311" s="6" t="n">
        <f aca="false">AE311-Assumptions!$B$35</f>
        <v>486755.226313591</v>
      </c>
    </row>
    <row r="312" customFormat="false" ht="15" hidden="false" customHeight="false" outlineLevel="0" collapsed="false">
      <c r="A312" s="0" t="n">
        <f aca="false">ROW()-1</f>
        <v>311</v>
      </c>
      <c r="B312" s="0" t="str">
        <f aca="true">IF(RAND()&lt;Assumptions!$B$11,"Bull","Bear")</f>
        <v>Bear</v>
      </c>
      <c r="C312" s="0" t="str">
        <f aca="true">IF(B312="Bull",IF(RAND()&lt;Assumptions!$B$7,"Bull","Bear"),IF(RAND()&lt;Assumptions!$B$10,"Bear","Bull"))</f>
        <v>Bull</v>
      </c>
      <c r="D312" s="0" t="str">
        <f aca="true">IF(C312="Bull",IF(RAND()&lt;Assumptions!$B$7,"Bull","Bear"),IF(RAND()&lt;Assumptions!$B$10,"Bear","Bull"))</f>
        <v>Bear</v>
      </c>
      <c r="E312" s="0" t="str">
        <f aca="true">IF(D312="Bull",IF(RAND()&lt;Assumptions!$B$7,"Bull","Bear"),IF(RAND()&lt;Assumptions!$B$10,"Bear","Bull"))</f>
        <v>Bear</v>
      </c>
      <c r="F312" s="0" t="str">
        <f aca="true">IF(E312="Bull",IF(RAND()&lt;Assumptions!$B$7,"Bull","Bear"),IF(RAND()&lt;Assumptions!$B$10,"Bear","Bull"))</f>
        <v>Bull</v>
      </c>
      <c r="G312" s="0" t="str">
        <f aca="true">IF(F312="Bull",IF(RAND()&lt;Assumptions!$B$7,"Bull","Bear"),IF(RAND()&lt;Assumptions!$B$10,"Bear","Bull"))</f>
        <v>Bull</v>
      </c>
      <c r="H312" s="8" t="n">
        <f aca="true">IF(B312="Bull",NORMINV(RAND(),Assumptions!$B$5,Assumptions!$B$6),NORMINV(RAND(),Assumptions!$B$8,Assumptions!$B$9))</f>
        <v>0.140179382567501</v>
      </c>
      <c r="I312" s="8" t="n">
        <f aca="true">IF(C312="Bull",NORMINV(RAND(),Assumptions!$B$5,Assumptions!$B$6),NORMINV(RAND(),Assumptions!$B$8,Assumptions!$B$9))</f>
        <v>0.174726696629368</v>
      </c>
      <c r="J312" s="8" t="n">
        <f aca="true">IF(D312="Bull",NORMINV(RAND(),Assumptions!$B$5,Assumptions!$B$6),NORMINV(RAND(),Assumptions!$B$8,Assumptions!$B$9))</f>
        <v>-0.000659554175894181</v>
      </c>
      <c r="K312" s="8" t="n">
        <f aca="true">IF(E312="Bull",NORMINV(RAND(),Assumptions!$B$5,Assumptions!$B$6),NORMINV(RAND(),Assumptions!$B$8,Assumptions!$B$9))</f>
        <v>-0.074355119210212</v>
      </c>
      <c r="L312" s="8" t="n">
        <f aca="true">IF(F312="Bull",NORMINV(RAND(),Assumptions!$B$5,Assumptions!$B$6),NORMINV(RAND(),Assumptions!$B$8,Assumptions!$B$9))</f>
        <v>0.104801348437996</v>
      </c>
      <c r="M312" s="8" t="n">
        <f aca="true">IF(G312="Bull",NORMINV(RAND(),Assumptions!$B$5,Assumptions!$B$6),NORMINV(RAND(),Assumptions!$B$8,Assumptions!$B$9))</f>
        <v>0.146097861889022</v>
      </c>
      <c r="N312" s="8" t="n">
        <f aca="true">NORMINV(RAND(),Assumptions!$B$14,Assumptions!$B$15)</f>
        <v>0.0288473306853367</v>
      </c>
      <c r="O312" s="8" t="n">
        <f aca="true">NORMINV(RAND(),Assumptions!$B$14,Assumptions!$B$15)</f>
        <v>0.0571587687759802</v>
      </c>
      <c r="P312" s="8" t="n">
        <f aca="true">NORMINV(RAND(),Assumptions!$B$14,Assumptions!$B$15)</f>
        <v>0.0250431543079301</v>
      </c>
      <c r="Q312" s="8" t="n">
        <f aca="true">NORMINV(RAND(),Assumptions!$B$14,Assumptions!$B$15)</f>
        <v>0.0332292155810537</v>
      </c>
      <c r="R312" s="8" t="n">
        <f aca="true">NORMINV(RAND(),Assumptions!$B$14,Assumptions!$B$15)</f>
        <v>0.0558346436577378</v>
      </c>
      <c r="S312" s="8" t="n">
        <f aca="true">NORMINV(RAND(),Assumptions!$B$14,Assumptions!$B$15)</f>
        <v>0.0685133549466353</v>
      </c>
      <c r="T312" s="8" t="n">
        <f aca="false">Assumptions!$B$19*H312+(1-Assumptions!$B$19)*N312</f>
        <v>0.140179382567501</v>
      </c>
      <c r="U312" s="8" t="n">
        <f aca="false">Assumptions!$B$20*I312+(1-Assumptions!$B$20)*O312</f>
        <v>0.174726696629368</v>
      </c>
      <c r="V312" s="8" t="n">
        <f aca="false">Assumptions!$B$21*J312+(1-Assumptions!$B$21)*P312</f>
        <v>-0.000659554175894181</v>
      </c>
      <c r="W312" s="8" t="n">
        <f aca="false">Assumptions!$B$22*K312+(1-Assumptions!$B$22)*Q312</f>
        <v>-0.074355119210212</v>
      </c>
      <c r="X312" s="8" t="n">
        <f aca="false">Assumptions!$B$23*L312+(1-Assumptions!$B$23)*R312</f>
        <v>0.0950080074819442</v>
      </c>
      <c r="Y312" s="8" t="n">
        <f aca="false">Assumptions!$B$24*M312+(1-Assumptions!$B$24)*S312</f>
        <v>0.115064059112067</v>
      </c>
      <c r="Z312" s="6" t="n">
        <f aca="false">Assumptions!$B$27*(1+T312)</f>
        <v>342053.81477025</v>
      </c>
      <c r="AA312" s="6" t="n">
        <f aca="false">(Z312+Assumptions!$B$28)*(1+U312)</f>
        <v>578028.752388935</v>
      </c>
      <c r="AB312" s="6" t="n">
        <f aca="false">AA312*(1+V312)</f>
        <v>577647.51111151</v>
      </c>
      <c r="AC312" s="6" t="n">
        <f aca="false">AB312*(1+W312)</f>
        <v>534696.461561332</v>
      </c>
      <c r="AD312" s="6" t="n">
        <f aca="false">AC312*(1+X312)</f>
        <v>585496.90698192</v>
      </c>
      <c r="AE312" s="6" t="n">
        <f aca="false">AD312*(1+Y312)</f>
        <v>652866.55769682</v>
      </c>
      <c r="AF312" s="6" t="n">
        <f aca="false">Z312</f>
        <v>342053.81477025</v>
      </c>
      <c r="AG312" s="6" t="n">
        <f aca="false">MAX(AF312,AA312)</f>
        <v>578028.752388935</v>
      </c>
      <c r="AH312" s="6" t="n">
        <f aca="false">MAX(AG312,AB312)</f>
        <v>578028.752388935</v>
      </c>
      <c r="AI312" s="6" t="n">
        <f aca="false">MAX(AH312,AC312)</f>
        <v>578028.752388935</v>
      </c>
      <c r="AJ312" s="6" t="n">
        <f aca="false">MAX(AI312,AD312)</f>
        <v>585496.90698192</v>
      </c>
      <c r="AK312" s="6" t="n">
        <f aca="false">MAX(AJ312,AE312)</f>
        <v>652866.55769682</v>
      </c>
      <c r="AL312" s="8" t="n">
        <f aca="false">MIN(Z312/AF312-1,AA312/AG312-1,AB312/AH312-1,AC312/AI312-1,AD312/AJ312-1,AE312/AK312-1)</f>
        <v>-0.0749656321567318</v>
      </c>
      <c r="AM312" s="6" t="n">
        <f aca="false">AE312-Assumptions!$B$35</f>
        <v>211602.561034316</v>
      </c>
    </row>
    <row r="313" customFormat="false" ht="15" hidden="false" customHeight="false" outlineLevel="0" collapsed="false">
      <c r="A313" s="0" t="n">
        <f aca="false">ROW()-1</f>
        <v>312</v>
      </c>
      <c r="B313" s="0" t="str">
        <f aca="true">IF(RAND()&lt;Assumptions!$B$11,"Bull","Bear")</f>
        <v>Bull</v>
      </c>
      <c r="C313" s="0" t="str">
        <f aca="true">IF(B313="Bull",IF(RAND()&lt;Assumptions!$B$7,"Bull","Bear"),IF(RAND()&lt;Assumptions!$B$10,"Bear","Bull"))</f>
        <v>Bull</v>
      </c>
      <c r="D313" s="0" t="str">
        <f aca="true">IF(C313="Bull",IF(RAND()&lt;Assumptions!$B$7,"Bull","Bear"),IF(RAND()&lt;Assumptions!$B$10,"Bear","Bull"))</f>
        <v>Bull</v>
      </c>
      <c r="E313" s="0" t="str">
        <f aca="true">IF(D313="Bull",IF(RAND()&lt;Assumptions!$B$7,"Bull","Bear"),IF(RAND()&lt;Assumptions!$B$10,"Bear","Bull"))</f>
        <v>Bull</v>
      </c>
      <c r="F313" s="0" t="str">
        <f aca="true">IF(E313="Bull",IF(RAND()&lt;Assumptions!$B$7,"Bull","Bear"),IF(RAND()&lt;Assumptions!$B$10,"Bear","Bull"))</f>
        <v>Bull</v>
      </c>
      <c r="G313" s="0" t="str">
        <f aca="true">IF(F313="Bull",IF(RAND()&lt;Assumptions!$B$7,"Bull","Bear"),IF(RAND()&lt;Assumptions!$B$10,"Bear","Bull"))</f>
        <v>Bull</v>
      </c>
      <c r="H313" s="8" t="n">
        <f aca="true">IF(B313="Bull",NORMINV(RAND(),Assumptions!$B$5,Assumptions!$B$6),NORMINV(RAND(),Assumptions!$B$8,Assumptions!$B$9))</f>
        <v>0.120580033985095</v>
      </c>
      <c r="I313" s="8" t="n">
        <f aca="true">IF(C313="Bull",NORMINV(RAND(),Assumptions!$B$5,Assumptions!$B$6),NORMINV(RAND(),Assumptions!$B$8,Assumptions!$B$9))</f>
        <v>0.379170743035186</v>
      </c>
      <c r="J313" s="8" t="n">
        <f aca="true">IF(D313="Bull",NORMINV(RAND(),Assumptions!$B$5,Assumptions!$B$6),NORMINV(RAND(),Assumptions!$B$8,Assumptions!$B$9))</f>
        <v>0.198973308222095</v>
      </c>
      <c r="K313" s="8" t="n">
        <f aca="true">IF(E313="Bull",NORMINV(RAND(),Assumptions!$B$5,Assumptions!$B$6),NORMINV(RAND(),Assumptions!$B$8,Assumptions!$B$9))</f>
        <v>0.0637258608596439</v>
      </c>
      <c r="L313" s="8" t="n">
        <f aca="true">IF(F313="Bull",NORMINV(RAND(),Assumptions!$B$5,Assumptions!$B$6),NORMINV(RAND(),Assumptions!$B$8,Assumptions!$B$9))</f>
        <v>0.133114251736401</v>
      </c>
      <c r="M313" s="8" t="n">
        <f aca="true">IF(G313="Bull",NORMINV(RAND(),Assumptions!$B$5,Assumptions!$B$6),NORMINV(RAND(),Assumptions!$B$8,Assumptions!$B$9))</f>
        <v>0.245917270544781</v>
      </c>
      <c r="N313" s="8" t="n">
        <f aca="true">NORMINV(RAND(),Assumptions!$B$14,Assumptions!$B$15)</f>
        <v>0.0194170740348407</v>
      </c>
      <c r="O313" s="8" t="n">
        <f aca="true">NORMINV(RAND(),Assumptions!$B$14,Assumptions!$B$15)</f>
        <v>0.023539033302619</v>
      </c>
      <c r="P313" s="8" t="n">
        <f aca="true">NORMINV(RAND(),Assumptions!$B$14,Assumptions!$B$15)</f>
        <v>0.0370768880794683</v>
      </c>
      <c r="Q313" s="8" t="n">
        <f aca="true">NORMINV(RAND(),Assumptions!$B$14,Assumptions!$B$15)</f>
        <v>0.0597417457750908</v>
      </c>
      <c r="R313" s="8" t="n">
        <f aca="true">NORMINV(RAND(),Assumptions!$B$14,Assumptions!$B$15)</f>
        <v>0.0974523833370699</v>
      </c>
      <c r="S313" s="8" t="n">
        <f aca="true">NORMINV(RAND(),Assumptions!$B$14,Assumptions!$B$15)</f>
        <v>0.0346619969803436</v>
      </c>
      <c r="T313" s="8" t="n">
        <f aca="false">Assumptions!$B$19*H313+(1-Assumptions!$B$19)*N313</f>
        <v>0.120580033985095</v>
      </c>
      <c r="U313" s="8" t="n">
        <f aca="false">Assumptions!$B$20*I313+(1-Assumptions!$B$20)*O313</f>
        <v>0.379170743035186</v>
      </c>
      <c r="V313" s="8" t="n">
        <f aca="false">Assumptions!$B$21*J313+(1-Assumptions!$B$21)*P313</f>
        <v>0.198973308222095</v>
      </c>
      <c r="W313" s="8" t="n">
        <f aca="false">Assumptions!$B$22*K313+(1-Assumptions!$B$22)*Q313</f>
        <v>0.0637258608596439</v>
      </c>
      <c r="X313" s="8" t="n">
        <f aca="false">Assumptions!$B$23*L313+(1-Assumptions!$B$23)*R313</f>
        <v>0.125981878056535</v>
      </c>
      <c r="Y313" s="8" t="n">
        <f aca="false">Assumptions!$B$24*M313+(1-Assumptions!$B$24)*S313</f>
        <v>0.161415161119006</v>
      </c>
      <c r="Z313" s="6" t="n">
        <f aca="false">Assumptions!$B$27*(1+T313)</f>
        <v>336174.010195528</v>
      </c>
      <c r="AA313" s="6" t="n">
        <f aca="false">(Z313+Assumptions!$B$28)*(1+U313)</f>
        <v>670516.970885763</v>
      </c>
      <c r="AB313" s="6" t="n">
        <f aca="false">AA313*(1+V313)</f>
        <v>803931.950801961</v>
      </c>
      <c r="AC313" s="6" t="n">
        <f aca="false">AB313*(1+W313)</f>
        <v>855163.206439389</v>
      </c>
      <c r="AD313" s="6" t="n">
        <f aca="false">AC313*(1+X313)</f>
        <v>962898.273231472</v>
      </c>
      <c r="AE313" s="6" t="n">
        <f aca="false">AD313*(1+Y313)</f>
        <v>1118324.65314634</v>
      </c>
      <c r="AF313" s="6" t="n">
        <f aca="false">Z313</f>
        <v>336174.010195528</v>
      </c>
      <c r="AG313" s="6" t="n">
        <f aca="false">MAX(AF313,AA313)</f>
        <v>670516.970885763</v>
      </c>
      <c r="AH313" s="6" t="n">
        <f aca="false">MAX(AG313,AB313)</f>
        <v>803931.950801961</v>
      </c>
      <c r="AI313" s="6" t="n">
        <f aca="false">MAX(AH313,AC313)</f>
        <v>855163.206439389</v>
      </c>
      <c r="AJ313" s="6" t="n">
        <f aca="false">MAX(AI313,AD313)</f>
        <v>962898.273231472</v>
      </c>
      <c r="AK313" s="6" t="n">
        <f aca="false">MAX(AJ313,AE313)</f>
        <v>1118324.65314634</v>
      </c>
      <c r="AL313" s="8" t="n">
        <f aca="false">MIN(Z313/AF313-1,AA313/AG313-1,AB313/AH313-1,AC313/AI313-1,AD313/AJ313-1,AE313/AK313-1)</f>
        <v>0</v>
      </c>
      <c r="AM313" s="6" t="n">
        <f aca="false">AE313-Assumptions!$B$35</f>
        <v>677060.656483839</v>
      </c>
    </row>
    <row r="314" customFormat="false" ht="15" hidden="false" customHeight="false" outlineLevel="0" collapsed="false">
      <c r="A314" s="0" t="n">
        <f aca="false">ROW()-1</f>
        <v>313</v>
      </c>
      <c r="B314" s="0" t="str">
        <f aca="true">IF(RAND()&lt;Assumptions!$B$11,"Bull","Bear")</f>
        <v>Bear</v>
      </c>
      <c r="C314" s="0" t="str">
        <f aca="true">IF(B314="Bull",IF(RAND()&lt;Assumptions!$B$7,"Bull","Bear"),IF(RAND()&lt;Assumptions!$B$10,"Bear","Bull"))</f>
        <v>Bull</v>
      </c>
      <c r="D314" s="0" t="str">
        <f aca="true">IF(C314="Bull",IF(RAND()&lt;Assumptions!$B$7,"Bull","Bear"),IF(RAND()&lt;Assumptions!$B$10,"Bear","Bull"))</f>
        <v>Bull</v>
      </c>
      <c r="E314" s="0" t="str">
        <f aca="true">IF(D314="Bull",IF(RAND()&lt;Assumptions!$B$7,"Bull","Bear"),IF(RAND()&lt;Assumptions!$B$10,"Bear","Bull"))</f>
        <v>Bull</v>
      </c>
      <c r="F314" s="0" t="str">
        <f aca="true">IF(E314="Bull",IF(RAND()&lt;Assumptions!$B$7,"Bull","Bear"),IF(RAND()&lt;Assumptions!$B$10,"Bear","Bull"))</f>
        <v>Bull</v>
      </c>
      <c r="G314" s="0" t="str">
        <f aca="true">IF(F314="Bull",IF(RAND()&lt;Assumptions!$B$7,"Bull","Bear"),IF(RAND()&lt;Assumptions!$B$10,"Bear","Bull"))</f>
        <v>Bull</v>
      </c>
      <c r="H314" s="8" t="n">
        <f aca="true">IF(B314="Bull",NORMINV(RAND(),Assumptions!$B$5,Assumptions!$B$6),NORMINV(RAND(),Assumptions!$B$8,Assumptions!$B$9))</f>
        <v>0.140694489877233</v>
      </c>
      <c r="I314" s="8" t="n">
        <f aca="true">IF(C314="Bull",NORMINV(RAND(),Assumptions!$B$5,Assumptions!$B$6),NORMINV(RAND(),Assumptions!$B$8,Assumptions!$B$9))</f>
        <v>0.143197256813034</v>
      </c>
      <c r="J314" s="8" t="n">
        <f aca="true">IF(D314="Bull",NORMINV(RAND(),Assumptions!$B$5,Assumptions!$B$6),NORMINV(RAND(),Assumptions!$B$8,Assumptions!$B$9))</f>
        <v>0.237052317900189</v>
      </c>
      <c r="K314" s="8" t="n">
        <f aca="true">IF(E314="Bull",NORMINV(RAND(),Assumptions!$B$5,Assumptions!$B$6),NORMINV(RAND(),Assumptions!$B$8,Assumptions!$B$9))</f>
        <v>0.18123518559397</v>
      </c>
      <c r="L314" s="8" t="n">
        <f aca="true">IF(F314="Bull",NORMINV(RAND(),Assumptions!$B$5,Assumptions!$B$6),NORMINV(RAND(),Assumptions!$B$8,Assumptions!$B$9))</f>
        <v>0.161703188752499</v>
      </c>
      <c r="M314" s="8" t="n">
        <f aca="true">IF(G314="Bull",NORMINV(RAND(),Assumptions!$B$5,Assumptions!$B$6),NORMINV(RAND(),Assumptions!$B$8,Assumptions!$B$9))</f>
        <v>0.247498681249695</v>
      </c>
      <c r="N314" s="8" t="n">
        <f aca="true">NORMINV(RAND(),Assumptions!$B$14,Assumptions!$B$15)</f>
        <v>0.0358631289190497</v>
      </c>
      <c r="O314" s="8" t="n">
        <f aca="true">NORMINV(RAND(),Assumptions!$B$14,Assumptions!$B$15)</f>
        <v>0.0280880402650367</v>
      </c>
      <c r="P314" s="8" t="n">
        <f aca="true">NORMINV(RAND(),Assumptions!$B$14,Assumptions!$B$15)</f>
        <v>0.0613875999520235</v>
      </c>
      <c r="Q314" s="8" t="n">
        <f aca="true">NORMINV(RAND(),Assumptions!$B$14,Assumptions!$B$15)</f>
        <v>0.0386107541074961</v>
      </c>
      <c r="R314" s="8" t="n">
        <f aca="true">NORMINV(RAND(),Assumptions!$B$14,Assumptions!$B$15)</f>
        <v>0.0161829623752904</v>
      </c>
      <c r="S314" s="8" t="n">
        <f aca="true">NORMINV(RAND(),Assumptions!$B$14,Assumptions!$B$15)</f>
        <v>0.0609536679319029</v>
      </c>
      <c r="T314" s="8" t="n">
        <f aca="false">Assumptions!$B$19*H314+(1-Assumptions!$B$19)*N314</f>
        <v>0.140694489877233</v>
      </c>
      <c r="U314" s="8" t="n">
        <f aca="false">Assumptions!$B$20*I314+(1-Assumptions!$B$20)*O314</f>
        <v>0.143197256813034</v>
      </c>
      <c r="V314" s="8" t="n">
        <f aca="false">Assumptions!$B$21*J314+(1-Assumptions!$B$21)*P314</f>
        <v>0.237052317900189</v>
      </c>
      <c r="W314" s="8" t="n">
        <f aca="false">Assumptions!$B$22*K314+(1-Assumptions!$B$22)*Q314</f>
        <v>0.18123518559397</v>
      </c>
      <c r="X314" s="8" t="n">
        <f aca="false">Assumptions!$B$23*L314+(1-Assumptions!$B$23)*R314</f>
        <v>0.132599143477057</v>
      </c>
      <c r="Y314" s="8" t="n">
        <f aca="false">Assumptions!$B$24*M314+(1-Assumptions!$B$24)*S314</f>
        <v>0.172880675922578</v>
      </c>
      <c r="Z314" s="6" t="n">
        <f aca="false">Assumptions!$B$27*(1+T314)</f>
        <v>342208.34696317</v>
      </c>
      <c r="AA314" s="6" t="n">
        <f aca="false">(Z314+Assumptions!$B$28)*(1+U314)</f>
        <v>562691.232028774</v>
      </c>
      <c r="AB314" s="6" t="n">
        <f aca="false">AA314*(1+V314)</f>
        <v>696078.492843307</v>
      </c>
      <c r="AC314" s="6" t="n">
        <f aca="false">AB314*(1+W314)</f>
        <v>822232.407681736</v>
      </c>
      <c r="AD314" s="6" t="n">
        <f aca="false">AC314*(1+X314)</f>
        <v>931259.720679412</v>
      </c>
      <c r="AE314" s="6" t="n">
        <f aca="false">AD314*(1+Y314)</f>
        <v>1092256.53064994</v>
      </c>
      <c r="AF314" s="6" t="n">
        <f aca="false">Z314</f>
        <v>342208.34696317</v>
      </c>
      <c r="AG314" s="6" t="n">
        <f aca="false">MAX(AF314,AA314)</f>
        <v>562691.232028774</v>
      </c>
      <c r="AH314" s="6" t="n">
        <f aca="false">MAX(AG314,AB314)</f>
        <v>696078.492843307</v>
      </c>
      <c r="AI314" s="6" t="n">
        <f aca="false">MAX(AH314,AC314)</f>
        <v>822232.407681736</v>
      </c>
      <c r="AJ314" s="6" t="n">
        <f aca="false">MAX(AI314,AD314)</f>
        <v>931259.720679412</v>
      </c>
      <c r="AK314" s="6" t="n">
        <f aca="false">MAX(AJ314,AE314)</f>
        <v>1092256.53064994</v>
      </c>
      <c r="AL314" s="8" t="n">
        <f aca="false">MIN(Z314/AF314-1,AA314/AG314-1,AB314/AH314-1,AC314/AI314-1,AD314/AJ314-1,AE314/AK314-1)</f>
        <v>0</v>
      </c>
      <c r="AM314" s="6" t="n">
        <f aca="false">AE314-Assumptions!$B$35</f>
        <v>650992.533987437</v>
      </c>
    </row>
    <row r="315" customFormat="false" ht="15" hidden="false" customHeight="false" outlineLevel="0" collapsed="false">
      <c r="A315" s="0" t="n">
        <f aca="false">ROW()-1</f>
        <v>314</v>
      </c>
      <c r="B315" s="0" t="str">
        <f aca="true">IF(RAND()&lt;Assumptions!$B$11,"Bull","Bear")</f>
        <v>Bull</v>
      </c>
      <c r="C315" s="0" t="str">
        <f aca="true">IF(B315="Bull",IF(RAND()&lt;Assumptions!$B$7,"Bull","Bear"),IF(RAND()&lt;Assumptions!$B$10,"Bear","Bull"))</f>
        <v>Bull</v>
      </c>
      <c r="D315" s="0" t="str">
        <f aca="true">IF(C315="Bull",IF(RAND()&lt;Assumptions!$B$7,"Bull","Bear"),IF(RAND()&lt;Assumptions!$B$10,"Bear","Bull"))</f>
        <v>Bear</v>
      </c>
      <c r="E315" s="0" t="str">
        <f aca="true">IF(D315="Bull",IF(RAND()&lt;Assumptions!$B$7,"Bull","Bear"),IF(RAND()&lt;Assumptions!$B$10,"Bear","Bull"))</f>
        <v>Bear</v>
      </c>
      <c r="F315" s="0" t="str">
        <f aca="true">IF(E315="Bull",IF(RAND()&lt;Assumptions!$B$7,"Bull","Bear"),IF(RAND()&lt;Assumptions!$B$10,"Bear","Bull"))</f>
        <v>Bull</v>
      </c>
      <c r="G315" s="0" t="str">
        <f aca="true">IF(F315="Bull",IF(RAND()&lt;Assumptions!$B$7,"Bull","Bear"),IF(RAND()&lt;Assumptions!$B$10,"Bear","Bull"))</f>
        <v>Bull</v>
      </c>
      <c r="H315" s="8" t="n">
        <f aca="true">IF(B315="Bull",NORMINV(RAND(),Assumptions!$B$5,Assumptions!$B$6),NORMINV(RAND(),Assumptions!$B$8,Assumptions!$B$9))</f>
        <v>0.273085422087865</v>
      </c>
      <c r="I315" s="8" t="n">
        <f aca="true">IF(C315="Bull",NORMINV(RAND(),Assumptions!$B$5,Assumptions!$B$6),NORMINV(RAND(),Assumptions!$B$8,Assumptions!$B$9))</f>
        <v>0.0622050647607908</v>
      </c>
      <c r="J315" s="8" t="n">
        <f aca="true">IF(D315="Bull",NORMINV(RAND(),Assumptions!$B$5,Assumptions!$B$6),NORMINV(RAND(),Assumptions!$B$8,Assumptions!$B$9))</f>
        <v>0.28980440206742</v>
      </c>
      <c r="K315" s="8" t="n">
        <f aca="true">IF(E315="Bull",NORMINV(RAND(),Assumptions!$B$5,Assumptions!$B$6),NORMINV(RAND(),Assumptions!$B$8,Assumptions!$B$9))</f>
        <v>0.299681076750341</v>
      </c>
      <c r="L315" s="8" t="n">
        <f aca="true">IF(F315="Bull",NORMINV(RAND(),Assumptions!$B$5,Assumptions!$B$6),NORMINV(RAND(),Assumptions!$B$8,Assumptions!$B$9))</f>
        <v>0.240625687250945</v>
      </c>
      <c r="M315" s="8" t="n">
        <f aca="true">IF(G315="Bull",NORMINV(RAND(),Assumptions!$B$5,Assumptions!$B$6),NORMINV(RAND(),Assumptions!$B$8,Assumptions!$B$9))</f>
        <v>-0.033491053475821</v>
      </c>
      <c r="N315" s="8" t="n">
        <f aca="true">NORMINV(RAND(),Assumptions!$B$14,Assumptions!$B$15)</f>
        <v>0.0238835814217179</v>
      </c>
      <c r="O315" s="8" t="n">
        <f aca="true">NORMINV(RAND(),Assumptions!$B$14,Assumptions!$B$15)</f>
        <v>0.0712994629611201</v>
      </c>
      <c r="P315" s="8" t="n">
        <f aca="true">NORMINV(RAND(),Assumptions!$B$14,Assumptions!$B$15)</f>
        <v>0.0750775605964048</v>
      </c>
      <c r="Q315" s="8" t="n">
        <f aca="true">NORMINV(RAND(),Assumptions!$B$14,Assumptions!$B$15)</f>
        <v>0.0387533939422353</v>
      </c>
      <c r="R315" s="8" t="n">
        <f aca="true">NORMINV(RAND(),Assumptions!$B$14,Assumptions!$B$15)</f>
        <v>0.0545184099406356</v>
      </c>
      <c r="S315" s="8" t="n">
        <f aca="true">NORMINV(RAND(),Assumptions!$B$14,Assumptions!$B$15)</f>
        <v>0.0485046311909138</v>
      </c>
      <c r="T315" s="8" t="n">
        <f aca="false">Assumptions!$B$19*H315+(1-Assumptions!$B$19)*N315</f>
        <v>0.273085422087865</v>
      </c>
      <c r="U315" s="8" t="n">
        <f aca="false">Assumptions!$B$20*I315+(1-Assumptions!$B$20)*O315</f>
        <v>0.0622050647607908</v>
      </c>
      <c r="V315" s="8" t="n">
        <f aca="false">Assumptions!$B$21*J315+(1-Assumptions!$B$21)*P315</f>
        <v>0.28980440206742</v>
      </c>
      <c r="W315" s="8" t="n">
        <f aca="false">Assumptions!$B$22*K315+(1-Assumptions!$B$22)*Q315</f>
        <v>0.299681076750341</v>
      </c>
      <c r="X315" s="8" t="n">
        <f aca="false">Assumptions!$B$23*L315+(1-Assumptions!$B$23)*R315</f>
        <v>0.203404231788883</v>
      </c>
      <c r="Y315" s="8" t="n">
        <f aca="false">Assumptions!$B$24*M315+(1-Assumptions!$B$24)*S315</f>
        <v>-0.000692779609127118</v>
      </c>
      <c r="Z315" s="6" t="n">
        <f aca="false">Assumptions!$B$27*(1+T315)</f>
        <v>381925.62662636</v>
      </c>
      <c r="AA315" s="6" t="n">
        <f aca="false">(Z315+Assumptions!$B$28)*(1+U315)</f>
        <v>565014.094678577</v>
      </c>
      <c r="AB315" s="6" t="n">
        <f aca="false">AA315*(1+V315)</f>
        <v>728757.666546566</v>
      </c>
      <c r="AC315" s="6" t="n">
        <f aca="false">AB315*(1+W315)</f>
        <v>947152.548747307</v>
      </c>
      <c r="AD315" s="6" t="n">
        <f aca="false">AC315*(1+X315)</f>
        <v>1139807.38531214</v>
      </c>
      <c r="AE315" s="6" t="n">
        <f aca="false">AD315*(1+Y315)</f>
        <v>1139017.74999726</v>
      </c>
      <c r="AF315" s="6" t="n">
        <f aca="false">Z315</f>
        <v>381925.62662636</v>
      </c>
      <c r="AG315" s="6" t="n">
        <f aca="false">MAX(AF315,AA315)</f>
        <v>565014.094678577</v>
      </c>
      <c r="AH315" s="6" t="n">
        <f aca="false">MAX(AG315,AB315)</f>
        <v>728757.666546566</v>
      </c>
      <c r="AI315" s="6" t="n">
        <f aca="false">MAX(AH315,AC315)</f>
        <v>947152.548747307</v>
      </c>
      <c r="AJ315" s="6" t="n">
        <f aca="false">MAX(AI315,AD315)</f>
        <v>1139807.38531214</v>
      </c>
      <c r="AK315" s="6" t="n">
        <f aca="false">MAX(AJ315,AE315)</f>
        <v>1139807.38531214</v>
      </c>
      <c r="AL315" s="8" t="n">
        <f aca="false">MIN(Z315/AF315-1,AA315/AG315-1,AB315/AH315-1,AC315/AI315-1,AD315/AJ315-1,AE315/AK315-1)</f>
        <v>-0.000692779609127281</v>
      </c>
      <c r="AM315" s="6" t="n">
        <f aca="false">AE315-Assumptions!$B$35</f>
        <v>697753.753334755</v>
      </c>
    </row>
    <row r="316" customFormat="false" ht="15" hidden="false" customHeight="false" outlineLevel="0" collapsed="false">
      <c r="A316" s="0" t="n">
        <f aca="false">ROW()-1</f>
        <v>315</v>
      </c>
      <c r="B316" s="0" t="str">
        <f aca="true">IF(RAND()&lt;Assumptions!$B$11,"Bull","Bear")</f>
        <v>Bull</v>
      </c>
      <c r="C316" s="0" t="str">
        <f aca="true">IF(B316="Bull",IF(RAND()&lt;Assumptions!$B$7,"Bull","Bear"),IF(RAND()&lt;Assumptions!$B$10,"Bear","Bull"))</f>
        <v>Bull</v>
      </c>
      <c r="D316" s="0" t="str">
        <f aca="true">IF(C316="Bull",IF(RAND()&lt;Assumptions!$B$7,"Bull","Bear"),IF(RAND()&lt;Assumptions!$B$10,"Bear","Bull"))</f>
        <v>Bull</v>
      </c>
      <c r="E316" s="0" t="str">
        <f aca="true">IF(D316="Bull",IF(RAND()&lt;Assumptions!$B$7,"Bull","Bear"),IF(RAND()&lt;Assumptions!$B$10,"Bear","Bull"))</f>
        <v>Bull</v>
      </c>
      <c r="F316" s="0" t="str">
        <f aca="true">IF(E316="Bull",IF(RAND()&lt;Assumptions!$B$7,"Bull","Bear"),IF(RAND()&lt;Assumptions!$B$10,"Bear","Bull"))</f>
        <v>Bull</v>
      </c>
      <c r="G316" s="0" t="str">
        <f aca="true">IF(F316="Bull",IF(RAND()&lt;Assumptions!$B$7,"Bull","Bear"),IF(RAND()&lt;Assumptions!$B$10,"Bear","Bull"))</f>
        <v>Bull</v>
      </c>
      <c r="H316" s="8" t="n">
        <f aca="true">IF(B316="Bull",NORMINV(RAND(),Assumptions!$B$5,Assumptions!$B$6),NORMINV(RAND(),Assumptions!$B$8,Assumptions!$B$9))</f>
        <v>0.180153949998896</v>
      </c>
      <c r="I316" s="8" t="n">
        <f aca="true">IF(C316="Bull",NORMINV(RAND(),Assumptions!$B$5,Assumptions!$B$6),NORMINV(RAND(),Assumptions!$B$8,Assumptions!$B$9))</f>
        <v>0.00576896490845741</v>
      </c>
      <c r="J316" s="8" t="n">
        <f aca="true">IF(D316="Bull",NORMINV(RAND(),Assumptions!$B$5,Assumptions!$B$6),NORMINV(RAND(),Assumptions!$B$8,Assumptions!$B$9))</f>
        <v>0.0641729788019847</v>
      </c>
      <c r="K316" s="8" t="n">
        <f aca="true">IF(E316="Bull",NORMINV(RAND(),Assumptions!$B$5,Assumptions!$B$6),NORMINV(RAND(),Assumptions!$B$8,Assumptions!$B$9))</f>
        <v>0.179113934179612</v>
      </c>
      <c r="L316" s="8" t="n">
        <f aca="true">IF(F316="Bull",NORMINV(RAND(),Assumptions!$B$5,Assumptions!$B$6),NORMINV(RAND(),Assumptions!$B$8,Assumptions!$B$9))</f>
        <v>0.22534306064862</v>
      </c>
      <c r="M316" s="8" t="n">
        <f aca="true">IF(G316="Bull",NORMINV(RAND(),Assumptions!$B$5,Assumptions!$B$6),NORMINV(RAND(),Assumptions!$B$8,Assumptions!$B$9))</f>
        <v>0.21788179291113</v>
      </c>
      <c r="N316" s="8" t="n">
        <f aca="true">NORMINV(RAND(),Assumptions!$B$14,Assumptions!$B$15)</f>
        <v>0.0929588227503682</v>
      </c>
      <c r="O316" s="8" t="n">
        <f aca="true">NORMINV(RAND(),Assumptions!$B$14,Assumptions!$B$15)</f>
        <v>0.0120389516073077</v>
      </c>
      <c r="P316" s="8" t="n">
        <f aca="true">NORMINV(RAND(),Assumptions!$B$14,Assumptions!$B$15)</f>
        <v>0.033413408671434</v>
      </c>
      <c r="Q316" s="8" t="n">
        <f aca="true">NORMINV(RAND(),Assumptions!$B$14,Assumptions!$B$15)</f>
        <v>0.0689987732827247</v>
      </c>
      <c r="R316" s="8" t="n">
        <f aca="true">NORMINV(RAND(),Assumptions!$B$14,Assumptions!$B$15)</f>
        <v>0.0451245243851134</v>
      </c>
      <c r="S316" s="8" t="n">
        <f aca="true">NORMINV(RAND(),Assumptions!$B$14,Assumptions!$B$15)</f>
        <v>0.0506269727968895</v>
      </c>
      <c r="T316" s="8" t="n">
        <f aca="false">Assumptions!$B$19*H316+(1-Assumptions!$B$19)*N316</f>
        <v>0.180153949998896</v>
      </c>
      <c r="U316" s="8" t="n">
        <f aca="false">Assumptions!$B$20*I316+(1-Assumptions!$B$20)*O316</f>
        <v>0.00576896490845741</v>
      </c>
      <c r="V316" s="8" t="n">
        <f aca="false">Assumptions!$B$21*J316+(1-Assumptions!$B$21)*P316</f>
        <v>0.0641729788019847</v>
      </c>
      <c r="W316" s="8" t="n">
        <f aca="false">Assumptions!$B$22*K316+(1-Assumptions!$B$22)*Q316</f>
        <v>0.179113934179612</v>
      </c>
      <c r="X316" s="8" t="n">
        <f aca="false">Assumptions!$B$23*L316+(1-Assumptions!$B$23)*R316</f>
        <v>0.189299353395919</v>
      </c>
      <c r="Y316" s="8" t="n">
        <f aca="false">Assumptions!$B$24*M316+(1-Assumptions!$B$24)*S316</f>
        <v>0.150979864865434</v>
      </c>
      <c r="Z316" s="6" t="n">
        <f aca="false">Assumptions!$B$27*(1+T316)</f>
        <v>354046.184999669</v>
      </c>
      <c r="AA316" s="6" t="n">
        <f aca="false">(Z316+Assumptions!$B$28)*(1+U316)</f>
        <v>506954.009753174</v>
      </c>
      <c r="AB316" s="6" t="n">
        <f aca="false">AA316*(1+V316)</f>
        <v>539486.758674645</v>
      </c>
      <c r="AC316" s="6" t="n">
        <f aca="false">AB316*(1+W316)</f>
        <v>636116.354458668</v>
      </c>
      <c r="AD316" s="6" t="n">
        <f aca="false">AC316*(1+X316)</f>
        <v>756532.769042263</v>
      </c>
      <c r="AE316" s="6" t="n">
        <f aca="false">AD316*(1+Y316)</f>
        <v>870753.984278536</v>
      </c>
      <c r="AF316" s="6" t="n">
        <f aca="false">Z316</f>
        <v>354046.184999669</v>
      </c>
      <c r="AG316" s="6" t="n">
        <f aca="false">MAX(AF316,AA316)</f>
        <v>506954.009753174</v>
      </c>
      <c r="AH316" s="6" t="n">
        <f aca="false">MAX(AG316,AB316)</f>
        <v>539486.758674645</v>
      </c>
      <c r="AI316" s="6" t="n">
        <f aca="false">MAX(AH316,AC316)</f>
        <v>636116.354458668</v>
      </c>
      <c r="AJ316" s="6" t="n">
        <f aca="false">MAX(AI316,AD316)</f>
        <v>756532.769042263</v>
      </c>
      <c r="AK316" s="6" t="n">
        <f aca="false">MAX(AJ316,AE316)</f>
        <v>870753.984278536</v>
      </c>
      <c r="AL316" s="8" t="n">
        <f aca="false">MIN(Z316/AF316-1,AA316/AG316-1,AB316/AH316-1,AC316/AI316-1,AD316/AJ316-1,AE316/AK316-1)</f>
        <v>0</v>
      </c>
      <c r="AM316" s="6" t="n">
        <f aca="false">AE316-Assumptions!$B$35</f>
        <v>429489.987616032</v>
      </c>
    </row>
    <row r="317" customFormat="false" ht="15" hidden="false" customHeight="false" outlineLevel="0" collapsed="false">
      <c r="A317" s="0" t="n">
        <f aca="false">ROW()-1</f>
        <v>316</v>
      </c>
      <c r="B317" s="0" t="str">
        <f aca="true">IF(RAND()&lt;Assumptions!$B$11,"Bull","Bear")</f>
        <v>Bull</v>
      </c>
      <c r="C317" s="0" t="str">
        <f aca="true">IF(B317="Bull",IF(RAND()&lt;Assumptions!$B$7,"Bull","Bear"),IF(RAND()&lt;Assumptions!$B$10,"Bear","Bull"))</f>
        <v>Bull</v>
      </c>
      <c r="D317" s="0" t="str">
        <f aca="true">IF(C317="Bull",IF(RAND()&lt;Assumptions!$B$7,"Bull","Bear"),IF(RAND()&lt;Assumptions!$B$10,"Bear","Bull"))</f>
        <v>Bull</v>
      </c>
      <c r="E317" s="0" t="str">
        <f aca="true">IF(D317="Bull",IF(RAND()&lt;Assumptions!$B$7,"Bull","Bear"),IF(RAND()&lt;Assumptions!$B$10,"Bear","Bull"))</f>
        <v>Bull</v>
      </c>
      <c r="F317" s="0" t="str">
        <f aca="true">IF(E317="Bull",IF(RAND()&lt;Assumptions!$B$7,"Bull","Bear"),IF(RAND()&lt;Assumptions!$B$10,"Bear","Bull"))</f>
        <v>Bull</v>
      </c>
      <c r="G317" s="0" t="str">
        <f aca="true">IF(F317="Bull",IF(RAND()&lt;Assumptions!$B$7,"Bull","Bear"),IF(RAND()&lt;Assumptions!$B$10,"Bear","Bull"))</f>
        <v>Bull</v>
      </c>
      <c r="H317" s="8" t="n">
        <f aca="true">IF(B317="Bull",NORMINV(RAND(),Assumptions!$B$5,Assumptions!$B$6),NORMINV(RAND(),Assumptions!$B$8,Assumptions!$B$9))</f>
        <v>0.222331497552936</v>
      </c>
      <c r="I317" s="8" t="n">
        <f aca="true">IF(C317="Bull",NORMINV(RAND(),Assumptions!$B$5,Assumptions!$B$6),NORMINV(RAND(),Assumptions!$B$8,Assumptions!$B$9))</f>
        <v>-0.0913454471545372</v>
      </c>
      <c r="J317" s="8" t="n">
        <f aca="true">IF(D317="Bull",NORMINV(RAND(),Assumptions!$B$5,Assumptions!$B$6),NORMINV(RAND(),Assumptions!$B$8,Assumptions!$B$9))</f>
        <v>0.330650067040357</v>
      </c>
      <c r="K317" s="8" t="n">
        <f aca="true">IF(E317="Bull",NORMINV(RAND(),Assumptions!$B$5,Assumptions!$B$6),NORMINV(RAND(),Assumptions!$B$8,Assumptions!$B$9))</f>
        <v>0.274969623563356</v>
      </c>
      <c r="L317" s="8" t="n">
        <f aca="true">IF(F317="Bull",NORMINV(RAND(),Assumptions!$B$5,Assumptions!$B$6),NORMINV(RAND(),Assumptions!$B$8,Assumptions!$B$9))</f>
        <v>0.0644724344945721</v>
      </c>
      <c r="M317" s="8" t="n">
        <f aca="true">IF(G317="Bull",NORMINV(RAND(),Assumptions!$B$5,Assumptions!$B$6),NORMINV(RAND(),Assumptions!$B$8,Assumptions!$B$9))</f>
        <v>0.135085674647017</v>
      </c>
      <c r="N317" s="8" t="n">
        <f aca="true">NORMINV(RAND(),Assumptions!$B$14,Assumptions!$B$15)</f>
        <v>0.0468828781268304</v>
      </c>
      <c r="O317" s="8" t="n">
        <f aca="true">NORMINV(RAND(),Assumptions!$B$14,Assumptions!$B$15)</f>
        <v>0.0566349003336599</v>
      </c>
      <c r="P317" s="8" t="n">
        <f aca="true">NORMINV(RAND(),Assumptions!$B$14,Assumptions!$B$15)</f>
        <v>0.068037120851881</v>
      </c>
      <c r="Q317" s="8" t="n">
        <f aca="true">NORMINV(RAND(),Assumptions!$B$14,Assumptions!$B$15)</f>
        <v>0.0330873076494743</v>
      </c>
      <c r="R317" s="8" t="n">
        <f aca="true">NORMINV(RAND(),Assumptions!$B$14,Assumptions!$B$15)</f>
        <v>0.076178222651893</v>
      </c>
      <c r="S317" s="8" t="n">
        <f aca="true">NORMINV(RAND(),Assumptions!$B$14,Assumptions!$B$15)</f>
        <v>0.0350597234887372</v>
      </c>
      <c r="T317" s="8" t="n">
        <f aca="false">Assumptions!$B$19*H317+(1-Assumptions!$B$19)*N317</f>
        <v>0.222331497552936</v>
      </c>
      <c r="U317" s="8" t="n">
        <f aca="false">Assumptions!$B$20*I317+(1-Assumptions!$B$20)*O317</f>
        <v>-0.0913454471545372</v>
      </c>
      <c r="V317" s="8" t="n">
        <f aca="false">Assumptions!$B$21*J317+(1-Assumptions!$B$21)*P317</f>
        <v>0.330650067040357</v>
      </c>
      <c r="W317" s="8" t="n">
        <f aca="false">Assumptions!$B$22*K317+(1-Assumptions!$B$22)*Q317</f>
        <v>0.274969623563356</v>
      </c>
      <c r="X317" s="8" t="n">
        <f aca="false">Assumptions!$B$23*L317+(1-Assumptions!$B$23)*R317</f>
        <v>0.0668135921260362</v>
      </c>
      <c r="Y317" s="8" t="n">
        <f aca="false">Assumptions!$B$24*M317+(1-Assumptions!$B$24)*S317</f>
        <v>0.0950752941837048</v>
      </c>
      <c r="Z317" s="6" t="n">
        <f aca="false">Assumptions!$B$27*(1+T317)</f>
        <v>366699.449265881</v>
      </c>
      <c r="AA317" s="6" t="n">
        <f aca="false">(Z317+Assumptions!$B$28)*(1+U317)</f>
        <v>469501.307028186</v>
      </c>
      <c r="AB317" s="6" t="n">
        <f aca="false">AA317*(1+V317)</f>
        <v>624741.945672591</v>
      </c>
      <c r="AC317" s="6" t="n">
        <f aca="false">AB317*(1+W317)</f>
        <v>796527.003298422</v>
      </c>
      <c r="AD317" s="6" t="n">
        <f aca="false">AC317*(1+X317)</f>
        <v>849745.833614176</v>
      </c>
      <c r="AE317" s="6" t="n">
        <f aca="false">AD317*(1+Y317)</f>
        <v>930535.668726422</v>
      </c>
      <c r="AF317" s="6" t="n">
        <f aca="false">Z317</f>
        <v>366699.449265881</v>
      </c>
      <c r="AG317" s="6" t="n">
        <f aca="false">MAX(AF317,AA317)</f>
        <v>469501.307028186</v>
      </c>
      <c r="AH317" s="6" t="n">
        <f aca="false">MAX(AG317,AB317)</f>
        <v>624741.945672591</v>
      </c>
      <c r="AI317" s="6" t="n">
        <f aca="false">MAX(AH317,AC317)</f>
        <v>796527.003298422</v>
      </c>
      <c r="AJ317" s="6" t="n">
        <f aca="false">MAX(AI317,AD317)</f>
        <v>849745.833614176</v>
      </c>
      <c r="AK317" s="6" t="n">
        <f aca="false">MAX(AJ317,AE317)</f>
        <v>930535.668726422</v>
      </c>
      <c r="AL317" s="8" t="n">
        <f aca="false">MIN(Z317/AF317-1,AA317/AG317-1,AB317/AH317-1,AC317/AI317-1,AD317/AJ317-1,AE317/AK317-1)</f>
        <v>0</v>
      </c>
      <c r="AM317" s="6" t="n">
        <f aca="false">AE317-Assumptions!$B$35</f>
        <v>489271.672063918</v>
      </c>
    </row>
    <row r="318" customFormat="false" ht="15" hidden="false" customHeight="false" outlineLevel="0" collapsed="false">
      <c r="A318" s="0" t="n">
        <f aca="false">ROW()-1</f>
        <v>317</v>
      </c>
      <c r="B318" s="0" t="str">
        <f aca="true">IF(RAND()&lt;Assumptions!$B$11,"Bull","Bear")</f>
        <v>Bull</v>
      </c>
      <c r="C318" s="0" t="str">
        <f aca="true">IF(B318="Bull",IF(RAND()&lt;Assumptions!$B$7,"Bull","Bear"),IF(RAND()&lt;Assumptions!$B$10,"Bear","Bull"))</f>
        <v>Bull</v>
      </c>
      <c r="D318" s="0" t="str">
        <f aca="true">IF(C318="Bull",IF(RAND()&lt;Assumptions!$B$7,"Bull","Bear"),IF(RAND()&lt;Assumptions!$B$10,"Bear","Bull"))</f>
        <v>Bear</v>
      </c>
      <c r="E318" s="0" t="str">
        <f aca="true">IF(D318="Bull",IF(RAND()&lt;Assumptions!$B$7,"Bull","Bear"),IF(RAND()&lt;Assumptions!$B$10,"Bear","Bull"))</f>
        <v>Bull</v>
      </c>
      <c r="F318" s="0" t="str">
        <f aca="true">IF(E318="Bull",IF(RAND()&lt;Assumptions!$B$7,"Bull","Bear"),IF(RAND()&lt;Assumptions!$B$10,"Bear","Bull"))</f>
        <v>Bull</v>
      </c>
      <c r="G318" s="0" t="str">
        <f aca="true">IF(F318="Bull",IF(RAND()&lt;Assumptions!$B$7,"Bull","Bear"),IF(RAND()&lt;Assumptions!$B$10,"Bear","Bull"))</f>
        <v>Bull</v>
      </c>
      <c r="H318" s="8" t="n">
        <f aca="true">IF(B318="Bull",NORMINV(RAND(),Assumptions!$B$5,Assumptions!$B$6),NORMINV(RAND(),Assumptions!$B$8,Assumptions!$B$9))</f>
        <v>0.134322328370158</v>
      </c>
      <c r="I318" s="8" t="n">
        <f aca="true">IF(C318="Bull",NORMINV(RAND(),Assumptions!$B$5,Assumptions!$B$6),NORMINV(RAND(),Assumptions!$B$8,Assumptions!$B$9))</f>
        <v>0.204999877315053</v>
      </c>
      <c r="J318" s="8" t="n">
        <f aca="true">IF(D318="Bull",NORMINV(RAND(),Assumptions!$B$5,Assumptions!$B$6),NORMINV(RAND(),Assumptions!$B$8,Assumptions!$B$9))</f>
        <v>-0.0598820889588371</v>
      </c>
      <c r="K318" s="8" t="n">
        <f aca="true">IF(E318="Bull",NORMINV(RAND(),Assumptions!$B$5,Assumptions!$B$6),NORMINV(RAND(),Assumptions!$B$8,Assumptions!$B$9))</f>
        <v>0.126226245352655</v>
      </c>
      <c r="L318" s="8" t="n">
        <f aca="true">IF(F318="Bull",NORMINV(RAND(),Assumptions!$B$5,Assumptions!$B$6),NORMINV(RAND(),Assumptions!$B$8,Assumptions!$B$9))</f>
        <v>0.0723463170637187</v>
      </c>
      <c r="M318" s="8" t="n">
        <f aca="true">IF(G318="Bull",NORMINV(RAND(),Assumptions!$B$5,Assumptions!$B$6),NORMINV(RAND(),Assumptions!$B$8,Assumptions!$B$9))</f>
        <v>0.242416801428097</v>
      </c>
      <c r="N318" s="8" t="n">
        <f aca="true">NORMINV(RAND(),Assumptions!$B$14,Assumptions!$B$15)</f>
        <v>0.0525871076069972</v>
      </c>
      <c r="O318" s="8" t="n">
        <f aca="true">NORMINV(RAND(),Assumptions!$B$14,Assumptions!$B$15)</f>
        <v>0.0291247028950886</v>
      </c>
      <c r="P318" s="8" t="n">
        <f aca="true">NORMINV(RAND(),Assumptions!$B$14,Assumptions!$B$15)</f>
        <v>0.0193518402824673</v>
      </c>
      <c r="Q318" s="8" t="n">
        <f aca="true">NORMINV(RAND(),Assumptions!$B$14,Assumptions!$B$15)</f>
        <v>0.0882823755134482</v>
      </c>
      <c r="R318" s="8" t="n">
        <f aca="true">NORMINV(RAND(),Assumptions!$B$14,Assumptions!$B$15)</f>
        <v>0.0459105574374536</v>
      </c>
      <c r="S318" s="8" t="n">
        <f aca="true">NORMINV(RAND(),Assumptions!$B$14,Assumptions!$B$15)</f>
        <v>0.0414132014660666</v>
      </c>
      <c r="T318" s="8" t="n">
        <f aca="false">Assumptions!$B$19*H318+(1-Assumptions!$B$19)*N318</f>
        <v>0.134322328370158</v>
      </c>
      <c r="U318" s="8" t="n">
        <f aca="false">Assumptions!$B$20*I318+(1-Assumptions!$B$20)*O318</f>
        <v>0.204999877315053</v>
      </c>
      <c r="V318" s="8" t="n">
        <f aca="false">Assumptions!$B$21*J318+(1-Assumptions!$B$21)*P318</f>
        <v>-0.0598820889588371</v>
      </c>
      <c r="W318" s="8" t="n">
        <f aca="false">Assumptions!$B$22*K318+(1-Assumptions!$B$22)*Q318</f>
        <v>0.126226245352655</v>
      </c>
      <c r="X318" s="8" t="n">
        <f aca="false">Assumptions!$B$23*L318+(1-Assumptions!$B$23)*R318</f>
        <v>0.0670591651384656</v>
      </c>
      <c r="Y318" s="8" t="n">
        <f aca="false">Assumptions!$B$24*M318+(1-Assumptions!$B$24)*S318</f>
        <v>0.162015361443285</v>
      </c>
      <c r="Z318" s="6" t="n">
        <f aca="false">Assumptions!$B$27*(1+T318)</f>
        <v>340296.698511047</v>
      </c>
      <c r="AA318" s="6" t="n">
        <f aca="false">(Z318+Assumptions!$B$28)*(1+U318)</f>
        <v>590807.461553788</v>
      </c>
      <c r="AB318" s="6" t="n">
        <f aca="false">AA318*(1+V318)</f>
        <v>555428.676583479</v>
      </c>
      <c r="AC318" s="6" t="n">
        <f aca="false">AB318*(1+W318)</f>
        <v>625538.352989806</v>
      </c>
      <c r="AD318" s="6" t="n">
        <f aca="false">AC318*(1+X318)</f>
        <v>667486.432703393</v>
      </c>
      <c r="AE318" s="6" t="n">
        <f aca="false">AD318*(1+Y318)</f>
        <v>775629.488356322</v>
      </c>
      <c r="AF318" s="6" t="n">
        <f aca="false">Z318</f>
        <v>340296.698511047</v>
      </c>
      <c r="AG318" s="6" t="n">
        <f aca="false">MAX(AF318,AA318)</f>
        <v>590807.461553788</v>
      </c>
      <c r="AH318" s="6" t="n">
        <f aca="false">MAX(AG318,AB318)</f>
        <v>590807.461553788</v>
      </c>
      <c r="AI318" s="6" t="n">
        <f aca="false">MAX(AH318,AC318)</f>
        <v>625538.352989806</v>
      </c>
      <c r="AJ318" s="6" t="n">
        <f aca="false">MAX(AI318,AD318)</f>
        <v>667486.432703393</v>
      </c>
      <c r="AK318" s="6" t="n">
        <f aca="false">MAX(AJ318,AE318)</f>
        <v>775629.488356322</v>
      </c>
      <c r="AL318" s="8" t="n">
        <f aca="false">MIN(Z318/AF318-1,AA318/AG318-1,AB318/AH318-1,AC318/AI318-1,AD318/AJ318-1,AE318/AK318-1)</f>
        <v>-0.0598820889588371</v>
      </c>
      <c r="AM318" s="6" t="n">
        <f aca="false">AE318-Assumptions!$B$35</f>
        <v>334365.491693818</v>
      </c>
    </row>
    <row r="319" customFormat="false" ht="15" hidden="false" customHeight="false" outlineLevel="0" collapsed="false">
      <c r="A319" s="0" t="n">
        <f aca="false">ROW()-1</f>
        <v>318</v>
      </c>
      <c r="B319" s="0" t="str">
        <f aca="true">IF(RAND()&lt;Assumptions!$B$11,"Bull","Bear")</f>
        <v>Bull</v>
      </c>
      <c r="C319" s="0" t="str">
        <f aca="true">IF(B319="Bull",IF(RAND()&lt;Assumptions!$B$7,"Bull","Bear"),IF(RAND()&lt;Assumptions!$B$10,"Bear","Bull"))</f>
        <v>Bull</v>
      </c>
      <c r="D319" s="0" t="str">
        <f aca="true">IF(C319="Bull",IF(RAND()&lt;Assumptions!$B$7,"Bull","Bear"),IF(RAND()&lt;Assumptions!$B$10,"Bear","Bull"))</f>
        <v>Bull</v>
      </c>
      <c r="E319" s="0" t="str">
        <f aca="true">IF(D319="Bull",IF(RAND()&lt;Assumptions!$B$7,"Bull","Bear"),IF(RAND()&lt;Assumptions!$B$10,"Bear","Bull"))</f>
        <v>Bull</v>
      </c>
      <c r="F319" s="0" t="str">
        <f aca="true">IF(E319="Bull",IF(RAND()&lt;Assumptions!$B$7,"Bull","Bear"),IF(RAND()&lt;Assumptions!$B$10,"Bear","Bull"))</f>
        <v>Bull</v>
      </c>
      <c r="G319" s="0" t="str">
        <f aca="true">IF(F319="Bull",IF(RAND()&lt;Assumptions!$B$7,"Bull","Bear"),IF(RAND()&lt;Assumptions!$B$10,"Bear","Bull"))</f>
        <v>Bear</v>
      </c>
      <c r="H319" s="8" t="n">
        <f aca="true">IF(B319="Bull",NORMINV(RAND(),Assumptions!$B$5,Assumptions!$B$6),NORMINV(RAND(),Assumptions!$B$8,Assumptions!$B$9))</f>
        <v>0.238053802553378</v>
      </c>
      <c r="I319" s="8" t="n">
        <f aca="true">IF(C319="Bull",NORMINV(RAND(),Assumptions!$B$5,Assumptions!$B$6),NORMINV(RAND(),Assumptions!$B$8,Assumptions!$B$9))</f>
        <v>0.0144150721743478</v>
      </c>
      <c r="J319" s="8" t="n">
        <f aca="true">IF(D319="Bull",NORMINV(RAND(),Assumptions!$B$5,Assumptions!$B$6),NORMINV(RAND(),Assumptions!$B$8,Assumptions!$B$9))</f>
        <v>0.278766284259611</v>
      </c>
      <c r="K319" s="8" t="n">
        <f aca="true">IF(E319="Bull",NORMINV(RAND(),Assumptions!$B$5,Assumptions!$B$6),NORMINV(RAND(),Assumptions!$B$8,Assumptions!$B$9))</f>
        <v>0.013671567429307</v>
      </c>
      <c r="L319" s="8" t="n">
        <f aca="true">IF(F319="Bull",NORMINV(RAND(),Assumptions!$B$5,Assumptions!$B$6),NORMINV(RAND(),Assumptions!$B$8,Assumptions!$B$9))</f>
        <v>0.270077113261751</v>
      </c>
      <c r="M319" s="8" t="n">
        <f aca="true">IF(G319="Bull",NORMINV(RAND(),Assumptions!$B$5,Assumptions!$B$6),NORMINV(RAND(),Assumptions!$B$8,Assumptions!$B$9))</f>
        <v>0.245730277101183</v>
      </c>
      <c r="N319" s="8" t="n">
        <f aca="true">NORMINV(RAND(),Assumptions!$B$14,Assumptions!$B$15)</f>
        <v>0.0207637810544226</v>
      </c>
      <c r="O319" s="8" t="n">
        <f aca="true">NORMINV(RAND(),Assumptions!$B$14,Assumptions!$B$15)</f>
        <v>0.0161411112554678</v>
      </c>
      <c r="P319" s="8" t="n">
        <f aca="true">NORMINV(RAND(),Assumptions!$B$14,Assumptions!$B$15)</f>
        <v>0.100805453012095</v>
      </c>
      <c r="Q319" s="8" t="n">
        <f aca="true">NORMINV(RAND(),Assumptions!$B$14,Assumptions!$B$15)</f>
        <v>0.0300267111426593</v>
      </c>
      <c r="R319" s="8" t="n">
        <f aca="true">NORMINV(RAND(),Assumptions!$B$14,Assumptions!$B$15)</f>
        <v>0.0170408928331662</v>
      </c>
      <c r="S319" s="8" t="n">
        <f aca="true">NORMINV(RAND(),Assumptions!$B$14,Assumptions!$B$15)</f>
        <v>0.0266388107197248</v>
      </c>
      <c r="T319" s="8" t="n">
        <f aca="false">Assumptions!$B$19*H319+(1-Assumptions!$B$19)*N319</f>
        <v>0.238053802553378</v>
      </c>
      <c r="U319" s="8" t="n">
        <f aca="false">Assumptions!$B$20*I319+(1-Assumptions!$B$20)*O319</f>
        <v>0.0144150721743478</v>
      </c>
      <c r="V319" s="8" t="n">
        <f aca="false">Assumptions!$B$21*J319+(1-Assumptions!$B$21)*P319</f>
        <v>0.278766284259611</v>
      </c>
      <c r="W319" s="8" t="n">
        <f aca="false">Assumptions!$B$22*K319+(1-Assumptions!$B$22)*Q319</f>
        <v>0.013671567429307</v>
      </c>
      <c r="X319" s="8" t="n">
        <f aca="false">Assumptions!$B$23*L319+(1-Assumptions!$B$23)*R319</f>
        <v>0.219469869176034</v>
      </c>
      <c r="Y319" s="8" t="n">
        <f aca="false">Assumptions!$B$24*M319+(1-Assumptions!$B$24)*S319</f>
        <v>0.1580936905486</v>
      </c>
      <c r="Z319" s="6" t="n">
        <f aca="false">Assumptions!$B$27*(1+T319)</f>
        <v>371416.140766013</v>
      </c>
      <c r="AA319" s="6" t="n">
        <f aca="false">(Z319+Assumptions!$B$28)*(1+U319)</f>
        <v>528932.392068025</v>
      </c>
      <c r="AB319" s="6" t="n">
        <f aca="false">AA319*(1+V319)</f>
        <v>676380.909629377</v>
      </c>
      <c r="AC319" s="6" t="n">
        <f aca="false">AB319*(1+W319)</f>
        <v>685628.096843271</v>
      </c>
      <c r="AD319" s="6" t="n">
        <f aca="false">AC319*(1+X319)</f>
        <v>836102.805560877</v>
      </c>
      <c r="AE319" s="6" t="n">
        <f aca="false">AD319*(1+Y319)</f>
        <v>968285.383770034</v>
      </c>
      <c r="AF319" s="6" t="n">
        <f aca="false">Z319</f>
        <v>371416.140766013</v>
      </c>
      <c r="AG319" s="6" t="n">
        <f aca="false">MAX(AF319,AA319)</f>
        <v>528932.392068025</v>
      </c>
      <c r="AH319" s="6" t="n">
        <f aca="false">MAX(AG319,AB319)</f>
        <v>676380.909629377</v>
      </c>
      <c r="AI319" s="6" t="n">
        <f aca="false">MAX(AH319,AC319)</f>
        <v>685628.096843271</v>
      </c>
      <c r="AJ319" s="6" t="n">
        <f aca="false">MAX(AI319,AD319)</f>
        <v>836102.805560877</v>
      </c>
      <c r="AK319" s="6" t="n">
        <f aca="false">MAX(AJ319,AE319)</f>
        <v>968285.383770034</v>
      </c>
      <c r="AL319" s="8" t="n">
        <f aca="false">MIN(Z319/AF319-1,AA319/AG319-1,AB319/AH319-1,AC319/AI319-1,AD319/AJ319-1,AE319/AK319-1)</f>
        <v>0</v>
      </c>
      <c r="AM319" s="6" t="n">
        <f aca="false">AE319-Assumptions!$B$35</f>
        <v>527021.38710753</v>
      </c>
    </row>
    <row r="320" customFormat="false" ht="15" hidden="false" customHeight="false" outlineLevel="0" collapsed="false">
      <c r="A320" s="0" t="n">
        <f aca="false">ROW()-1</f>
        <v>319</v>
      </c>
      <c r="B320" s="0" t="str">
        <f aca="true">IF(RAND()&lt;Assumptions!$B$11,"Bull","Bear")</f>
        <v>Bear</v>
      </c>
      <c r="C320" s="0" t="str">
        <f aca="true">IF(B320="Bull",IF(RAND()&lt;Assumptions!$B$7,"Bull","Bear"),IF(RAND()&lt;Assumptions!$B$10,"Bear","Bull"))</f>
        <v>Bear</v>
      </c>
      <c r="D320" s="0" t="str">
        <f aca="true">IF(C320="Bull",IF(RAND()&lt;Assumptions!$B$7,"Bull","Bear"),IF(RAND()&lt;Assumptions!$B$10,"Bear","Bull"))</f>
        <v>Bull</v>
      </c>
      <c r="E320" s="0" t="str">
        <f aca="true">IF(D320="Bull",IF(RAND()&lt;Assumptions!$B$7,"Bull","Bear"),IF(RAND()&lt;Assumptions!$B$10,"Bear","Bull"))</f>
        <v>Bull</v>
      </c>
      <c r="F320" s="0" t="str">
        <f aca="true">IF(E320="Bull",IF(RAND()&lt;Assumptions!$B$7,"Bull","Bear"),IF(RAND()&lt;Assumptions!$B$10,"Bear","Bull"))</f>
        <v>Bull</v>
      </c>
      <c r="G320" s="0" t="str">
        <f aca="true">IF(F320="Bull",IF(RAND()&lt;Assumptions!$B$7,"Bull","Bear"),IF(RAND()&lt;Assumptions!$B$10,"Bear","Bull"))</f>
        <v>Bull</v>
      </c>
      <c r="H320" s="8" t="n">
        <f aca="true">IF(B320="Bull",NORMINV(RAND(),Assumptions!$B$5,Assumptions!$B$6),NORMINV(RAND(),Assumptions!$B$8,Assumptions!$B$9))</f>
        <v>-0.036225465753459</v>
      </c>
      <c r="I320" s="8" t="n">
        <f aca="true">IF(C320="Bull",NORMINV(RAND(),Assumptions!$B$5,Assumptions!$B$6),NORMINV(RAND(),Assumptions!$B$8,Assumptions!$B$9))</f>
        <v>0.08419908693251</v>
      </c>
      <c r="J320" s="8" t="n">
        <f aca="true">IF(D320="Bull",NORMINV(RAND(),Assumptions!$B$5,Assumptions!$B$6),NORMINV(RAND(),Assumptions!$B$8,Assumptions!$B$9))</f>
        <v>0.0531672714836205</v>
      </c>
      <c r="K320" s="8" t="n">
        <f aca="true">IF(E320="Bull",NORMINV(RAND(),Assumptions!$B$5,Assumptions!$B$6),NORMINV(RAND(),Assumptions!$B$8,Assumptions!$B$9))</f>
        <v>0.173116696464538</v>
      </c>
      <c r="L320" s="8" t="n">
        <f aca="true">IF(F320="Bull",NORMINV(RAND(),Assumptions!$B$5,Assumptions!$B$6),NORMINV(RAND(),Assumptions!$B$8,Assumptions!$B$9))</f>
        <v>0.263221313310973</v>
      </c>
      <c r="M320" s="8" t="n">
        <f aca="true">IF(G320="Bull",NORMINV(RAND(),Assumptions!$B$5,Assumptions!$B$6),NORMINV(RAND(),Assumptions!$B$8,Assumptions!$B$9))</f>
        <v>0.175870597237864</v>
      </c>
      <c r="N320" s="8" t="n">
        <f aca="true">NORMINV(RAND(),Assumptions!$B$14,Assumptions!$B$15)</f>
        <v>0.0674455701416271</v>
      </c>
      <c r="O320" s="8" t="n">
        <f aca="true">NORMINV(RAND(),Assumptions!$B$14,Assumptions!$B$15)</f>
        <v>0.0262249193067152</v>
      </c>
      <c r="P320" s="8" t="n">
        <f aca="true">NORMINV(RAND(),Assumptions!$B$14,Assumptions!$B$15)</f>
        <v>0.0269417108036783</v>
      </c>
      <c r="Q320" s="8" t="n">
        <f aca="true">NORMINV(RAND(),Assumptions!$B$14,Assumptions!$B$15)</f>
        <v>0.0348638267125576</v>
      </c>
      <c r="R320" s="8" t="n">
        <f aca="true">NORMINV(RAND(),Assumptions!$B$14,Assumptions!$B$15)</f>
        <v>0.0547633003804377</v>
      </c>
      <c r="S320" s="8" t="n">
        <f aca="true">NORMINV(RAND(),Assumptions!$B$14,Assumptions!$B$15)</f>
        <v>0.0475661145955711</v>
      </c>
      <c r="T320" s="8" t="n">
        <f aca="false">Assumptions!$B$19*H320+(1-Assumptions!$B$19)*N320</f>
        <v>-0.036225465753459</v>
      </c>
      <c r="U320" s="8" t="n">
        <f aca="false">Assumptions!$B$20*I320+(1-Assumptions!$B$20)*O320</f>
        <v>0.08419908693251</v>
      </c>
      <c r="V320" s="8" t="n">
        <f aca="false">Assumptions!$B$21*J320+(1-Assumptions!$B$21)*P320</f>
        <v>0.0531672714836205</v>
      </c>
      <c r="W320" s="8" t="n">
        <f aca="false">Assumptions!$B$22*K320+(1-Assumptions!$B$22)*Q320</f>
        <v>0.173116696464538</v>
      </c>
      <c r="X320" s="8" t="n">
        <f aca="false">Assumptions!$B$23*L320+(1-Assumptions!$B$23)*R320</f>
        <v>0.221529710724866</v>
      </c>
      <c r="Y320" s="8" t="n">
        <f aca="false">Assumptions!$B$24*M320+(1-Assumptions!$B$24)*S320</f>
        <v>0.124548804180947</v>
      </c>
      <c r="Z320" s="6" t="n">
        <f aca="false">Assumptions!$B$27*(1+T320)</f>
        <v>289132.360273962</v>
      </c>
      <c r="AA320" s="6" t="n">
        <f aca="false">(Z320+Assumptions!$B$28)*(1+U320)</f>
        <v>476106.904051548</v>
      </c>
      <c r="AB320" s="6" t="n">
        <f aca="false">AA320*(1+V320)</f>
        <v>501420.209074483</v>
      </c>
      <c r="AC320" s="6" t="n">
        <f aca="false">AB320*(1+W320)</f>
        <v>588224.419210015</v>
      </c>
      <c r="AD320" s="6" t="n">
        <f aca="false">AC320*(1+X320)</f>
        <v>718533.604638912</v>
      </c>
      <c r="AE320" s="6" t="n">
        <f aca="false">AD320*(1+Y320)</f>
        <v>808026.105860514</v>
      </c>
      <c r="AF320" s="6" t="n">
        <f aca="false">Z320</f>
        <v>289132.360273962</v>
      </c>
      <c r="AG320" s="6" t="n">
        <f aca="false">MAX(AF320,AA320)</f>
        <v>476106.904051548</v>
      </c>
      <c r="AH320" s="6" t="n">
        <f aca="false">MAX(AG320,AB320)</f>
        <v>501420.209074483</v>
      </c>
      <c r="AI320" s="6" t="n">
        <f aca="false">MAX(AH320,AC320)</f>
        <v>588224.419210015</v>
      </c>
      <c r="AJ320" s="6" t="n">
        <f aca="false">MAX(AI320,AD320)</f>
        <v>718533.604638912</v>
      </c>
      <c r="AK320" s="6" t="n">
        <f aca="false">MAX(AJ320,AE320)</f>
        <v>808026.105860514</v>
      </c>
      <c r="AL320" s="8" t="n">
        <f aca="false">MIN(Z320/AF320-1,AA320/AG320-1,AB320/AH320-1,AC320/AI320-1,AD320/AJ320-1,AE320/AK320-1)</f>
        <v>0</v>
      </c>
      <c r="AM320" s="6" t="n">
        <f aca="false">AE320-Assumptions!$B$35</f>
        <v>366762.10919801</v>
      </c>
    </row>
    <row r="321" customFormat="false" ht="15" hidden="false" customHeight="false" outlineLevel="0" collapsed="false">
      <c r="A321" s="0" t="n">
        <f aca="false">ROW()-1</f>
        <v>320</v>
      </c>
      <c r="B321" s="0" t="str">
        <f aca="true">IF(RAND()&lt;Assumptions!$B$11,"Bull","Bear")</f>
        <v>Bull</v>
      </c>
      <c r="C321" s="0" t="str">
        <f aca="true">IF(B321="Bull",IF(RAND()&lt;Assumptions!$B$7,"Bull","Bear"),IF(RAND()&lt;Assumptions!$B$10,"Bear","Bull"))</f>
        <v>Bull</v>
      </c>
      <c r="D321" s="0" t="str">
        <f aca="true">IF(C321="Bull",IF(RAND()&lt;Assumptions!$B$7,"Bull","Bear"),IF(RAND()&lt;Assumptions!$B$10,"Bear","Bull"))</f>
        <v>Bull</v>
      </c>
      <c r="E321" s="0" t="str">
        <f aca="true">IF(D321="Bull",IF(RAND()&lt;Assumptions!$B$7,"Bull","Bear"),IF(RAND()&lt;Assumptions!$B$10,"Bear","Bull"))</f>
        <v>Bull</v>
      </c>
      <c r="F321" s="0" t="str">
        <f aca="true">IF(E321="Bull",IF(RAND()&lt;Assumptions!$B$7,"Bull","Bear"),IF(RAND()&lt;Assumptions!$B$10,"Bear","Bull"))</f>
        <v>Bull</v>
      </c>
      <c r="G321" s="0" t="str">
        <f aca="true">IF(F321="Bull",IF(RAND()&lt;Assumptions!$B$7,"Bull","Bear"),IF(RAND()&lt;Assumptions!$B$10,"Bear","Bull"))</f>
        <v>Bull</v>
      </c>
      <c r="H321" s="8" t="n">
        <f aca="true">IF(B321="Bull",NORMINV(RAND(),Assumptions!$B$5,Assumptions!$B$6),NORMINV(RAND(),Assumptions!$B$8,Assumptions!$B$9))</f>
        <v>0.346696993773961</v>
      </c>
      <c r="I321" s="8" t="n">
        <f aca="true">IF(C321="Bull",NORMINV(RAND(),Assumptions!$B$5,Assumptions!$B$6),NORMINV(RAND(),Assumptions!$B$8,Assumptions!$B$9))</f>
        <v>0.062965913264584</v>
      </c>
      <c r="J321" s="8" t="n">
        <f aca="true">IF(D321="Bull",NORMINV(RAND(),Assumptions!$B$5,Assumptions!$B$6),NORMINV(RAND(),Assumptions!$B$8,Assumptions!$B$9))</f>
        <v>0.128856977682196</v>
      </c>
      <c r="K321" s="8" t="n">
        <f aca="true">IF(E321="Bull",NORMINV(RAND(),Assumptions!$B$5,Assumptions!$B$6),NORMINV(RAND(),Assumptions!$B$8,Assumptions!$B$9))</f>
        <v>0.342180185652415</v>
      </c>
      <c r="L321" s="8" t="n">
        <f aca="true">IF(F321="Bull",NORMINV(RAND(),Assumptions!$B$5,Assumptions!$B$6),NORMINV(RAND(),Assumptions!$B$8,Assumptions!$B$9))</f>
        <v>0.255083411739389</v>
      </c>
      <c r="M321" s="8" t="n">
        <f aca="true">IF(G321="Bull",NORMINV(RAND(),Assumptions!$B$5,Assumptions!$B$6),NORMINV(RAND(),Assumptions!$B$8,Assumptions!$B$9))</f>
        <v>0.0923152119352752</v>
      </c>
      <c r="N321" s="8" t="n">
        <f aca="true">NORMINV(RAND(),Assumptions!$B$14,Assumptions!$B$15)</f>
        <v>0.00771803208611815</v>
      </c>
      <c r="O321" s="8" t="n">
        <f aca="true">NORMINV(RAND(),Assumptions!$B$14,Assumptions!$B$15)</f>
        <v>0.0463909874790575</v>
      </c>
      <c r="P321" s="8" t="n">
        <f aca="true">NORMINV(RAND(),Assumptions!$B$14,Assumptions!$B$15)</f>
        <v>0.0707413016138576</v>
      </c>
      <c r="Q321" s="8" t="n">
        <f aca="true">NORMINV(RAND(),Assumptions!$B$14,Assumptions!$B$15)</f>
        <v>0.089197173156395</v>
      </c>
      <c r="R321" s="8" t="n">
        <f aca="true">NORMINV(RAND(),Assumptions!$B$14,Assumptions!$B$15)</f>
        <v>0.0638983695623638</v>
      </c>
      <c r="S321" s="8" t="n">
        <f aca="true">NORMINV(RAND(),Assumptions!$B$14,Assumptions!$B$15)</f>
        <v>-0.00351608015489532</v>
      </c>
      <c r="T321" s="8" t="n">
        <f aca="false">Assumptions!$B$19*H321+(1-Assumptions!$B$19)*N321</f>
        <v>0.346696993773961</v>
      </c>
      <c r="U321" s="8" t="n">
        <f aca="false">Assumptions!$B$20*I321+(1-Assumptions!$B$20)*O321</f>
        <v>0.062965913264584</v>
      </c>
      <c r="V321" s="8" t="n">
        <f aca="false">Assumptions!$B$21*J321+(1-Assumptions!$B$21)*P321</f>
        <v>0.128856977682196</v>
      </c>
      <c r="W321" s="8" t="n">
        <f aca="false">Assumptions!$B$22*K321+(1-Assumptions!$B$22)*Q321</f>
        <v>0.342180185652415</v>
      </c>
      <c r="X321" s="8" t="n">
        <f aca="false">Assumptions!$B$23*L321+(1-Assumptions!$B$23)*R321</f>
        <v>0.216846403303984</v>
      </c>
      <c r="Y321" s="8" t="n">
        <f aca="false">Assumptions!$B$24*M321+(1-Assumptions!$B$24)*S321</f>
        <v>0.053982695099207</v>
      </c>
      <c r="Z321" s="6" t="n">
        <f aca="false">Assumptions!$B$27*(1+T321)</f>
        <v>404009.098132188</v>
      </c>
      <c r="AA321" s="6" t="n">
        <f aca="false">(Z321+Assumptions!$B$28)*(1+U321)</f>
        <v>588892.78695297</v>
      </c>
      <c r="AB321" s="6" t="n">
        <f aca="false">AA321*(1+V321)</f>
        <v>664775.731658575</v>
      </c>
      <c r="AC321" s="6" t="n">
        <f aca="false">AB321*(1+W321)</f>
        <v>892248.814934726</v>
      </c>
      <c r="AD321" s="6" t="n">
        <f aca="false">AC321*(1+X321)</f>
        <v>1085729.76130556</v>
      </c>
      <c r="AE321" s="6" t="n">
        <f aca="false">AD321*(1+Y321)</f>
        <v>1144340.37997026</v>
      </c>
      <c r="AF321" s="6" t="n">
        <f aca="false">Z321</f>
        <v>404009.098132188</v>
      </c>
      <c r="AG321" s="6" t="n">
        <f aca="false">MAX(AF321,AA321)</f>
        <v>588892.78695297</v>
      </c>
      <c r="AH321" s="6" t="n">
        <f aca="false">MAX(AG321,AB321)</f>
        <v>664775.731658575</v>
      </c>
      <c r="AI321" s="6" t="n">
        <f aca="false">MAX(AH321,AC321)</f>
        <v>892248.814934726</v>
      </c>
      <c r="AJ321" s="6" t="n">
        <f aca="false">MAX(AI321,AD321)</f>
        <v>1085729.76130556</v>
      </c>
      <c r="AK321" s="6" t="n">
        <f aca="false">MAX(AJ321,AE321)</f>
        <v>1144340.37997026</v>
      </c>
      <c r="AL321" s="8" t="n">
        <f aca="false">MIN(Z321/AF321-1,AA321/AG321-1,AB321/AH321-1,AC321/AI321-1,AD321/AJ321-1,AE321/AK321-1)</f>
        <v>0</v>
      </c>
      <c r="AM321" s="6" t="n">
        <f aca="false">AE321-Assumptions!$B$35</f>
        <v>703076.383307753</v>
      </c>
    </row>
    <row r="322" customFormat="false" ht="15" hidden="false" customHeight="false" outlineLevel="0" collapsed="false">
      <c r="A322" s="0" t="n">
        <f aca="false">ROW()-1</f>
        <v>321</v>
      </c>
      <c r="B322" s="0" t="str">
        <f aca="true">IF(RAND()&lt;Assumptions!$B$11,"Bull","Bear")</f>
        <v>Bull</v>
      </c>
      <c r="C322" s="0" t="str">
        <f aca="true">IF(B322="Bull",IF(RAND()&lt;Assumptions!$B$7,"Bull","Bear"),IF(RAND()&lt;Assumptions!$B$10,"Bear","Bull"))</f>
        <v>Bull</v>
      </c>
      <c r="D322" s="0" t="str">
        <f aca="true">IF(C322="Bull",IF(RAND()&lt;Assumptions!$B$7,"Bull","Bear"),IF(RAND()&lt;Assumptions!$B$10,"Bear","Bull"))</f>
        <v>Bull</v>
      </c>
      <c r="E322" s="0" t="str">
        <f aca="true">IF(D322="Bull",IF(RAND()&lt;Assumptions!$B$7,"Bull","Bear"),IF(RAND()&lt;Assumptions!$B$10,"Bear","Bull"))</f>
        <v>Bull</v>
      </c>
      <c r="F322" s="0" t="str">
        <f aca="true">IF(E322="Bull",IF(RAND()&lt;Assumptions!$B$7,"Bull","Bear"),IF(RAND()&lt;Assumptions!$B$10,"Bear","Bull"))</f>
        <v>Bull</v>
      </c>
      <c r="G322" s="0" t="str">
        <f aca="true">IF(F322="Bull",IF(RAND()&lt;Assumptions!$B$7,"Bull","Bear"),IF(RAND()&lt;Assumptions!$B$10,"Bear","Bull"))</f>
        <v>Bull</v>
      </c>
      <c r="H322" s="8" t="n">
        <f aca="true">IF(B322="Bull",NORMINV(RAND(),Assumptions!$B$5,Assumptions!$B$6),NORMINV(RAND(),Assumptions!$B$8,Assumptions!$B$9))</f>
        <v>0.506597690136243</v>
      </c>
      <c r="I322" s="8" t="n">
        <f aca="true">IF(C322="Bull",NORMINV(RAND(),Assumptions!$B$5,Assumptions!$B$6),NORMINV(RAND(),Assumptions!$B$8,Assumptions!$B$9))</f>
        <v>0.0682809062223033</v>
      </c>
      <c r="J322" s="8" t="n">
        <f aca="true">IF(D322="Bull",NORMINV(RAND(),Assumptions!$B$5,Assumptions!$B$6),NORMINV(RAND(),Assumptions!$B$8,Assumptions!$B$9))</f>
        <v>0.0641653625480942</v>
      </c>
      <c r="K322" s="8" t="n">
        <f aca="true">IF(E322="Bull",NORMINV(RAND(),Assumptions!$B$5,Assumptions!$B$6),NORMINV(RAND(),Assumptions!$B$8,Assumptions!$B$9))</f>
        <v>0.127733193051391</v>
      </c>
      <c r="L322" s="8" t="n">
        <f aca="true">IF(F322="Bull",NORMINV(RAND(),Assumptions!$B$5,Assumptions!$B$6),NORMINV(RAND(),Assumptions!$B$8,Assumptions!$B$9))</f>
        <v>0.063978587241958</v>
      </c>
      <c r="M322" s="8" t="n">
        <f aca="true">IF(G322="Bull",NORMINV(RAND(),Assumptions!$B$5,Assumptions!$B$6),NORMINV(RAND(),Assumptions!$B$8,Assumptions!$B$9))</f>
        <v>0.354424500544375</v>
      </c>
      <c r="N322" s="8" t="n">
        <f aca="true">NORMINV(RAND(),Assumptions!$B$14,Assumptions!$B$15)</f>
        <v>0.082283176586278</v>
      </c>
      <c r="O322" s="8" t="n">
        <f aca="true">NORMINV(RAND(),Assumptions!$B$14,Assumptions!$B$15)</f>
        <v>0.0498666749863989</v>
      </c>
      <c r="P322" s="8" t="n">
        <f aca="true">NORMINV(RAND(),Assumptions!$B$14,Assumptions!$B$15)</f>
        <v>0.00653746427152465</v>
      </c>
      <c r="Q322" s="8" t="n">
        <f aca="true">NORMINV(RAND(),Assumptions!$B$14,Assumptions!$B$15)</f>
        <v>0.0445801396961364</v>
      </c>
      <c r="R322" s="8" t="n">
        <f aca="true">NORMINV(RAND(),Assumptions!$B$14,Assumptions!$B$15)</f>
        <v>0.0903998520816364</v>
      </c>
      <c r="S322" s="8" t="n">
        <f aca="true">NORMINV(RAND(),Assumptions!$B$14,Assumptions!$B$15)</f>
        <v>0.0679663060707381</v>
      </c>
      <c r="T322" s="8" t="n">
        <f aca="false">Assumptions!$B$19*H322+(1-Assumptions!$B$19)*N322</f>
        <v>0.506597690136243</v>
      </c>
      <c r="U322" s="8" t="n">
        <f aca="false">Assumptions!$B$20*I322+(1-Assumptions!$B$20)*O322</f>
        <v>0.0682809062223033</v>
      </c>
      <c r="V322" s="8" t="n">
        <f aca="false">Assumptions!$B$21*J322+(1-Assumptions!$B$21)*P322</f>
        <v>0.0641653625480942</v>
      </c>
      <c r="W322" s="8" t="n">
        <f aca="false">Assumptions!$B$22*K322+(1-Assumptions!$B$22)*Q322</f>
        <v>0.127733193051391</v>
      </c>
      <c r="X322" s="8" t="n">
        <f aca="false">Assumptions!$B$23*L322+(1-Assumptions!$B$23)*R322</f>
        <v>0.0692628402098937</v>
      </c>
      <c r="Y322" s="8" t="n">
        <f aca="false">Assumptions!$B$24*M322+(1-Assumptions!$B$24)*S322</f>
        <v>0.239841222754921</v>
      </c>
      <c r="Z322" s="6" t="n">
        <f aca="false">Assumptions!$B$27*(1+T322)</f>
        <v>451979.307040873</v>
      </c>
      <c r="AA322" s="6" t="n">
        <f aca="false">(Z322+Assumptions!$B$28)*(1+U322)</f>
        <v>643082.999652698</v>
      </c>
      <c r="AB322" s="6" t="n">
        <f aca="false">AA322*(1+V322)</f>
        <v>684346.653473929</v>
      </c>
      <c r="AC322" s="6" t="n">
        <f aca="false">AB322*(1+W322)</f>
        <v>771760.436676188</v>
      </c>
      <c r="AD322" s="6" t="n">
        <f aca="false">AC322*(1+X322)</f>
        <v>825214.756482009</v>
      </c>
      <c r="AE322" s="6" t="n">
        <f aca="false">AD322*(1+Y322)</f>
        <v>1023135.27271206</v>
      </c>
      <c r="AF322" s="6" t="n">
        <f aca="false">Z322</f>
        <v>451979.307040873</v>
      </c>
      <c r="AG322" s="6" t="n">
        <f aca="false">MAX(AF322,AA322)</f>
        <v>643082.999652698</v>
      </c>
      <c r="AH322" s="6" t="n">
        <f aca="false">MAX(AG322,AB322)</f>
        <v>684346.653473929</v>
      </c>
      <c r="AI322" s="6" t="n">
        <f aca="false">MAX(AH322,AC322)</f>
        <v>771760.436676188</v>
      </c>
      <c r="AJ322" s="6" t="n">
        <f aca="false">MAX(AI322,AD322)</f>
        <v>825214.756482009</v>
      </c>
      <c r="AK322" s="6" t="n">
        <f aca="false">MAX(AJ322,AE322)</f>
        <v>1023135.27271206</v>
      </c>
      <c r="AL322" s="8" t="n">
        <f aca="false">MIN(Z322/AF322-1,AA322/AG322-1,AB322/AH322-1,AC322/AI322-1,AD322/AJ322-1,AE322/AK322-1)</f>
        <v>0</v>
      </c>
      <c r="AM322" s="6" t="n">
        <f aca="false">AE322-Assumptions!$B$35</f>
        <v>581871.276049554</v>
      </c>
    </row>
    <row r="323" customFormat="false" ht="15" hidden="false" customHeight="false" outlineLevel="0" collapsed="false">
      <c r="A323" s="0" t="n">
        <f aca="false">ROW()-1</f>
        <v>322</v>
      </c>
      <c r="B323" s="0" t="str">
        <f aca="true">IF(RAND()&lt;Assumptions!$B$11,"Bull","Bear")</f>
        <v>Bear</v>
      </c>
      <c r="C323" s="0" t="str">
        <f aca="true">IF(B323="Bull",IF(RAND()&lt;Assumptions!$B$7,"Bull","Bear"),IF(RAND()&lt;Assumptions!$B$10,"Bear","Bull"))</f>
        <v>Bear</v>
      </c>
      <c r="D323" s="0" t="str">
        <f aca="true">IF(C323="Bull",IF(RAND()&lt;Assumptions!$B$7,"Bull","Bear"),IF(RAND()&lt;Assumptions!$B$10,"Bear","Bull"))</f>
        <v>Bull</v>
      </c>
      <c r="E323" s="0" t="str">
        <f aca="true">IF(D323="Bull",IF(RAND()&lt;Assumptions!$B$7,"Bull","Bear"),IF(RAND()&lt;Assumptions!$B$10,"Bear","Bull"))</f>
        <v>Bull</v>
      </c>
      <c r="F323" s="0" t="str">
        <f aca="true">IF(E323="Bull",IF(RAND()&lt;Assumptions!$B$7,"Bull","Bear"),IF(RAND()&lt;Assumptions!$B$10,"Bear","Bull"))</f>
        <v>Bull</v>
      </c>
      <c r="G323" s="0" t="str">
        <f aca="true">IF(F323="Bull",IF(RAND()&lt;Assumptions!$B$7,"Bull","Bear"),IF(RAND()&lt;Assumptions!$B$10,"Bear","Bull"))</f>
        <v>Bear</v>
      </c>
      <c r="H323" s="8" t="n">
        <f aca="true">IF(B323="Bull",NORMINV(RAND(),Assumptions!$B$5,Assumptions!$B$6),NORMINV(RAND(),Assumptions!$B$8,Assumptions!$B$9))</f>
        <v>-0.351748660295242</v>
      </c>
      <c r="I323" s="8" t="n">
        <f aca="true">IF(C323="Bull",NORMINV(RAND(),Assumptions!$B$5,Assumptions!$B$6),NORMINV(RAND(),Assumptions!$B$8,Assumptions!$B$9))</f>
        <v>-0.293807385953181</v>
      </c>
      <c r="J323" s="8" t="n">
        <f aca="true">IF(D323="Bull",NORMINV(RAND(),Assumptions!$B$5,Assumptions!$B$6),NORMINV(RAND(),Assumptions!$B$8,Assumptions!$B$9))</f>
        <v>0.183199335421019</v>
      </c>
      <c r="K323" s="8" t="n">
        <f aca="true">IF(E323="Bull",NORMINV(RAND(),Assumptions!$B$5,Assumptions!$B$6),NORMINV(RAND(),Assumptions!$B$8,Assumptions!$B$9))</f>
        <v>0.0404762105791226</v>
      </c>
      <c r="L323" s="8" t="n">
        <f aca="true">IF(F323="Bull",NORMINV(RAND(),Assumptions!$B$5,Assumptions!$B$6),NORMINV(RAND(),Assumptions!$B$8,Assumptions!$B$9))</f>
        <v>-0.02600937197172</v>
      </c>
      <c r="M323" s="8" t="n">
        <f aca="true">IF(G323="Bull",NORMINV(RAND(),Assumptions!$B$5,Assumptions!$B$6),NORMINV(RAND(),Assumptions!$B$8,Assumptions!$B$9))</f>
        <v>-0.220248718353045</v>
      </c>
      <c r="N323" s="8" t="n">
        <f aca="true">NORMINV(RAND(),Assumptions!$B$14,Assumptions!$B$15)</f>
        <v>0.0976000599911989</v>
      </c>
      <c r="O323" s="8" t="n">
        <f aca="true">NORMINV(RAND(),Assumptions!$B$14,Assumptions!$B$15)</f>
        <v>0.0044079531465171</v>
      </c>
      <c r="P323" s="8" t="n">
        <f aca="true">NORMINV(RAND(),Assumptions!$B$14,Assumptions!$B$15)</f>
        <v>0.0264766358731331</v>
      </c>
      <c r="Q323" s="8" t="n">
        <f aca="true">NORMINV(RAND(),Assumptions!$B$14,Assumptions!$B$15)</f>
        <v>0.0236653171687148</v>
      </c>
      <c r="R323" s="8" t="n">
        <f aca="true">NORMINV(RAND(),Assumptions!$B$14,Assumptions!$B$15)</f>
        <v>0.0879367388958031</v>
      </c>
      <c r="S323" s="8" t="n">
        <f aca="true">NORMINV(RAND(),Assumptions!$B$14,Assumptions!$B$15)</f>
        <v>0.0554901625729006</v>
      </c>
      <c r="T323" s="8" t="n">
        <f aca="false">Assumptions!$B$19*H323+(1-Assumptions!$B$19)*N323</f>
        <v>-0.351748660295242</v>
      </c>
      <c r="U323" s="8" t="n">
        <f aca="false">Assumptions!$B$20*I323+(1-Assumptions!$B$20)*O323</f>
        <v>-0.293807385953181</v>
      </c>
      <c r="V323" s="8" t="n">
        <f aca="false">Assumptions!$B$21*J323+(1-Assumptions!$B$21)*P323</f>
        <v>0.183199335421019</v>
      </c>
      <c r="W323" s="8" t="n">
        <f aca="false">Assumptions!$B$22*K323+(1-Assumptions!$B$22)*Q323</f>
        <v>0.0404762105791226</v>
      </c>
      <c r="X323" s="8" t="n">
        <f aca="false">Assumptions!$B$23*L323+(1-Assumptions!$B$23)*R323</f>
        <v>-0.00322014979821542</v>
      </c>
      <c r="Y323" s="8" t="n">
        <f aca="false">Assumptions!$B$24*M323+(1-Assumptions!$B$24)*S323</f>
        <v>-0.109953165982667</v>
      </c>
      <c r="Z323" s="6" t="n">
        <f aca="false">Assumptions!$B$27*(1+T323)</f>
        <v>194475.401911427</v>
      </c>
      <c r="AA323" s="6" t="n">
        <f aca="false">(Z323+Assumptions!$B$28)*(1+U323)</f>
        <v>243265.98455066</v>
      </c>
      <c r="AB323" s="6" t="n">
        <f aca="false">AA323*(1+V323)</f>
        <v>287832.15125088</v>
      </c>
      <c r="AC323" s="6" t="n">
        <f aca="false">AB323*(1+W323)</f>
        <v>299482.506016353</v>
      </c>
      <c r="AD323" s="6" t="n">
        <f aca="false">AC323*(1+X323)</f>
        <v>298518.127485035</v>
      </c>
      <c r="AE323" s="6" t="n">
        <f aca="false">AD323*(1+Y323)</f>
        <v>265695.114264838</v>
      </c>
      <c r="AF323" s="6" t="n">
        <f aca="false">Z323</f>
        <v>194475.401911427</v>
      </c>
      <c r="AG323" s="6" t="n">
        <f aca="false">MAX(AF323,AA323)</f>
        <v>243265.98455066</v>
      </c>
      <c r="AH323" s="6" t="n">
        <f aca="false">MAX(AG323,AB323)</f>
        <v>287832.15125088</v>
      </c>
      <c r="AI323" s="6" t="n">
        <f aca="false">MAX(AH323,AC323)</f>
        <v>299482.506016353</v>
      </c>
      <c r="AJ323" s="6" t="n">
        <f aca="false">MAX(AI323,AD323)</f>
        <v>299482.506016353</v>
      </c>
      <c r="AK323" s="6" t="n">
        <f aca="false">MAX(AJ323,AE323)</f>
        <v>299482.506016353</v>
      </c>
      <c r="AL323" s="8" t="n">
        <f aca="false">MIN(Z323/AF323-1,AA323/AG323-1,AB323/AH323-1,AC323/AI323-1,AD323/AJ323-1,AE323/AK323-1)</f>
        <v>-0.11281925011563</v>
      </c>
      <c r="AM323" s="6" t="n">
        <f aca="false">AE323-Assumptions!$B$35</f>
        <v>-175568.882397665</v>
      </c>
    </row>
    <row r="324" customFormat="false" ht="15" hidden="false" customHeight="false" outlineLevel="0" collapsed="false">
      <c r="A324" s="0" t="n">
        <f aca="false">ROW()-1</f>
        <v>323</v>
      </c>
      <c r="B324" s="0" t="str">
        <f aca="true">IF(RAND()&lt;Assumptions!$B$11,"Bull","Bear")</f>
        <v>Bull</v>
      </c>
      <c r="C324" s="0" t="str">
        <f aca="true">IF(B324="Bull",IF(RAND()&lt;Assumptions!$B$7,"Bull","Bear"),IF(RAND()&lt;Assumptions!$B$10,"Bear","Bull"))</f>
        <v>Bear</v>
      </c>
      <c r="D324" s="0" t="str">
        <f aca="true">IF(C324="Bull",IF(RAND()&lt;Assumptions!$B$7,"Bull","Bear"),IF(RAND()&lt;Assumptions!$B$10,"Bear","Bull"))</f>
        <v>Bull</v>
      </c>
      <c r="E324" s="0" t="str">
        <f aca="true">IF(D324="Bull",IF(RAND()&lt;Assumptions!$B$7,"Bull","Bear"),IF(RAND()&lt;Assumptions!$B$10,"Bear","Bull"))</f>
        <v>Bull</v>
      </c>
      <c r="F324" s="0" t="str">
        <f aca="true">IF(E324="Bull",IF(RAND()&lt;Assumptions!$B$7,"Bull","Bear"),IF(RAND()&lt;Assumptions!$B$10,"Bear","Bull"))</f>
        <v>Bull</v>
      </c>
      <c r="G324" s="0" t="str">
        <f aca="true">IF(F324="Bull",IF(RAND()&lt;Assumptions!$B$7,"Bull","Bear"),IF(RAND()&lt;Assumptions!$B$10,"Bear","Bull"))</f>
        <v>Bull</v>
      </c>
      <c r="H324" s="8" t="n">
        <f aca="true">IF(B324="Bull",NORMINV(RAND(),Assumptions!$B$5,Assumptions!$B$6),NORMINV(RAND(),Assumptions!$B$8,Assumptions!$B$9))</f>
        <v>0.353447197957558</v>
      </c>
      <c r="I324" s="8" t="n">
        <f aca="true">IF(C324="Bull",NORMINV(RAND(),Assumptions!$B$5,Assumptions!$B$6),NORMINV(RAND(),Assumptions!$B$8,Assumptions!$B$9))</f>
        <v>-0.208938527927214</v>
      </c>
      <c r="J324" s="8" t="n">
        <f aca="true">IF(D324="Bull",NORMINV(RAND(),Assumptions!$B$5,Assumptions!$B$6),NORMINV(RAND(),Assumptions!$B$8,Assumptions!$B$9))</f>
        <v>0.109426302817104</v>
      </c>
      <c r="K324" s="8" t="n">
        <f aca="true">IF(E324="Bull",NORMINV(RAND(),Assumptions!$B$5,Assumptions!$B$6),NORMINV(RAND(),Assumptions!$B$8,Assumptions!$B$9))</f>
        <v>-0.0369333343983059</v>
      </c>
      <c r="L324" s="8" t="n">
        <f aca="true">IF(F324="Bull",NORMINV(RAND(),Assumptions!$B$5,Assumptions!$B$6),NORMINV(RAND(),Assumptions!$B$8,Assumptions!$B$9))</f>
        <v>0.157761538714737</v>
      </c>
      <c r="M324" s="8" t="n">
        <f aca="true">IF(G324="Bull",NORMINV(RAND(),Assumptions!$B$5,Assumptions!$B$6),NORMINV(RAND(),Assumptions!$B$8,Assumptions!$B$9))</f>
        <v>0.0899108186289859</v>
      </c>
      <c r="N324" s="8" t="n">
        <f aca="true">NORMINV(RAND(),Assumptions!$B$14,Assumptions!$B$15)</f>
        <v>-0.0367419661659643</v>
      </c>
      <c r="O324" s="8" t="n">
        <f aca="true">NORMINV(RAND(),Assumptions!$B$14,Assumptions!$B$15)</f>
        <v>0.0699613216458572</v>
      </c>
      <c r="P324" s="8" t="n">
        <f aca="true">NORMINV(RAND(),Assumptions!$B$14,Assumptions!$B$15)</f>
        <v>0.0344931566695805</v>
      </c>
      <c r="Q324" s="8" t="n">
        <f aca="true">NORMINV(RAND(),Assumptions!$B$14,Assumptions!$B$15)</f>
        <v>0.0924504566002907</v>
      </c>
      <c r="R324" s="8" t="n">
        <f aca="true">NORMINV(RAND(),Assumptions!$B$14,Assumptions!$B$15)</f>
        <v>0.0858324625869143</v>
      </c>
      <c r="S324" s="8" t="n">
        <f aca="true">NORMINV(RAND(),Assumptions!$B$14,Assumptions!$B$15)</f>
        <v>0.0538138132048187</v>
      </c>
      <c r="T324" s="8" t="n">
        <f aca="false">Assumptions!$B$19*H324+(1-Assumptions!$B$19)*N324</f>
        <v>0.353447197957558</v>
      </c>
      <c r="U324" s="8" t="n">
        <f aca="false">Assumptions!$B$20*I324+(1-Assumptions!$B$20)*O324</f>
        <v>-0.208938527927214</v>
      </c>
      <c r="V324" s="8" t="n">
        <f aca="false">Assumptions!$B$21*J324+(1-Assumptions!$B$21)*P324</f>
        <v>0.109426302817104</v>
      </c>
      <c r="W324" s="8" t="n">
        <f aca="false">Assumptions!$B$22*K324+(1-Assumptions!$B$22)*Q324</f>
        <v>-0.0369333343983059</v>
      </c>
      <c r="X324" s="8" t="n">
        <f aca="false">Assumptions!$B$23*L324+(1-Assumptions!$B$23)*R324</f>
        <v>0.143375723489172</v>
      </c>
      <c r="Y324" s="8" t="n">
        <f aca="false">Assumptions!$B$24*M324+(1-Assumptions!$B$24)*S324</f>
        <v>0.075472016459319</v>
      </c>
      <c r="Z324" s="6" t="n">
        <f aca="false">Assumptions!$B$27*(1+T324)</f>
        <v>406034.159387268</v>
      </c>
      <c r="AA324" s="6" t="n">
        <f aca="false">(Z324+Assumptions!$B$28)*(1+U324)</f>
        <v>439857.200647646</v>
      </c>
      <c r="AB324" s="6" t="n">
        <f aca="false">AA324*(1+V324)</f>
        <v>487989.147881999</v>
      </c>
      <c r="AC324" s="6" t="n">
        <f aca="false">AB324*(1+W324)</f>
        <v>469966.081500529</v>
      </c>
      <c r="AD324" s="6" t="n">
        <f aca="false">AC324*(1+X324)</f>
        <v>537347.808451039</v>
      </c>
      <c r="AE324" s="6" t="n">
        <f aca="false">AD324*(1+Y324)</f>
        <v>577902.531094834</v>
      </c>
      <c r="AF324" s="6" t="n">
        <f aca="false">Z324</f>
        <v>406034.159387268</v>
      </c>
      <c r="AG324" s="6" t="n">
        <f aca="false">MAX(AF324,AA324)</f>
        <v>439857.200647646</v>
      </c>
      <c r="AH324" s="6" t="n">
        <f aca="false">MAX(AG324,AB324)</f>
        <v>487989.147881999</v>
      </c>
      <c r="AI324" s="6" t="n">
        <f aca="false">MAX(AH324,AC324)</f>
        <v>487989.147881999</v>
      </c>
      <c r="AJ324" s="6" t="n">
        <f aca="false">MAX(AI324,AD324)</f>
        <v>537347.808451039</v>
      </c>
      <c r="AK324" s="6" t="n">
        <f aca="false">MAX(AJ324,AE324)</f>
        <v>577902.531094834</v>
      </c>
      <c r="AL324" s="8" t="n">
        <f aca="false">MIN(Z324/AF324-1,AA324/AG324-1,AB324/AH324-1,AC324/AI324-1,AD324/AJ324-1,AE324/AK324-1)</f>
        <v>-0.0369333343983058</v>
      </c>
      <c r="AM324" s="6" t="n">
        <f aca="false">AE324-Assumptions!$B$35</f>
        <v>136638.534432331</v>
      </c>
    </row>
    <row r="325" customFormat="false" ht="15" hidden="false" customHeight="false" outlineLevel="0" collapsed="false">
      <c r="A325" s="0" t="n">
        <f aca="false">ROW()-1</f>
        <v>324</v>
      </c>
      <c r="B325" s="0" t="str">
        <f aca="true">IF(RAND()&lt;Assumptions!$B$11,"Bull","Bear")</f>
        <v>Bull</v>
      </c>
      <c r="C325" s="0" t="str">
        <f aca="true">IF(B325="Bull",IF(RAND()&lt;Assumptions!$B$7,"Bull","Bear"),IF(RAND()&lt;Assumptions!$B$10,"Bear","Bull"))</f>
        <v>Bear</v>
      </c>
      <c r="D325" s="0" t="str">
        <f aca="true">IF(C325="Bull",IF(RAND()&lt;Assumptions!$B$7,"Bull","Bear"),IF(RAND()&lt;Assumptions!$B$10,"Bear","Bull"))</f>
        <v>Bear</v>
      </c>
      <c r="E325" s="0" t="str">
        <f aca="true">IF(D325="Bull",IF(RAND()&lt;Assumptions!$B$7,"Bull","Bear"),IF(RAND()&lt;Assumptions!$B$10,"Bear","Bull"))</f>
        <v>Bull</v>
      </c>
      <c r="F325" s="0" t="str">
        <f aca="true">IF(E325="Bull",IF(RAND()&lt;Assumptions!$B$7,"Bull","Bear"),IF(RAND()&lt;Assumptions!$B$10,"Bear","Bull"))</f>
        <v>Bull</v>
      </c>
      <c r="G325" s="0" t="str">
        <f aca="true">IF(F325="Bull",IF(RAND()&lt;Assumptions!$B$7,"Bull","Bear"),IF(RAND()&lt;Assumptions!$B$10,"Bear","Bull"))</f>
        <v>Bull</v>
      </c>
      <c r="H325" s="8" t="n">
        <f aca="true">IF(B325="Bull",NORMINV(RAND(),Assumptions!$B$5,Assumptions!$B$6),NORMINV(RAND(),Assumptions!$B$8,Assumptions!$B$9))</f>
        <v>0.254556519225903</v>
      </c>
      <c r="I325" s="8" t="n">
        <f aca="true">IF(C325="Bull",NORMINV(RAND(),Assumptions!$B$5,Assumptions!$B$6),NORMINV(RAND(),Assumptions!$B$8,Assumptions!$B$9))</f>
        <v>-0.178694703858288</v>
      </c>
      <c r="J325" s="8" t="n">
        <f aca="true">IF(D325="Bull",NORMINV(RAND(),Assumptions!$B$5,Assumptions!$B$6),NORMINV(RAND(),Assumptions!$B$8,Assumptions!$B$9))</f>
        <v>-0.496445135187001</v>
      </c>
      <c r="K325" s="8" t="n">
        <f aca="true">IF(E325="Bull",NORMINV(RAND(),Assumptions!$B$5,Assumptions!$B$6),NORMINV(RAND(),Assumptions!$B$8,Assumptions!$B$9))</f>
        <v>0.0119723102435885</v>
      </c>
      <c r="L325" s="8" t="n">
        <f aca="true">IF(F325="Bull",NORMINV(RAND(),Assumptions!$B$5,Assumptions!$B$6),NORMINV(RAND(),Assumptions!$B$8,Assumptions!$B$9))</f>
        <v>0.08044246535024</v>
      </c>
      <c r="M325" s="8" t="n">
        <f aca="true">IF(G325="Bull",NORMINV(RAND(),Assumptions!$B$5,Assumptions!$B$6),NORMINV(RAND(),Assumptions!$B$8,Assumptions!$B$9))</f>
        <v>0.142230030026418</v>
      </c>
      <c r="N325" s="8" t="n">
        <f aca="true">NORMINV(RAND(),Assumptions!$B$14,Assumptions!$B$15)</f>
        <v>0.064508790882106</v>
      </c>
      <c r="O325" s="8" t="n">
        <f aca="true">NORMINV(RAND(),Assumptions!$B$14,Assumptions!$B$15)</f>
        <v>0.0353362798776427</v>
      </c>
      <c r="P325" s="8" t="n">
        <f aca="true">NORMINV(RAND(),Assumptions!$B$14,Assumptions!$B$15)</f>
        <v>0.0446411147545885</v>
      </c>
      <c r="Q325" s="8" t="n">
        <f aca="true">NORMINV(RAND(),Assumptions!$B$14,Assumptions!$B$15)</f>
        <v>0.0672205094835139</v>
      </c>
      <c r="R325" s="8" t="n">
        <f aca="true">NORMINV(RAND(),Assumptions!$B$14,Assumptions!$B$15)</f>
        <v>0.0335115595643627</v>
      </c>
      <c r="S325" s="8" t="n">
        <f aca="true">NORMINV(RAND(),Assumptions!$B$14,Assumptions!$B$15)</f>
        <v>0.0666852877992709</v>
      </c>
      <c r="T325" s="8" t="n">
        <f aca="false">Assumptions!$B$19*H325+(1-Assumptions!$B$19)*N325</f>
        <v>0.254556519225903</v>
      </c>
      <c r="U325" s="8" t="n">
        <f aca="false">Assumptions!$B$20*I325+(1-Assumptions!$B$20)*O325</f>
        <v>-0.178694703858288</v>
      </c>
      <c r="V325" s="8" t="n">
        <f aca="false">Assumptions!$B$21*J325+(1-Assumptions!$B$21)*P325</f>
        <v>-0.496445135187001</v>
      </c>
      <c r="W325" s="8" t="n">
        <f aca="false">Assumptions!$B$22*K325+(1-Assumptions!$B$22)*Q325</f>
        <v>0.0119723102435885</v>
      </c>
      <c r="X325" s="8" t="n">
        <f aca="false">Assumptions!$B$23*L325+(1-Assumptions!$B$23)*R325</f>
        <v>0.0710562841930646</v>
      </c>
      <c r="Y325" s="8" t="n">
        <f aca="false">Assumptions!$B$24*M325+(1-Assumptions!$B$24)*S325</f>
        <v>0.112012133135559</v>
      </c>
      <c r="Z325" s="6" t="n">
        <f aca="false">Assumptions!$B$27*(1+T325)</f>
        <v>376366.955767771</v>
      </c>
      <c r="AA325" s="6" t="n">
        <f aca="false">(Z325+Assumptions!$B$28)*(1+U325)</f>
        <v>432307.968486061</v>
      </c>
      <c r="AB325" s="6" t="n">
        <f aca="false">AA325*(1+V325)</f>
        <v>217690.78062858</v>
      </c>
      <c r="AC325" s="6" t="n">
        <f aca="false">AB325*(1+W325)</f>
        <v>220297.042191435</v>
      </c>
      <c r="AD325" s="6" t="n">
        <f aca="false">AC325*(1+X325)</f>
        <v>235950.531428281</v>
      </c>
      <c r="AE325" s="6" t="n">
        <f aca="false">AD325*(1+Y325)</f>
        <v>262379.853768031</v>
      </c>
      <c r="AF325" s="6" t="n">
        <f aca="false">Z325</f>
        <v>376366.955767771</v>
      </c>
      <c r="AG325" s="6" t="n">
        <f aca="false">MAX(AF325,AA325)</f>
        <v>432307.968486061</v>
      </c>
      <c r="AH325" s="6" t="n">
        <f aca="false">MAX(AG325,AB325)</f>
        <v>432307.968486061</v>
      </c>
      <c r="AI325" s="6" t="n">
        <f aca="false">MAX(AH325,AC325)</f>
        <v>432307.968486061</v>
      </c>
      <c r="AJ325" s="6" t="n">
        <f aca="false">MAX(AI325,AD325)</f>
        <v>432307.968486061</v>
      </c>
      <c r="AK325" s="6" t="n">
        <f aca="false">MAX(AJ325,AE325)</f>
        <v>432307.968486061</v>
      </c>
      <c r="AL325" s="8" t="n">
        <f aca="false">MIN(Z325/AF325-1,AA325/AG325-1,AB325/AH325-1,AC325/AI325-1,AD325/AJ325-1,AE325/AK325-1)</f>
        <v>-0.496445135187001</v>
      </c>
      <c r="AM325" s="6" t="n">
        <f aca="false">AE325-Assumptions!$B$35</f>
        <v>-178884.142894472</v>
      </c>
    </row>
    <row r="326" customFormat="false" ht="15" hidden="false" customHeight="false" outlineLevel="0" collapsed="false">
      <c r="A326" s="0" t="n">
        <f aca="false">ROW()-1</f>
        <v>325</v>
      </c>
      <c r="B326" s="0" t="str">
        <f aca="true">IF(RAND()&lt;Assumptions!$B$11,"Bull","Bear")</f>
        <v>Bear</v>
      </c>
      <c r="C326" s="0" t="str">
        <f aca="true">IF(B326="Bull",IF(RAND()&lt;Assumptions!$B$7,"Bull","Bear"),IF(RAND()&lt;Assumptions!$B$10,"Bear","Bull"))</f>
        <v>Bear</v>
      </c>
      <c r="D326" s="0" t="str">
        <f aca="true">IF(C326="Bull",IF(RAND()&lt;Assumptions!$B$7,"Bull","Bear"),IF(RAND()&lt;Assumptions!$B$10,"Bear","Bull"))</f>
        <v>Bull</v>
      </c>
      <c r="E326" s="0" t="str">
        <f aca="true">IF(D326="Bull",IF(RAND()&lt;Assumptions!$B$7,"Bull","Bear"),IF(RAND()&lt;Assumptions!$B$10,"Bear","Bull"))</f>
        <v>Bear</v>
      </c>
      <c r="F326" s="0" t="str">
        <f aca="true">IF(E326="Bull",IF(RAND()&lt;Assumptions!$B$7,"Bull","Bear"),IF(RAND()&lt;Assumptions!$B$10,"Bear","Bull"))</f>
        <v>Bull</v>
      </c>
      <c r="G326" s="0" t="str">
        <f aca="true">IF(F326="Bull",IF(RAND()&lt;Assumptions!$B$7,"Bull","Bear"),IF(RAND()&lt;Assumptions!$B$10,"Bear","Bull"))</f>
        <v>Bear</v>
      </c>
      <c r="H326" s="8" t="n">
        <f aca="true">IF(B326="Bull",NORMINV(RAND(),Assumptions!$B$5,Assumptions!$B$6),NORMINV(RAND(),Assumptions!$B$8,Assumptions!$B$9))</f>
        <v>-0.15633155842754</v>
      </c>
      <c r="I326" s="8" t="n">
        <f aca="true">IF(C326="Bull",NORMINV(RAND(),Assumptions!$B$5,Assumptions!$B$6),NORMINV(RAND(),Assumptions!$B$8,Assumptions!$B$9))</f>
        <v>-0.0824275684317477</v>
      </c>
      <c r="J326" s="8" t="n">
        <f aca="true">IF(D326="Bull",NORMINV(RAND(),Assumptions!$B$5,Assumptions!$B$6),NORMINV(RAND(),Assumptions!$B$8,Assumptions!$B$9))</f>
        <v>0.190966008574975</v>
      </c>
      <c r="K326" s="8" t="n">
        <f aca="true">IF(E326="Bull",NORMINV(RAND(),Assumptions!$B$5,Assumptions!$B$6),NORMINV(RAND(),Assumptions!$B$8,Assumptions!$B$9))</f>
        <v>0.197280986832865</v>
      </c>
      <c r="L326" s="8" t="n">
        <f aca="true">IF(F326="Bull",NORMINV(RAND(),Assumptions!$B$5,Assumptions!$B$6),NORMINV(RAND(),Assumptions!$B$8,Assumptions!$B$9))</f>
        <v>0.122623048125494</v>
      </c>
      <c r="M326" s="8" t="n">
        <f aca="true">IF(G326="Bull",NORMINV(RAND(),Assumptions!$B$5,Assumptions!$B$6),NORMINV(RAND(),Assumptions!$B$8,Assumptions!$B$9))</f>
        <v>0.0847586390132593</v>
      </c>
      <c r="N326" s="8" t="n">
        <f aca="true">NORMINV(RAND(),Assumptions!$B$14,Assumptions!$B$15)</f>
        <v>0.0489439422820866</v>
      </c>
      <c r="O326" s="8" t="n">
        <f aca="true">NORMINV(RAND(),Assumptions!$B$14,Assumptions!$B$15)</f>
        <v>0.0863322434287237</v>
      </c>
      <c r="P326" s="8" t="n">
        <f aca="true">NORMINV(RAND(),Assumptions!$B$14,Assumptions!$B$15)</f>
        <v>0.047832321429974</v>
      </c>
      <c r="Q326" s="8" t="n">
        <f aca="true">NORMINV(RAND(),Assumptions!$B$14,Assumptions!$B$15)</f>
        <v>0.0350699028838406</v>
      </c>
      <c r="R326" s="8" t="n">
        <f aca="true">NORMINV(RAND(),Assumptions!$B$14,Assumptions!$B$15)</f>
        <v>0.00320654678029132</v>
      </c>
      <c r="S326" s="8" t="n">
        <f aca="true">NORMINV(RAND(),Assumptions!$B$14,Assumptions!$B$15)</f>
        <v>0.0368024485751368</v>
      </c>
      <c r="T326" s="8" t="n">
        <f aca="false">Assumptions!$B$19*H326+(1-Assumptions!$B$19)*N326</f>
        <v>-0.15633155842754</v>
      </c>
      <c r="U326" s="8" t="n">
        <f aca="false">Assumptions!$B$20*I326+(1-Assumptions!$B$20)*O326</f>
        <v>-0.0824275684317477</v>
      </c>
      <c r="V326" s="8" t="n">
        <f aca="false">Assumptions!$B$21*J326+(1-Assumptions!$B$21)*P326</f>
        <v>0.190966008574975</v>
      </c>
      <c r="W326" s="8" t="n">
        <f aca="false">Assumptions!$B$22*K326+(1-Assumptions!$B$22)*Q326</f>
        <v>0.197280986832865</v>
      </c>
      <c r="X326" s="8" t="n">
        <f aca="false">Assumptions!$B$23*L326+(1-Assumptions!$B$23)*R326</f>
        <v>0.0987397478564531</v>
      </c>
      <c r="Y326" s="8" t="n">
        <f aca="false">Assumptions!$B$24*M326+(1-Assumptions!$B$24)*S326</f>
        <v>0.0655761628380103</v>
      </c>
      <c r="Z326" s="6" t="n">
        <f aca="false">Assumptions!$B$27*(1+T326)</f>
        <v>253100.532471738</v>
      </c>
      <c r="AA326" s="6" t="n">
        <f aca="false">(Z326+Assumptions!$B$28)*(1+U326)</f>
        <v>369873.93574655</v>
      </c>
      <c r="AB326" s="6" t="n">
        <f aca="false">AA326*(1+V326)</f>
        <v>440507.284931986</v>
      </c>
      <c r="AC326" s="6" t="n">
        <f aca="false">AB326*(1+W326)</f>
        <v>527410.996810434</v>
      </c>
      <c r="AD326" s="6" t="n">
        <f aca="false">AC326*(1+X326)</f>
        <v>579487.425652217</v>
      </c>
      <c r="AE326" s="6" t="n">
        <f aca="false">AD326*(1+Y326)</f>
        <v>617487.987439366</v>
      </c>
      <c r="AF326" s="6" t="n">
        <f aca="false">Z326</f>
        <v>253100.532471738</v>
      </c>
      <c r="AG326" s="6" t="n">
        <f aca="false">MAX(AF326,AA326)</f>
        <v>369873.93574655</v>
      </c>
      <c r="AH326" s="6" t="n">
        <f aca="false">MAX(AG326,AB326)</f>
        <v>440507.284931986</v>
      </c>
      <c r="AI326" s="6" t="n">
        <f aca="false">MAX(AH326,AC326)</f>
        <v>527410.996810434</v>
      </c>
      <c r="AJ326" s="6" t="n">
        <f aca="false">MAX(AI326,AD326)</f>
        <v>579487.425652217</v>
      </c>
      <c r="AK326" s="6" t="n">
        <f aca="false">MAX(AJ326,AE326)</f>
        <v>617487.987439366</v>
      </c>
      <c r="AL326" s="8" t="n">
        <f aca="false">MIN(Z326/AF326-1,AA326/AG326-1,AB326/AH326-1,AC326/AI326-1,AD326/AJ326-1,AE326/AK326-1)</f>
        <v>0</v>
      </c>
      <c r="AM326" s="6" t="n">
        <f aca="false">AE326-Assumptions!$B$35</f>
        <v>176223.990776862</v>
      </c>
    </row>
    <row r="327" customFormat="false" ht="15" hidden="false" customHeight="false" outlineLevel="0" collapsed="false">
      <c r="A327" s="0" t="n">
        <f aca="false">ROW()-1</f>
        <v>326</v>
      </c>
      <c r="B327" s="0" t="str">
        <f aca="true">IF(RAND()&lt;Assumptions!$B$11,"Bull","Bear")</f>
        <v>Bull</v>
      </c>
      <c r="C327" s="0" t="str">
        <f aca="true">IF(B327="Bull",IF(RAND()&lt;Assumptions!$B$7,"Bull","Bear"),IF(RAND()&lt;Assumptions!$B$10,"Bear","Bull"))</f>
        <v>Bull</v>
      </c>
      <c r="D327" s="0" t="str">
        <f aca="true">IF(C327="Bull",IF(RAND()&lt;Assumptions!$B$7,"Bull","Bear"),IF(RAND()&lt;Assumptions!$B$10,"Bear","Bull"))</f>
        <v>Bull</v>
      </c>
      <c r="E327" s="0" t="str">
        <f aca="true">IF(D327="Bull",IF(RAND()&lt;Assumptions!$B$7,"Bull","Bear"),IF(RAND()&lt;Assumptions!$B$10,"Bear","Bull"))</f>
        <v>Bull</v>
      </c>
      <c r="F327" s="0" t="str">
        <f aca="true">IF(E327="Bull",IF(RAND()&lt;Assumptions!$B$7,"Bull","Bear"),IF(RAND()&lt;Assumptions!$B$10,"Bear","Bull"))</f>
        <v>Bull</v>
      </c>
      <c r="G327" s="0" t="str">
        <f aca="true">IF(F327="Bull",IF(RAND()&lt;Assumptions!$B$7,"Bull","Bear"),IF(RAND()&lt;Assumptions!$B$10,"Bear","Bull"))</f>
        <v>Bull</v>
      </c>
      <c r="H327" s="8" t="n">
        <f aca="true">IF(B327="Bull",NORMINV(RAND(),Assumptions!$B$5,Assumptions!$B$6),NORMINV(RAND(),Assumptions!$B$8,Assumptions!$B$9))</f>
        <v>0.0507576707822831</v>
      </c>
      <c r="I327" s="8" t="n">
        <f aca="true">IF(C327="Bull",NORMINV(RAND(),Assumptions!$B$5,Assumptions!$B$6),NORMINV(RAND(),Assumptions!$B$8,Assumptions!$B$9))</f>
        <v>0.318816051957625</v>
      </c>
      <c r="J327" s="8" t="n">
        <f aca="true">IF(D327="Bull",NORMINV(RAND(),Assumptions!$B$5,Assumptions!$B$6),NORMINV(RAND(),Assumptions!$B$8,Assumptions!$B$9))</f>
        <v>0.246855700159569</v>
      </c>
      <c r="K327" s="8" t="n">
        <f aca="true">IF(E327="Bull",NORMINV(RAND(),Assumptions!$B$5,Assumptions!$B$6),NORMINV(RAND(),Assumptions!$B$8,Assumptions!$B$9))</f>
        <v>0.1136375510789</v>
      </c>
      <c r="L327" s="8" t="n">
        <f aca="true">IF(F327="Bull",NORMINV(RAND(),Assumptions!$B$5,Assumptions!$B$6),NORMINV(RAND(),Assumptions!$B$8,Assumptions!$B$9))</f>
        <v>0.176611260919991</v>
      </c>
      <c r="M327" s="8" t="n">
        <f aca="true">IF(G327="Bull",NORMINV(RAND(),Assumptions!$B$5,Assumptions!$B$6),NORMINV(RAND(),Assumptions!$B$8,Assumptions!$B$9))</f>
        <v>0.17644578388434</v>
      </c>
      <c r="N327" s="8" t="n">
        <f aca="true">NORMINV(RAND(),Assumptions!$B$14,Assumptions!$B$15)</f>
        <v>0.029877227872649</v>
      </c>
      <c r="O327" s="8" t="n">
        <f aca="true">NORMINV(RAND(),Assumptions!$B$14,Assumptions!$B$15)</f>
        <v>0.0387486614386318</v>
      </c>
      <c r="P327" s="8" t="n">
        <f aca="true">NORMINV(RAND(),Assumptions!$B$14,Assumptions!$B$15)</f>
        <v>0.0503475966438722</v>
      </c>
      <c r="Q327" s="8" t="n">
        <f aca="true">NORMINV(RAND(),Assumptions!$B$14,Assumptions!$B$15)</f>
        <v>0.0701983640819131</v>
      </c>
      <c r="R327" s="8" t="n">
        <f aca="true">NORMINV(RAND(),Assumptions!$B$14,Assumptions!$B$15)</f>
        <v>0.00827706419915263</v>
      </c>
      <c r="S327" s="8" t="n">
        <f aca="true">NORMINV(RAND(),Assumptions!$B$14,Assumptions!$B$15)</f>
        <v>0.0454014401025475</v>
      </c>
      <c r="T327" s="8" t="n">
        <f aca="false">Assumptions!$B$19*H327+(1-Assumptions!$B$19)*N327</f>
        <v>0.0507576707822831</v>
      </c>
      <c r="U327" s="8" t="n">
        <f aca="false">Assumptions!$B$20*I327+(1-Assumptions!$B$20)*O327</f>
        <v>0.318816051957625</v>
      </c>
      <c r="V327" s="8" t="n">
        <f aca="false">Assumptions!$B$21*J327+(1-Assumptions!$B$21)*P327</f>
        <v>0.246855700159569</v>
      </c>
      <c r="W327" s="8" t="n">
        <f aca="false">Assumptions!$B$22*K327+(1-Assumptions!$B$22)*Q327</f>
        <v>0.1136375510789</v>
      </c>
      <c r="X327" s="8" t="n">
        <f aca="false">Assumptions!$B$23*L327+(1-Assumptions!$B$23)*R327</f>
        <v>0.142944421575823</v>
      </c>
      <c r="Y327" s="8" t="n">
        <f aca="false">Assumptions!$B$24*M327+(1-Assumptions!$B$24)*S327</f>
        <v>0.124028046371623</v>
      </c>
      <c r="Z327" s="6" t="n">
        <f aca="false">Assumptions!$B$27*(1+T327)</f>
        <v>315227.301234685</v>
      </c>
      <c r="AA327" s="6" t="n">
        <f aca="false">(Z327+Assumptions!$B$28)*(1+U327)</f>
        <v>613549.232677228</v>
      </c>
      <c r="AB327" s="6" t="n">
        <f aca="false">AA327*(1+V327)</f>
        <v>765007.358092131</v>
      </c>
      <c r="AC327" s="6" t="n">
        <f aca="false">AB327*(1+W327)</f>
        <v>851940.92082306</v>
      </c>
      <c r="AD327" s="6" t="n">
        <f aca="false">AC327*(1+X327)</f>
        <v>973721.122966886</v>
      </c>
      <c r="AE327" s="6" t="n">
        <f aca="false">AD327*(1+Y327)</f>
        <v>1094489.85155925</v>
      </c>
      <c r="AF327" s="6" t="n">
        <f aca="false">Z327</f>
        <v>315227.301234685</v>
      </c>
      <c r="AG327" s="6" t="n">
        <f aca="false">MAX(AF327,AA327)</f>
        <v>613549.232677228</v>
      </c>
      <c r="AH327" s="6" t="n">
        <f aca="false">MAX(AG327,AB327)</f>
        <v>765007.358092131</v>
      </c>
      <c r="AI327" s="6" t="n">
        <f aca="false">MAX(AH327,AC327)</f>
        <v>851940.92082306</v>
      </c>
      <c r="AJ327" s="6" t="n">
        <f aca="false">MAX(AI327,AD327)</f>
        <v>973721.122966886</v>
      </c>
      <c r="AK327" s="6" t="n">
        <f aca="false">MAX(AJ327,AE327)</f>
        <v>1094489.85155925</v>
      </c>
      <c r="AL327" s="8" t="n">
        <f aca="false">MIN(Z327/AF327-1,AA327/AG327-1,AB327/AH327-1,AC327/AI327-1,AD327/AJ327-1,AE327/AK327-1)</f>
        <v>0</v>
      </c>
      <c r="AM327" s="6" t="n">
        <f aca="false">AE327-Assumptions!$B$35</f>
        <v>653225.854896749</v>
      </c>
    </row>
    <row r="328" customFormat="false" ht="15" hidden="false" customHeight="false" outlineLevel="0" collapsed="false">
      <c r="A328" s="0" t="n">
        <f aca="false">ROW()-1</f>
        <v>327</v>
      </c>
      <c r="B328" s="0" t="str">
        <f aca="true">IF(RAND()&lt;Assumptions!$B$11,"Bull","Bear")</f>
        <v>Bear</v>
      </c>
      <c r="C328" s="0" t="str">
        <f aca="true">IF(B328="Bull",IF(RAND()&lt;Assumptions!$B$7,"Bull","Bear"),IF(RAND()&lt;Assumptions!$B$10,"Bear","Bull"))</f>
        <v>Bull</v>
      </c>
      <c r="D328" s="0" t="str">
        <f aca="true">IF(C328="Bull",IF(RAND()&lt;Assumptions!$B$7,"Bull","Bear"),IF(RAND()&lt;Assumptions!$B$10,"Bear","Bull"))</f>
        <v>Bull</v>
      </c>
      <c r="E328" s="0" t="str">
        <f aca="true">IF(D328="Bull",IF(RAND()&lt;Assumptions!$B$7,"Bull","Bear"),IF(RAND()&lt;Assumptions!$B$10,"Bear","Bull"))</f>
        <v>Bull</v>
      </c>
      <c r="F328" s="0" t="str">
        <f aca="true">IF(E328="Bull",IF(RAND()&lt;Assumptions!$B$7,"Bull","Bear"),IF(RAND()&lt;Assumptions!$B$10,"Bear","Bull"))</f>
        <v>Bear</v>
      </c>
      <c r="G328" s="0" t="str">
        <f aca="true">IF(F328="Bull",IF(RAND()&lt;Assumptions!$B$7,"Bull","Bear"),IF(RAND()&lt;Assumptions!$B$10,"Bear","Bull"))</f>
        <v>Bear</v>
      </c>
      <c r="H328" s="8" t="n">
        <f aca="true">IF(B328="Bull",NORMINV(RAND(),Assumptions!$B$5,Assumptions!$B$6),NORMINV(RAND(),Assumptions!$B$8,Assumptions!$B$9))</f>
        <v>0.257421613905043</v>
      </c>
      <c r="I328" s="8" t="n">
        <f aca="true">IF(C328="Bull",NORMINV(RAND(),Assumptions!$B$5,Assumptions!$B$6),NORMINV(RAND(),Assumptions!$B$8,Assumptions!$B$9))</f>
        <v>0.105142633984522</v>
      </c>
      <c r="J328" s="8" t="n">
        <f aca="true">IF(D328="Bull",NORMINV(RAND(),Assumptions!$B$5,Assumptions!$B$6),NORMINV(RAND(),Assumptions!$B$8,Assumptions!$B$9))</f>
        <v>0.118577155882481</v>
      </c>
      <c r="K328" s="8" t="n">
        <f aca="true">IF(E328="Bull",NORMINV(RAND(),Assumptions!$B$5,Assumptions!$B$6),NORMINV(RAND(),Assumptions!$B$8,Assumptions!$B$9))</f>
        <v>0.229188380695387</v>
      </c>
      <c r="L328" s="8" t="n">
        <f aca="true">IF(F328="Bull",NORMINV(RAND(),Assumptions!$B$5,Assumptions!$B$6),NORMINV(RAND(),Assumptions!$B$8,Assumptions!$B$9))</f>
        <v>-0.460361492759734</v>
      </c>
      <c r="M328" s="8" t="n">
        <f aca="true">IF(G328="Bull",NORMINV(RAND(),Assumptions!$B$5,Assumptions!$B$6),NORMINV(RAND(),Assumptions!$B$8,Assumptions!$B$9))</f>
        <v>0.0329931568891119</v>
      </c>
      <c r="N328" s="8" t="n">
        <f aca="true">NORMINV(RAND(),Assumptions!$B$14,Assumptions!$B$15)</f>
        <v>0.0834832974340771</v>
      </c>
      <c r="O328" s="8" t="n">
        <f aca="true">NORMINV(RAND(),Assumptions!$B$14,Assumptions!$B$15)</f>
        <v>0.0435664764006251</v>
      </c>
      <c r="P328" s="8" t="n">
        <f aca="true">NORMINV(RAND(),Assumptions!$B$14,Assumptions!$B$15)</f>
        <v>0.0546239567441363</v>
      </c>
      <c r="Q328" s="8" t="n">
        <f aca="true">NORMINV(RAND(),Assumptions!$B$14,Assumptions!$B$15)</f>
        <v>0.014528124517695</v>
      </c>
      <c r="R328" s="8" t="n">
        <f aca="true">NORMINV(RAND(),Assumptions!$B$14,Assumptions!$B$15)</f>
        <v>0.0546849562526151</v>
      </c>
      <c r="S328" s="8" t="n">
        <f aca="true">NORMINV(RAND(),Assumptions!$B$14,Assumptions!$B$15)</f>
        <v>0.0578814343333671</v>
      </c>
      <c r="T328" s="8" t="n">
        <f aca="false">Assumptions!$B$19*H328+(1-Assumptions!$B$19)*N328</f>
        <v>0.257421613905043</v>
      </c>
      <c r="U328" s="8" t="n">
        <f aca="false">Assumptions!$B$20*I328+(1-Assumptions!$B$20)*O328</f>
        <v>0.105142633984522</v>
      </c>
      <c r="V328" s="8" t="n">
        <f aca="false">Assumptions!$B$21*J328+(1-Assumptions!$B$21)*P328</f>
        <v>0.118577155882481</v>
      </c>
      <c r="W328" s="8" t="n">
        <f aca="false">Assumptions!$B$22*K328+(1-Assumptions!$B$22)*Q328</f>
        <v>0.229188380695387</v>
      </c>
      <c r="X328" s="8" t="n">
        <f aca="false">Assumptions!$B$23*L328+(1-Assumptions!$B$23)*R328</f>
        <v>-0.357352202957264</v>
      </c>
      <c r="Y328" s="8" t="n">
        <f aca="false">Assumptions!$B$24*M328+(1-Assumptions!$B$24)*S328</f>
        <v>0.042948467866814</v>
      </c>
      <c r="Z328" s="6" t="n">
        <f aca="false">Assumptions!$B$27*(1+T328)</f>
        <v>377226.484171513</v>
      </c>
      <c r="AA328" s="6" t="n">
        <f aca="false">(Z328+Assumptions!$B$28)*(1+U328)</f>
        <v>582660.465423705</v>
      </c>
      <c r="AB328" s="6" t="n">
        <f aca="false">AA328*(1+V328)</f>
        <v>651750.686258811</v>
      </c>
      <c r="AC328" s="6" t="n">
        <f aca="false">AB328*(1+W328)</f>
        <v>801124.370659575</v>
      </c>
      <c r="AD328" s="6" t="n">
        <f aca="false">AC328*(1+X328)</f>
        <v>514840.811961624</v>
      </c>
      <c r="AE328" s="6" t="n">
        <f aca="false">AD328*(1+Y328)</f>
        <v>536952.436030682</v>
      </c>
      <c r="AF328" s="6" t="n">
        <f aca="false">Z328</f>
        <v>377226.484171513</v>
      </c>
      <c r="AG328" s="6" t="n">
        <f aca="false">MAX(AF328,AA328)</f>
        <v>582660.465423705</v>
      </c>
      <c r="AH328" s="6" t="n">
        <f aca="false">MAX(AG328,AB328)</f>
        <v>651750.686258811</v>
      </c>
      <c r="AI328" s="6" t="n">
        <f aca="false">MAX(AH328,AC328)</f>
        <v>801124.370659575</v>
      </c>
      <c r="AJ328" s="6" t="n">
        <f aca="false">MAX(AI328,AD328)</f>
        <v>801124.370659575</v>
      </c>
      <c r="AK328" s="6" t="n">
        <f aca="false">MAX(AJ328,AE328)</f>
        <v>801124.370659575</v>
      </c>
      <c r="AL328" s="8" t="n">
        <f aca="false">MIN(Z328/AF328-1,AA328/AG328-1,AB328/AH328-1,AC328/AI328-1,AD328/AJ328-1,AE328/AK328-1)</f>
        <v>-0.357352202957264</v>
      </c>
      <c r="AM328" s="6" t="n">
        <f aca="false">AE328-Assumptions!$B$35</f>
        <v>95688.4393681787</v>
      </c>
    </row>
    <row r="329" customFormat="false" ht="15" hidden="false" customHeight="false" outlineLevel="0" collapsed="false">
      <c r="A329" s="0" t="n">
        <f aca="false">ROW()-1</f>
        <v>328</v>
      </c>
      <c r="B329" s="0" t="str">
        <f aca="true">IF(RAND()&lt;Assumptions!$B$11,"Bull","Bear")</f>
        <v>Bear</v>
      </c>
      <c r="C329" s="0" t="str">
        <f aca="true">IF(B329="Bull",IF(RAND()&lt;Assumptions!$B$7,"Bull","Bear"),IF(RAND()&lt;Assumptions!$B$10,"Bear","Bull"))</f>
        <v>Bear</v>
      </c>
      <c r="D329" s="0" t="str">
        <f aca="true">IF(C329="Bull",IF(RAND()&lt;Assumptions!$B$7,"Bull","Bear"),IF(RAND()&lt;Assumptions!$B$10,"Bear","Bull"))</f>
        <v>Bear</v>
      </c>
      <c r="E329" s="0" t="str">
        <f aca="true">IF(D329="Bull",IF(RAND()&lt;Assumptions!$B$7,"Bull","Bear"),IF(RAND()&lt;Assumptions!$B$10,"Bear","Bull"))</f>
        <v>Bull</v>
      </c>
      <c r="F329" s="0" t="str">
        <f aca="true">IF(E329="Bull",IF(RAND()&lt;Assumptions!$B$7,"Bull","Bear"),IF(RAND()&lt;Assumptions!$B$10,"Bear","Bull"))</f>
        <v>Bull</v>
      </c>
      <c r="G329" s="0" t="str">
        <f aca="true">IF(F329="Bull",IF(RAND()&lt;Assumptions!$B$7,"Bull","Bear"),IF(RAND()&lt;Assumptions!$B$10,"Bear","Bull"))</f>
        <v>Bull</v>
      </c>
      <c r="H329" s="8" t="n">
        <f aca="true">IF(B329="Bull",NORMINV(RAND(),Assumptions!$B$5,Assumptions!$B$6),NORMINV(RAND(),Assumptions!$B$8,Assumptions!$B$9))</f>
        <v>-0.725231361220563</v>
      </c>
      <c r="I329" s="8" t="n">
        <f aca="true">IF(C329="Bull",NORMINV(RAND(),Assumptions!$B$5,Assumptions!$B$6),NORMINV(RAND(),Assumptions!$B$8,Assumptions!$B$9))</f>
        <v>-0.0450222471511995</v>
      </c>
      <c r="J329" s="8" t="n">
        <f aca="true">IF(D329="Bull",NORMINV(RAND(),Assumptions!$B$5,Assumptions!$B$6),NORMINV(RAND(),Assumptions!$B$8,Assumptions!$B$9))</f>
        <v>0.00856810299757724</v>
      </c>
      <c r="K329" s="8" t="n">
        <f aca="true">IF(E329="Bull",NORMINV(RAND(),Assumptions!$B$5,Assumptions!$B$6),NORMINV(RAND(),Assumptions!$B$8,Assumptions!$B$9))</f>
        <v>0.06759824297241</v>
      </c>
      <c r="L329" s="8" t="n">
        <f aca="true">IF(F329="Bull",NORMINV(RAND(),Assumptions!$B$5,Assumptions!$B$6),NORMINV(RAND(),Assumptions!$B$8,Assumptions!$B$9))</f>
        <v>0.207369798637043</v>
      </c>
      <c r="M329" s="8" t="n">
        <f aca="true">IF(G329="Bull",NORMINV(RAND(),Assumptions!$B$5,Assumptions!$B$6),NORMINV(RAND(),Assumptions!$B$8,Assumptions!$B$9))</f>
        <v>0.298215003555263</v>
      </c>
      <c r="N329" s="8" t="n">
        <f aca="true">NORMINV(RAND(),Assumptions!$B$14,Assumptions!$B$15)</f>
        <v>0.0451254270750081</v>
      </c>
      <c r="O329" s="8" t="n">
        <f aca="true">NORMINV(RAND(),Assumptions!$B$14,Assumptions!$B$15)</f>
        <v>0.0516171197544505</v>
      </c>
      <c r="P329" s="8" t="n">
        <f aca="true">NORMINV(RAND(),Assumptions!$B$14,Assumptions!$B$15)</f>
        <v>0.0530420261970535</v>
      </c>
      <c r="Q329" s="8" t="n">
        <f aca="true">NORMINV(RAND(),Assumptions!$B$14,Assumptions!$B$15)</f>
        <v>-0.00249674992974148</v>
      </c>
      <c r="R329" s="8" t="n">
        <f aca="true">NORMINV(RAND(),Assumptions!$B$14,Assumptions!$B$15)</f>
        <v>0.0318923157405351</v>
      </c>
      <c r="S329" s="8" t="n">
        <f aca="true">NORMINV(RAND(),Assumptions!$B$14,Assumptions!$B$15)</f>
        <v>0.0677209440649225</v>
      </c>
      <c r="T329" s="8" t="n">
        <f aca="false">Assumptions!$B$19*H329+(1-Assumptions!$B$19)*N329</f>
        <v>-0.725231361220563</v>
      </c>
      <c r="U329" s="8" t="n">
        <f aca="false">Assumptions!$B$20*I329+(1-Assumptions!$B$20)*O329</f>
        <v>-0.0450222471511995</v>
      </c>
      <c r="V329" s="8" t="n">
        <f aca="false">Assumptions!$B$21*J329+(1-Assumptions!$B$21)*P329</f>
        <v>0.00856810299757724</v>
      </c>
      <c r="W329" s="8" t="n">
        <f aca="false">Assumptions!$B$22*K329+(1-Assumptions!$B$22)*Q329</f>
        <v>0.06759824297241</v>
      </c>
      <c r="X329" s="8" t="n">
        <f aca="false">Assumptions!$B$23*L329+(1-Assumptions!$B$23)*R329</f>
        <v>0.172274302057742</v>
      </c>
      <c r="Y329" s="8" t="n">
        <f aca="false">Assumptions!$B$24*M329+(1-Assumptions!$B$24)*S329</f>
        <v>0.206017379759127</v>
      </c>
      <c r="Z329" s="6" t="n">
        <f aca="false">Assumptions!$B$27*(1+T329)</f>
        <v>82430.5916338312</v>
      </c>
      <c r="AA329" s="6" t="n">
        <f aca="false">(Z329+Assumptions!$B$28)*(1+U329)</f>
        <v>221966.044091793</v>
      </c>
      <c r="AB329" s="6" t="n">
        <f aca="false">AA329*(1+V329)</f>
        <v>223867.872019537</v>
      </c>
      <c r="AC329" s="6" t="n">
        <f aca="false">AB329*(1+W329)</f>
        <v>239000.94682603</v>
      </c>
      <c r="AD329" s="6" t="n">
        <f aca="false">AC329*(1+X329)</f>
        <v>280174.668131623</v>
      </c>
      <c r="AE329" s="6" t="n">
        <f aca="false">AD329*(1+Y329)</f>
        <v>337895.519134983</v>
      </c>
      <c r="AF329" s="6" t="n">
        <f aca="false">Z329</f>
        <v>82430.5916338312</v>
      </c>
      <c r="AG329" s="6" t="n">
        <f aca="false">MAX(AF329,AA329)</f>
        <v>221966.044091793</v>
      </c>
      <c r="AH329" s="6" t="n">
        <f aca="false">MAX(AG329,AB329)</f>
        <v>223867.872019537</v>
      </c>
      <c r="AI329" s="6" t="n">
        <f aca="false">MAX(AH329,AC329)</f>
        <v>239000.94682603</v>
      </c>
      <c r="AJ329" s="6" t="n">
        <f aca="false">MAX(AI329,AD329)</f>
        <v>280174.668131623</v>
      </c>
      <c r="AK329" s="6" t="n">
        <f aca="false">MAX(AJ329,AE329)</f>
        <v>337895.519134983</v>
      </c>
      <c r="AL329" s="8" t="n">
        <f aca="false">MIN(Z329/AF329-1,AA329/AG329-1,AB329/AH329-1,AC329/AI329-1,AD329/AJ329-1,AE329/AK329-1)</f>
        <v>0</v>
      </c>
      <c r="AM329" s="6" t="n">
        <f aca="false">AE329-Assumptions!$B$35</f>
        <v>-103368.47752752</v>
      </c>
    </row>
    <row r="330" customFormat="false" ht="15" hidden="false" customHeight="false" outlineLevel="0" collapsed="false">
      <c r="A330" s="0" t="n">
        <f aca="false">ROW()-1</f>
        <v>329</v>
      </c>
      <c r="B330" s="0" t="str">
        <f aca="true">IF(RAND()&lt;Assumptions!$B$11,"Bull","Bear")</f>
        <v>Bull</v>
      </c>
      <c r="C330" s="0" t="str">
        <f aca="true">IF(B330="Bull",IF(RAND()&lt;Assumptions!$B$7,"Bull","Bear"),IF(RAND()&lt;Assumptions!$B$10,"Bear","Bull"))</f>
        <v>Bull</v>
      </c>
      <c r="D330" s="0" t="str">
        <f aca="true">IF(C330="Bull",IF(RAND()&lt;Assumptions!$B$7,"Bull","Bear"),IF(RAND()&lt;Assumptions!$B$10,"Bear","Bull"))</f>
        <v>Bull</v>
      </c>
      <c r="E330" s="0" t="str">
        <f aca="true">IF(D330="Bull",IF(RAND()&lt;Assumptions!$B$7,"Bull","Bear"),IF(RAND()&lt;Assumptions!$B$10,"Bear","Bull"))</f>
        <v>Bull</v>
      </c>
      <c r="F330" s="0" t="str">
        <f aca="true">IF(E330="Bull",IF(RAND()&lt;Assumptions!$B$7,"Bull","Bear"),IF(RAND()&lt;Assumptions!$B$10,"Bear","Bull"))</f>
        <v>Bull</v>
      </c>
      <c r="G330" s="0" t="str">
        <f aca="true">IF(F330="Bull",IF(RAND()&lt;Assumptions!$B$7,"Bull","Bear"),IF(RAND()&lt;Assumptions!$B$10,"Bear","Bull"))</f>
        <v>Bull</v>
      </c>
      <c r="H330" s="8" t="n">
        <f aca="true">IF(B330="Bull",NORMINV(RAND(),Assumptions!$B$5,Assumptions!$B$6),NORMINV(RAND(),Assumptions!$B$8,Assumptions!$B$9))</f>
        <v>0.149485406900378</v>
      </c>
      <c r="I330" s="8" t="n">
        <f aca="true">IF(C330="Bull",NORMINV(RAND(),Assumptions!$B$5,Assumptions!$B$6),NORMINV(RAND(),Assumptions!$B$8,Assumptions!$B$9))</f>
        <v>0.302488739716664</v>
      </c>
      <c r="J330" s="8" t="n">
        <f aca="true">IF(D330="Bull",NORMINV(RAND(),Assumptions!$B$5,Assumptions!$B$6),NORMINV(RAND(),Assumptions!$B$8,Assumptions!$B$9))</f>
        <v>0.185270927939173</v>
      </c>
      <c r="K330" s="8" t="n">
        <f aca="true">IF(E330="Bull",NORMINV(RAND(),Assumptions!$B$5,Assumptions!$B$6),NORMINV(RAND(),Assumptions!$B$8,Assumptions!$B$9))</f>
        <v>0.238568373278979</v>
      </c>
      <c r="L330" s="8" t="n">
        <f aca="true">IF(F330="Bull",NORMINV(RAND(),Assumptions!$B$5,Assumptions!$B$6),NORMINV(RAND(),Assumptions!$B$8,Assumptions!$B$9))</f>
        <v>0.266288094139445</v>
      </c>
      <c r="M330" s="8" t="n">
        <f aca="true">IF(G330="Bull",NORMINV(RAND(),Assumptions!$B$5,Assumptions!$B$6),NORMINV(RAND(),Assumptions!$B$8,Assumptions!$B$9))</f>
        <v>0.146593637866532</v>
      </c>
      <c r="N330" s="8" t="n">
        <f aca="true">NORMINV(RAND(),Assumptions!$B$14,Assumptions!$B$15)</f>
        <v>0.0609140572042282</v>
      </c>
      <c r="O330" s="8" t="n">
        <f aca="true">NORMINV(RAND(),Assumptions!$B$14,Assumptions!$B$15)</f>
        <v>0.0232383685103667</v>
      </c>
      <c r="P330" s="8" t="n">
        <f aca="true">NORMINV(RAND(),Assumptions!$B$14,Assumptions!$B$15)</f>
        <v>-0.0214959660116423</v>
      </c>
      <c r="Q330" s="8" t="n">
        <f aca="true">NORMINV(RAND(),Assumptions!$B$14,Assumptions!$B$15)</f>
        <v>0.037734502152723</v>
      </c>
      <c r="R330" s="8" t="n">
        <f aca="true">NORMINV(RAND(),Assumptions!$B$14,Assumptions!$B$15)</f>
        <v>0.000806482598075413</v>
      </c>
      <c r="S330" s="8" t="n">
        <f aca="true">NORMINV(RAND(),Assumptions!$B$14,Assumptions!$B$15)</f>
        <v>0.0497464558926403</v>
      </c>
      <c r="T330" s="8" t="n">
        <f aca="false">Assumptions!$B$19*H330+(1-Assumptions!$B$19)*N330</f>
        <v>0.149485406900378</v>
      </c>
      <c r="U330" s="8" t="n">
        <f aca="false">Assumptions!$B$20*I330+(1-Assumptions!$B$20)*O330</f>
        <v>0.302488739716664</v>
      </c>
      <c r="V330" s="8" t="n">
        <f aca="false">Assumptions!$B$21*J330+(1-Assumptions!$B$21)*P330</f>
        <v>0.185270927939173</v>
      </c>
      <c r="W330" s="8" t="n">
        <f aca="false">Assumptions!$B$22*K330+(1-Assumptions!$B$22)*Q330</f>
        <v>0.238568373278979</v>
      </c>
      <c r="X330" s="8" t="n">
        <f aca="false">Assumptions!$B$23*L330+(1-Assumptions!$B$23)*R330</f>
        <v>0.213191771831171</v>
      </c>
      <c r="Y330" s="8" t="n">
        <f aca="false">Assumptions!$B$24*M330+(1-Assumptions!$B$24)*S330</f>
        <v>0.107854765076975</v>
      </c>
      <c r="Z330" s="6" t="n">
        <f aca="false">Assumptions!$B$27*(1+T330)</f>
        <v>344845.622070113</v>
      </c>
      <c r="AA330" s="6" t="n">
        <f aca="false">(Z330+Assumptions!$B$28)*(1+U330)</f>
        <v>644530.850644411</v>
      </c>
      <c r="AB330" s="6" t="n">
        <f aca="false">AA330*(1+V330)</f>
        <v>763943.679428725</v>
      </c>
      <c r="AC330" s="6" t="n">
        <f aca="false">AB330*(1+W330)</f>
        <v>946196.480306794</v>
      </c>
      <c r="AD330" s="6" t="n">
        <f aca="false">AC330*(1+X330)</f>
        <v>1147917.78444382</v>
      </c>
      <c r="AE330" s="6" t="n">
        <f aca="false">AD330*(1+Y330)</f>
        <v>1271726.18741269</v>
      </c>
      <c r="AF330" s="6" t="n">
        <f aca="false">Z330</f>
        <v>344845.622070113</v>
      </c>
      <c r="AG330" s="6" t="n">
        <f aca="false">MAX(AF330,AA330)</f>
        <v>644530.850644411</v>
      </c>
      <c r="AH330" s="6" t="n">
        <f aca="false">MAX(AG330,AB330)</f>
        <v>763943.679428725</v>
      </c>
      <c r="AI330" s="6" t="n">
        <f aca="false">MAX(AH330,AC330)</f>
        <v>946196.480306794</v>
      </c>
      <c r="AJ330" s="6" t="n">
        <f aca="false">MAX(AI330,AD330)</f>
        <v>1147917.78444382</v>
      </c>
      <c r="AK330" s="6" t="n">
        <f aca="false">MAX(AJ330,AE330)</f>
        <v>1271726.18741269</v>
      </c>
      <c r="AL330" s="8" t="n">
        <f aca="false">MIN(Z330/AF330-1,AA330/AG330-1,AB330/AH330-1,AC330/AI330-1,AD330/AJ330-1,AE330/AK330-1)</f>
        <v>0</v>
      </c>
      <c r="AM330" s="6" t="n">
        <f aca="false">AE330-Assumptions!$B$35</f>
        <v>830462.190750184</v>
      </c>
    </row>
    <row r="331" customFormat="false" ht="15" hidden="false" customHeight="false" outlineLevel="0" collapsed="false">
      <c r="A331" s="0" t="n">
        <f aca="false">ROW()-1</f>
        <v>330</v>
      </c>
      <c r="B331" s="0" t="str">
        <f aca="true">IF(RAND()&lt;Assumptions!$B$11,"Bull","Bear")</f>
        <v>Bull</v>
      </c>
      <c r="C331" s="0" t="str">
        <f aca="true">IF(B331="Bull",IF(RAND()&lt;Assumptions!$B$7,"Bull","Bear"),IF(RAND()&lt;Assumptions!$B$10,"Bear","Bull"))</f>
        <v>Bull</v>
      </c>
      <c r="D331" s="0" t="str">
        <f aca="true">IF(C331="Bull",IF(RAND()&lt;Assumptions!$B$7,"Bull","Bear"),IF(RAND()&lt;Assumptions!$B$10,"Bear","Bull"))</f>
        <v>Bull</v>
      </c>
      <c r="E331" s="0" t="str">
        <f aca="true">IF(D331="Bull",IF(RAND()&lt;Assumptions!$B$7,"Bull","Bear"),IF(RAND()&lt;Assumptions!$B$10,"Bear","Bull"))</f>
        <v>Bull</v>
      </c>
      <c r="F331" s="0" t="str">
        <f aca="true">IF(E331="Bull",IF(RAND()&lt;Assumptions!$B$7,"Bull","Bear"),IF(RAND()&lt;Assumptions!$B$10,"Bear","Bull"))</f>
        <v>Bull</v>
      </c>
      <c r="G331" s="0" t="str">
        <f aca="true">IF(F331="Bull",IF(RAND()&lt;Assumptions!$B$7,"Bull","Bear"),IF(RAND()&lt;Assumptions!$B$10,"Bear","Bull"))</f>
        <v>Bull</v>
      </c>
      <c r="H331" s="8" t="n">
        <f aca="true">IF(B331="Bull",NORMINV(RAND(),Assumptions!$B$5,Assumptions!$B$6),NORMINV(RAND(),Assumptions!$B$8,Assumptions!$B$9))</f>
        <v>0.149072108677565</v>
      </c>
      <c r="I331" s="8" t="n">
        <f aca="true">IF(C331="Bull",NORMINV(RAND(),Assumptions!$B$5,Assumptions!$B$6),NORMINV(RAND(),Assumptions!$B$8,Assumptions!$B$9))</f>
        <v>0.103630455944024</v>
      </c>
      <c r="J331" s="8" t="n">
        <f aca="true">IF(D331="Bull",NORMINV(RAND(),Assumptions!$B$5,Assumptions!$B$6),NORMINV(RAND(),Assumptions!$B$8,Assumptions!$B$9))</f>
        <v>0.164668161917261</v>
      </c>
      <c r="K331" s="8" t="n">
        <f aca="true">IF(E331="Bull",NORMINV(RAND(),Assumptions!$B$5,Assumptions!$B$6),NORMINV(RAND(),Assumptions!$B$8,Assumptions!$B$9))</f>
        <v>0.136815834964341</v>
      </c>
      <c r="L331" s="8" t="n">
        <f aca="true">IF(F331="Bull",NORMINV(RAND(),Assumptions!$B$5,Assumptions!$B$6),NORMINV(RAND(),Assumptions!$B$8,Assumptions!$B$9))</f>
        <v>0.152394841595704</v>
      </c>
      <c r="M331" s="8" t="n">
        <f aca="true">IF(G331="Bull",NORMINV(RAND(),Assumptions!$B$5,Assumptions!$B$6),NORMINV(RAND(),Assumptions!$B$8,Assumptions!$B$9))</f>
        <v>0.0822454993496231</v>
      </c>
      <c r="N331" s="8" t="n">
        <f aca="true">NORMINV(RAND(),Assumptions!$B$14,Assumptions!$B$15)</f>
        <v>0.0597188494892714</v>
      </c>
      <c r="O331" s="8" t="n">
        <f aca="true">NORMINV(RAND(),Assumptions!$B$14,Assumptions!$B$15)</f>
        <v>0.0360253785942166</v>
      </c>
      <c r="P331" s="8" t="n">
        <f aca="true">NORMINV(RAND(),Assumptions!$B$14,Assumptions!$B$15)</f>
        <v>-0.00888554713015255</v>
      </c>
      <c r="Q331" s="8" t="n">
        <f aca="true">NORMINV(RAND(),Assumptions!$B$14,Assumptions!$B$15)</f>
        <v>0.0284185285197474</v>
      </c>
      <c r="R331" s="8" t="n">
        <f aca="true">NORMINV(RAND(),Assumptions!$B$14,Assumptions!$B$15)</f>
        <v>0.024808819050152</v>
      </c>
      <c r="S331" s="8" t="n">
        <f aca="true">NORMINV(RAND(),Assumptions!$B$14,Assumptions!$B$15)</f>
        <v>0.0568507627360366</v>
      </c>
      <c r="T331" s="8" t="n">
        <f aca="false">Assumptions!$B$19*H331+(1-Assumptions!$B$19)*N331</f>
        <v>0.149072108677565</v>
      </c>
      <c r="U331" s="8" t="n">
        <f aca="false">Assumptions!$B$20*I331+(1-Assumptions!$B$20)*O331</f>
        <v>0.103630455944024</v>
      </c>
      <c r="V331" s="8" t="n">
        <f aca="false">Assumptions!$B$21*J331+(1-Assumptions!$B$21)*P331</f>
        <v>0.164668161917261</v>
      </c>
      <c r="W331" s="8" t="n">
        <f aca="false">Assumptions!$B$22*K331+(1-Assumptions!$B$22)*Q331</f>
        <v>0.136815834964341</v>
      </c>
      <c r="X331" s="8" t="n">
        <f aca="false">Assumptions!$B$23*L331+(1-Assumptions!$B$23)*R331</f>
        <v>0.126877637086593</v>
      </c>
      <c r="Y331" s="8" t="n">
        <f aca="false">Assumptions!$B$24*M331+(1-Assumptions!$B$24)*S331</f>
        <v>0.0720876047041885</v>
      </c>
      <c r="Z331" s="6" t="n">
        <f aca="false">Assumptions!$B$27*(1+T331)</f>
        <v>344721.632603269</v>
      </c>
      <c r="AA331" s="6" t="n">
        <f aca="false">(Z331+Assumptions!$B$28)*(1+U331)</f>
        <v>545989.860955318</v>
      </c>
      <c r="AB331" s="6" t="n">
        <f aca="false">AA331*(1+V331)</f>
        <v>635897.007784292</v>
      </c>
      <c r="AC331" s="6" t="n">
        <f aca="false">AB331*(1+W331)</f>
        <v>722897.787855626</v>
      </c>
      <c r="AD331" s="6" t="n">
        <f aca="false">AC331*(1+X331)</f>
        <v>814617.351033873</v>
      </c>
      <c r="AE331" s="6" t="n">
        <f aca="false">AD331*(1+Y331)</f>
        <v>873341.164620376</v>
      </c>
      <c r="AF331" s="6" t="n">
        <f aca="false">Z331</f>
        <v>344721.632603269</v>
      </c>
      <c r="AG331" s="6" t="n">
        <f aca="false">MAX(AF331,AA331)</f>
        <v>545989.860955318</v>
      </c>
      <c r="AH331" s="6" t="n">
        <f aca="false">MAX(AG331,AB331)</f>
        <v>635897.007784292</v>
      </c>
      <c r="AI331" s="6" t="n">
        <f aca="false">MAX(AH331,AC331)</f>
        <v>722897.787855626</v>
      </c>
      <c r="AJ331" s="6" t="n">
        <f aca="false">MAX(AI331,AD331)</f>
        <v>814617.351033873</v>
      </c>
      <c r="AK331" s="6" t="n">
        <f aca="false">MAX(AJ331,AE331)</f>
        <v>873341.164620376</v>
      </c>
      <c r="AL331" s="8" t="n">
        <f aca="false">MIN(Z331/AF331-1,AA331/AG331-1,AB331/AH331-1,AC331/AI331-1,AD331/AJ331-1,AE331/AK331-1)</f>
        <v>0</v>
      </c>
      <c r="AM331" s="6" t="n">
        <f aca="false">AE331-Assumptions!$B$35</f>
        <v>432077.167957872</v>
      </c>
    </row>
    <row r="332" customFormat="false" ht="15" hidden="false" customHeight="false" outlineLevel="0" collapsed="false">
      <c r="A332" s="0" t="n">
        <f aca="false">ROW()-1</f>
        <v>331</v>
      </c>
      <c r="B332" s="0" t="str">
        <f aca="true">IF(RAND()&lt;Assumptions!$B$11,"Bull","Bear")</f>
        <v>Bear</v>
      </c>
      <c r="C332" s="0" t="str">
        <f aca="true">IF(B332="Bull",IF(RAND()&lt;Assumptions!$B$7,"Bull","Bear"),IF(RAND()&lt;Assumptions!$B$10,"Bear","Bull"))</f>
        <v>Bear</v>
      </c>
      <c r="D332" s="0" t="str">
        <f aca="true">IF(C332="Bull",IF(RAND()&lt;Assumptions!$B$7,"Bull","Bear"),IF(RAND()&lt;Assumptions!$B$10,"Bear","Bull"))</f>
        <v>Bull</v>
      </c>
      <c r="E332" s="0" t="str">
        <f aca="true">IF(D332="Bull",IF(RAND()&lt;Assumptions!$B$7,"Bull","Bear"),IF(RAND()&lt;Assumptions!$B$10,"Bear","Bull"))</f>
        <v>Bear</v>
      </c>
      <c r="F332" s="0" t="str">
        <f aca="true">IF(E332="Bull",IF(RAND()&lt;Assumptions!$B$7,"Bull","Bear"),IF(RAND()&lt;Assumptions!$B$10,"Bear","Bull"))</f>
        <v>Bull</v>
      </c>
      <c r="G332" s="0" t="str">
        <f aca="true">IF(F332="Bull",IF(RAND()&lt;Assumptions!$B$7,"Bull","Bear"),IF(RAND()&lt;Assumptions!$B$10,"Bear","Bull"))</f>
        <v>Bull</v>
      </c>
      <c r="H332" s="8" t="n">
        <f aca="true">IF(B332="Bull",NORMINV(RAND(),Assumptions!$B$5,Assumptions!$B$6),NORMINV(RAND(),Assumptions!$B$8,Assumptions!$B$9))</f>
        <v>-0.00929266603307392</v>
      </c>
      <c r="I332" s="8" t="n">
        <f aca="true">IF(C332="Bull",NORMINV(RAND(),Assumptions!$B$5,Assumptions!$B$6),NORMINV(RAND(),Assumptions!$B$8,Assumptions!$B$9))</f>
        <v>-0.427850689849838</v>
      </c>
      <c r="J332" s="8" t="n">
        <f aca="true">IF(D332="Bull",NORMINV(RAND(),Assumptions!$B$5,Assumptions!$B$6),NORMINV(RAND(),Assumptions!$B$8,Assumptions!$B$9))</f>
        <v>-0.0579056039794916</v>
      </c>
      <c r="K332" s="8" t="n">
        <f aca="true">IF(E332="Bull",NORMINV(RAND(),Assumptions!$B$5,Assumptions!$B$6),NORMINV(RAND(),Assumptions!$B$8,Assumptions!$B$9))</f>
        <v>-0.139602680719711</v>
      </c>
      <c r="L332" s="8" t="n">
        <f aca="true">IF(F332="Bull",NORMINV(RAND(),Assumptions!$B$5,Assumptions!$B$6),NORMINV(RAND(),Assumptions!$B$8,Assumptions!$B$9))</f>
        <v>0.192514047817013</v>
      </c>
      <c r="M332" s="8" t="n">
        <f aca="true">IF(G332="Bull",NORMINV(RAND(),Assumptions!$B$5,Assumptions!$B$6),NORMINV(RAND(),Assumptions!$B$8,Assumptions!$B$9))</f>
        <v>0.257411953099174</v>
      </c>
      <c r="N332" s="8" t="n">
        <f aca="true">NORMINV(RAND(),Assumptions!$B$14,Assumptions!$B$15)</f>
        <v>0.065096155239638</v>
      </c>
      <c r="O332" s="8" t="n">
        <f aca="true">NORMINV(RAND(),Assumptions!$B$14,Assumptions!$B$15)</f>
        <v>0.0536307980711228</v>
      </c>
      <c r="P332" s="8" t="n">
        <f aca="true">NORMINV(RAND(),Assumptions!$B$14,Assumptions!$B$15)</f>
        <v>-0.0115621112953295</v>
      </c>
      <c r="Q332" s="8" t="n">
        <f aca="true">NORMINV(RAND(),Assumptions!$B$14,Assumptions!$B$15)</f>
        <v>0.0366606205110944</v>
      </c>
      <c r="R332" s="8" t="n">
        <f aca="true">NORMINV(RAND(),Assumptions!$B$14,Assumptions!$B$15)</f>
        <v>0.0438791024857396</v>
      </c>
      <c r="S332" s="8" t="n">
        <f aca="true">NORMINV(RAND(),Assumptions!$B$14,Assumptions!$B$15)</f>
        <v>0.0587129346864816</v>
      </c>
      <c r="T332" s="8" t="n">
        <f aca="false">Assumptions!$B$19*H332+(1-Assumptions!$B$19)*N332</f>
        <v>-0.00929266603307392</v>
      </c>
      <c r="U332" s="8" t="n">
        <f aca="false">Assumptions!$B$20*I332+(1-Assumptions!$B$20)*O332</f>
        <v>-0.427850689849838</v>
      </c>
      <c r="V332" s="8" t="n">
        <f aca="false">Assumptions!$B$21*J332+(1-Assumptions!$B$21)*P332</f>
        <v>-0.0579056039794916</v>
      </c>
      <c r="W332" s="8" t="n">
        <f aca="false">Assumptions!$B$22*K332+(1-Assumptions!$B$22)*Q332</f>
        <v>-0.139602680719711</v>
      </c>
      <c r="X332" s="8" t="n">
        <f aca="false">Assumptions!$B$23*L332+(1-Assumptions!$B$23)*R332</f>
        <v>0.162787058750759</v>
      </c>
      <c r="Y332" s="8" t="n">
        <f aca="false">Assumptions!$B$24*M332+(1-Assumptions!$B$24)*S332</f>
        <v>0.177932345734097</v>
      </c>
      <c r="Z332" s="6" t="n">
        <f aca="false">Assumptions!$B$27*(1+T332)</f>
        <v>297212.200190078</v>
      </c>
      <c r="AA332" s="6" t="n">
        <f aca="false">(Z332+Assumptions!$B$28)*(1+U332)</f>
        <v>255872.151829489</v>
      </c>
      <c r="AB332" s="6" t="n">
        <f aca="false">AA332*(1+V332)</f>
        <v>241055.72033627</v>
      </c>
      <c r="AC332" s="6" t="n">
        <f aca="false">AB332*(1+W332)</f>
        <v>207403.695574506</v>
      </c>
      <c r="AD332" s="6" t="n">
        <f aca="false">AC332*(1+X332)</f>
        <v>241166.333151118</v>
      </c>
      <c r="AE332" s="6" t="n">
        <f aca="false">AD332*(1+Y332)</f>
        <v>284077.624520787</v>
      </c>
      <c r="AF332" s="6" t="n">
        <f aca="false">Z332</f>
        <v>297212.200190078</v>
      </c>
      <c r="AG332" s="6" t="n">
        <f aca="false">MAX(AF332,AA332)</f>
        <v>297212.200190078</v>
      </c>
      <c r="AH332" s="6" t="n">
        <f aca="false">MAX(AG332,AB332)</f>
        <v>297212.200190078</v>
      </c>
      <c r="AI332" s="6" t="n">
        <f aca="false">MAX(AH332,AC332)</f>
        <v>297212.200190078</v>
      </c>
      <c r="AJ332" s="6" t="n">
        <f aca="false">MAX(AI332,AD332)</f>
        <v>297212.200190078</v>
      </c>
      <c r="AK332" s="6" t="n">
        <f aca="false">MAX(AJ332,AE332)</f>
        <v>297212.200190078</v>
      </c>
      <c r="AL332" s="8" t="n">
        <f aca="false">MIN(Z332/AF332-1,AA332/AG332-1,AB332/AH332-1,AC332/AI332-1,AD332/AJ332-1,AE332/AK332-1)</f>
        <v>-0.302169643635544</v>
      </c>
      <c r="AM332" s="6" t="n">
        <f aca="false">AE332-Assumptions!$B$35</f>
        <v>-157186.372141717</v>
      </c>
    </row>
    <row r="333" customFormat="false" ht="15" hidden="false" customHeight="false" outlineLevel="0" collapsed="false">
      <c r="A333" s="0" t="n">
        <f aca="false">ROW()-1</f>
        <v>332</v>
      </c>
      <c r="B333" s="0" t="str">
        <f aca="true">IF(RAND()&lt;Assumptions!$B$11,"Bull","Bear")</f>
        <v>Bear</v>
      </c>
      <c r="C333" s="0" t="str">
        <f aca="true">IF(B333="Bull",IF(RAND()&lt;Assumptions!$B$7,"Bull","Bear"),IF(RAND()&lt;Assumptions!$B$10,"Bear","Bull"))</f>
        <v>Bear</v>
      </c>
      <c r="D333" s="0" t="str">
        <f aca="true">IF(C333="Bull",IF(RAND()&lt;Assumptions!$B$7,"Bull","Bear"),IF(RAND()&lt;Assumptions!$B$10,"Bear","Bull"))</f>
        <v>Bull</v>
      </c>
      <c r="E333" s="0" t="str">
        <f aca="true">IF(D333="Bull",IF(RAND()&lt;Assumptions!$B$7,"Bull","Bear"),IF(RAND()&lt;Assumptions!$B$10,"Bear","Bull"))</f>
        <v>Bull</v>
      </c>
      <c r="F333" s="0" t="str">
        <f aca="true">IF(E333="Bull",IF(RAND()&lt;Assumptions!$B$7,"Bull","Bear"),IF(RAND()&lt;Assumptions!$B$10,"Bear","Bull"))</f>
        <v>Bull</v>
      </c>
      <c r="G333" s="0" t="str">
        <f aca="true">IF(F333="Bull",IF(RAND()&lt;Assumptions!$B$7,"Bull","Bear"),IF(RAND()&lt;Assumptions!$B$10,"Bear","Bull"))</f>
        <v>Bull</v>
      </c>
      <c r="H333" s="8" t="n">
        <f aca="true">IF(B333="Bull",NORMINV(RAND(),Assumptions!$B$5,Assumptions!$B$6),NORMINV(RAND(),Assumptions!$B$8,Assumptions!$B$9))</f>
        <v>-0.0430758867091988</v>
      </c>
      <c r="I333" s="8" t="n">
        <f aca="true">IF(C333="Bull",NORMINV(RAND(),Assumptions!$B$5,Assumptions!$B$6),NORMINV(RAND(),Assumptions!$B$8,Assumptions!$B$9))</f>
        <v>-0.0489488605477464</v>
      </c>
      <c r="J333" s="8" t="n">
        <f aca="true">IF(D333="Bull",NORMINV(RAND(),Assumptions!$B$5,Assumptions!$B$6),NORMINV(RAND(),Assumptions!$B$8,Assumptions!$B$9))</f>
        <v>0.1440156379287</v>
      </c>
      <c r="K333" s="8" t="n">
        <f aca="true">IF(E333="Bull",NORMINV(RAND(),Assumptions!$B$5,Assumptions!$B$6),NORMINV(RAND(),Assumptions!$B$8,Assumptions!$B$9))</f>
        <v>0.231827348834388</v>
      </c>
      <c r="L333" s="8" t="n">
        <f aca="true">IF(F333="Bull",NORMINV(RAND(),Assumptions!$B$5,Assumptions!$B$6),NORMINV(RAND(),Assumptions!$B$8,Assumptions!$B$9))</f>
        <v>0.071754244249894</v>
      </c>
      <c r="M333" s="8" t="n">
        <f aca="true">IF(G333="Bull",NORMINV(RAND(),Assumptions!$B$5,Assumptions!$B$6),NORMINV(RAND(),Assumptions!$B$8,Assumptions!$B$9))</f>
        <v>0.173495597697721</v>
      </c>
      <c r="N333" s="8" t="n">
        <f aca="true">NORMINV(RAND(),Assumptions!$B$14,Assumptions!$B$15)</f>
        <v>0.0136254156092471</v>
      </c>
      <c r="O333" s="8" t="n">
        <f aca="true">NORMINV(RAND(),Assumptions!$B$14,Assumptions!$B$15)</f>
        <v>0.0522140837440777</v>
      </c>
      <c r="P333" s="8" t="n">
        <f aca="true">NORMINV(RAND(),Assumptions!$B$14,Assumptions!$B$15)</f>
        <v>0.0337046566054442</v>
      </c>
      <c r="Q333" s="8" t="n">
        <f aca="true">NORMINV(RAND(),Assumptions!$B$14,Assumptions!$B$15)</f>
        <v>0.0107244693799713</v>
      </c>
      <c r="R333" s="8" t="n">
        <f aca="true">NORMINV(RAND(),Assumptions!$B$14,Assumptions!$B$15)</f>
        <v>0.0797283457732675</v>
      </c>
      <c r="S333" s="8" t="n">
        <f aca="true">NORMINV(RAND(),Assumptions!$B$14,Assumptions!$B$15)</f>
        <v>0.0963824198568373</v>
      </c>
      <c r="T333" s="8" t="n">
        <f aca="false">Assumptions!$B$19*H333+(1-Assumptions!$B$19)*N333</f>
        <v>-0.0430758867091988</v>
      </c>
      <c r="U333" s="8" t="n">
        <f aca="false">Assumptions!$B$20*I333+(1-Assumptions!$B$20)*O333</f>
        <v>-0.0489488605477464</v>
      </c>
      <c r="V333" s="8" t="n">
        <f aca="false">Assumptions!$B$21*J333+(1-Assumptions!$B$21)*P333</f>
        <v>0.1440156379287</v>
      </c>
      <c r="W333" s="8" t="n">
        <f aca="false">Assumptions!$B$22*K333+(1-Assumptions!$B$22)*Q333</f>
        <v>0.231827348834388</v>
      </c>
      <c r="X333" s="8" t="n">
        <f aca="false">Assumptions!$B$23*L333+(1-Assumptions!$B$23)*R333</f>
        <v>0.0733490645545687</v>
      </c>
      <c r="Y333" s="8" t="n">
        <f aca="false">Assumptions!$B$24*M333+(1-Assumptions!$B$24)*S333</f>
        <v>0.142650326561367</v>
      </c>
      <c r="Z333" s="6" t="n">
        <f aca="false">Assumptions!$B$27*(1+T333)</f>
        <v>287077.23398724</v>
      </c>
      <c r="AA333" s="6" t="n">
        <f aca="false">(Z333+Assumptions!$B$28)*(1+U333)</f>
        <v>415682.801412204</v>
      </c>
      <c r="AB333" s="6" t="n">
        <f aca="false">AA333*(1+V333)</f>
        <v>475547.625233572</v>
      </c>
      <c r="AC333" s="6" t="n">
        <f aca="false">AB333*(1+W333)</f>
        <v>585792.57043596</v>
      </c>
      <c r="AD333" s="6" t="n">
        <f aca="false">AC333*(1+X333)</f>
        <v>628759.907500454</v>
      </c>
      <c r="AE333" s="6" t="n">
        <f aca="false">AD333*(1+Y333)</f>
        <v>718452.713634089</v>
      </c>
      <c r="AF333" s="6" t="n">
        <f aca="false">Z333</f>
        <v>287077.23398724</v>
      </c>
      <c r="AG333" s="6" t="n">
        <f aca="false">MAX(AF333,AA333)</f>
        <v>415682.801412204</v>
      </c>
      <c r="AH333" s="6" t="n">
        <f aca="false">MAX(AG333,AB333)</f>
        <v>475547.625233572</v>
      </c>
      <c r="AI333" s="6" t="n">
        <f aca="false">MAX(AH333,AC333)</f>
        <v>585792.57043596</v>
      </c>
      <c r="AJ333" s="6" t="n">
        <f aca="false">MAX(AI333,AD333)</f>
        <v>628759.907500454</v>
      </c>
      <c r="AK333" s="6" t="n">
        <f aca="false">MAX(AJ333,AE333)</f>
        <v>718452.713634089</v>
      </c>
      <c r="AL333" s="8" t="n">
        <f aca="false">MIN(Z333/AF333-1,AA333/AG333-1,AB333/AH333-1,AC333/AI333-1,AD333/AJ333-1,AE333/AK333-1)</f>
        <v>0</v>
      </c>
      <c r="AM333" s="6" t="n">
        <f aca="false">AE333-Assumptions!$B$35</f>
        <v>277188.716971585</v>
      </c>
    </row>
    <row r="334" customFormat="false" ht="15" hidden="false" customHeight="false" outlineLevel="0" collapsed="false">
      <c r="A334" s="0" t="n">
        <f aca="false">ROW()-1</f>
        <v>333</v>
      </c>
      <c r="B334" s="0" t="str">
        <f aca="true">IF(RAND()&lt;Assumptions!$B$11,"Bull","Bear")</f>
        <v>Bull</v>
      </c>
      <c r="C334" s="0" t="str">
        <f aca="true">IF(B334="Bull",IF(RAND()&lt;Assumptions!$B$7,"Bull","Bear"),IF(RAND()&lt;Assumptions!$B$10,"Bear","Bull"))</f>
        <v>Bull</v>
      </c>
      <c r="D334" s="0" t="str">
        <f aca="true">IF(C334="Bull",IF(RAND()&lt;Assumptions!$B$7,"Bull","Bear"),IF(RAND()&lt;Assumptions!$B$10,"Bear","Bull"))</f>
        <v>Bull</v>
      </c>
      <c r="E334" s="0" t="str">
        <f aca="true">IF(D334="Bull",IF(RAND()&lt;Assumptions!$B$7,"Bull","Bear"),IF(RAND()&lt;Assumptions!$B$10,"Bear","Bull"))</f>
        <v>Bull</v>
      </c>
      <c r="F334" s="0" t="str">
        <f aca="true">IF(E334="Bull",IF(RAND()&lt;Assumptions!$B$7,"Bull","Bear"),IF(RAND()&lt;Assumptions!$B$10,"Bear","Bull"))</f>
        <v>Bear</v>
      </c>
      <c r="G334" s="0" t="str">
        <f aca="true">IF(F334="Bull",IF(RAND()&lt;Assumptions!$B$7,"Bull","Bear"),IF(RAND()&lt;Assumptions!$B$10,"Bear","Bull"))</f>
        <v>Bull</v>
      </c>
      <c r="H334" s="8" t="n">
        <f aca="true">IF(B334="Bull",NORMINV(RAND(),Assumptions!$B$5,Assumptions!$B$6),NORMINV(RAND(),Assumptions!$B$8,Assumptions!$B$9))</f>
        <v>0.0558460870323854</v>
      </c>
      <c r="I334" s="8" t="n">
        <f aca="true">IF(C334="Bull",NORMINV(RAND(),Assumptions!$B$5,Assumptions!$B$6),NORMINV(RAND(),Assumptions!$B$8,Assumptions!$B$9))</f>
        <v>0.210865339578704</v>
      </c>
      <c r="J334" s="8" t="n">
        <f aca="true">IF(D334="Bull",NORMINV(RAND(),Assumptions!$B$5,Assumptions!$B$6),NORMINV(RAND(),Assumptions!$B$8,Assumptions!$B$9))</f>
        <v>0.263639766480704</v>
      </c>
      <c r="K334" s="8" t="n">
        <f aca="true">IF(E334="Bull",NORMINV(RAND(),Assumptions!$B$5,Assumptions!$B$6),NORMINV(RAND(),Assumptions!$B$8,Assumptions!$B$9))</f>
        <v>0.213626342745692</v>
      </c>
      <c r="L334" s="8" t="n">
        <f aca="true">IF(F334="Bull",NORMINV(RAND(),Assumptions!$B$5,Assumptions!$B$6),NORMINV(RAND(),Assumptions!$B$8,Assumptions!$B$9))</f>
        <v>-0.0152070797456228</v>
      </c>
      <c r="M334" s="8" t="n">
        <f aca="true">IF(G334="Bull",NORMINV(RAND(),Assumptions!$B$5,Assumptions!$B$6),NORMINV(RAND(),Assumptions!$B$8,Assumptions!$B$9))</f>
        <v>0.164884699524269</v>
      </c>
      <c r="N334" s="8" t="n">
        <f aca="true">NORMINV(RAND(),Assumptions!$B$14,Assumptions!$B$15)</f>
        <v>0.0997208705121297</v>
      </c>
      <c r="O334" s="8" t="n">
        <f aca="true">NORMINV(RAND(),Assumptions!$B$14,Assumptions!$B$15)</f>
        <v>0.083587927015833</v>
      </c>
      <c r="P334" s="8" t="n">
        <f aca="true">NORMINV(RAND(),Assumptions!$B$14,Assumptions!$B$15)</f>
        <v>0.076747162636033</v>
      </c>
      <c r="Q334" s="8" t="n">
        <f aca="true">NORMINV(RAND(),Assumptions!$B$14,Assumptions!$B$15)</f>
        <v>0.0890426226007856</v>
      </c>
      <c r="R334" s="8" t="n">
        <f aca="true">NORMINV(RAND(),Assumptions!$B$14,Assumptions!$B$15)</f>
        <v>0.126468256147258</v>
      </c>
      <c r="S334" s="8" t="n">
        <f aca="true">NORMINV(RAND(),Assumptions!$B$14,Assumptions!$B$15)</f>
        <v>0.0861417459906565</v>
      </c>
      <c r="T334" s="8" t="n">
        <f aca="false">Assumptions!$B$19*H334+(1-Assumptions!$B$19)*N334</f>
        <v>0.0558460870323854</v>
      </c>
      <c r="U334" s="8" t="n">
        <f aca="false">Assumptions!$B$20*I334+(1-Assumptions!$B$20)*O334</f>
        <v>0.210865339578704</v>
      </c>
      <c r="V334" s="8" t="n">
        <f aca="false">Assumptions!$B$21*J334+(1-Assumptions!$B$21)*P334</f>
        <v>0.263639766480704</v>
      </c>
      <c r="W334" s="8" t="n">
        <f aca="false">Assumptions!$B$22*K334+(1-Assumptions!$B$22)*Q334</f>
        <v>0.213626342745692</v>
      </c>
      <c r="X334" s="8" t="n">
        <f aca="false">Assumptions!$B$23*L334+(1-Assumptions!$B$23)*R334</f>
        <v>0.0131279874329533</v>
      </c>
      <c r="Y334" s="8" t="n">
        <f aca="false">Assumptions!$B$24*M334+(1-Assumptions!$B$24)*S334</f>
        <v>0.133387518110824</v>
      </c>
      <c r="Z334" s="6" t="n">
        <f aca="false">Assumptions!$B$27*(1+T334)</f>
        <v>316753.826109716</v>
      </c>
      <c r="AA334" s="6" t="n">
        <f aca="false">(Z334+Assumptions!$B$28)*(1+U334)</f>
        <v>565176.030152</v>
      </c>
      <c r="AB334" s="6" t="n">
        <f aca="false">AA334*(1+V334)</f>
        <v>714178.906761765</v>
      </c>
      <c r="AC334" s="6" t="n">
        <f aca="false">AB334*(1+W334)</f>
        <v>866746.334679397</v>
      </c>
      <c r="AD334" s="6" t="n">
        <f aca="false">AC334*(1+X334)</f>
        <v>878124.969668627</v>
      </c>
      <c r="AE334" s="6" t="n">
        <f aca="false">AD334*(1+Y334)</f>
        <v>995255.879963868</v>
      </c>
      <c r="AF334" s="6" t="n">
        <f aca="false">Z334</f>
        <v>316753.826109716</v>
      </c>
      <c r="AG334" s="6" t="n">
        <f aca="false">MAX(AF334,AA334)</f>
        <v>565176.030152</v>
      </c>
      <c r="AH334" s="6" t="n">
        <f aca="false">MAX(AG334,AB334)</f>
        <v>714178.906761765</v>
      </c>
      <c r="AI334" s="6" t="n">
        <f aca="false">MAX(AH334,AC334)</f>
        <v>866746.334679397</v>
      </c>
      <c r="AJ334" s="6" t="n">
        <f aca="false">MAX(AI334,AD334)</f>
        <v>878124.969668627</v>
      </c>
      <c r="AK334" s="6" t="n">
        <f aca="false">MAX(AJ334,AE334)</f>
        <v>995255.879963868</v>
      </c>
      <c r="AL334" s="8" t="n">
        <f aca="false">MIN(Z334/AF334-1,AA334/AG334-1,AB334/AH334-1,AC334/AI334-1,AD334/AJ334-1,AE334/AK334-1)</f>
        <v>0</v>
      </c>
      <c r="AM334" s="6" t="n">
        <f aca="false">AE334-Assumptions!$B$35</f>
        <v>553991.883301364</v>
      </c>
    </row>
    <row r="335" customFormat="false" ht="15" hidden="false" customHeight="false" outlineLevel="0" collapsed="false">
      <c r="A335" s="0" t="n">
        <f aca="false">ROW()-1</f>
        <v>334</v>
      </c>
      <c r="B335" s="0" t="str">
        <f aca="true">IF(RAND()&lt;Assumptions!$B$11,"Bull","Bear")</f>
        <v>Bull</v>
      </c>
      <c r="C335" s="0" t="str">
        <f aca="true">IF(B335="Bull",IF(RAND()&lt;Assumptions!$B$7,"Bull","Bear"),IF(RAND()&lt;Assumptions!$B$10,"Bear","Bull"))</f>
        <v>Bear</v>
      </c>
      <c r="D335" s="0" t="str">
        <f aca="true">IF(C335="Bull",IF(RAND()&lt;Assumptions!$B$7,"Bull","Bear"),IF(RAND()&lt;Assumptions!$B$10,"Bear","Bull"))</f>
        <v>Bull</v>
      </c>
      <c r="E335" s="0" t="str">
        <f aca="true">IF(D335="Bull",IF(RAND()&lt;Assumptions!$B$7,"Bull","Bear"),IF(RAND()&lt;Assumptions!$B$10,"Bear","Bull"))</f>
        <v>Bull</v>
      </c>
      <c r="F335" s="0" t="str">
        <f aca="true">IF(E335="Bull",IF(RAND()&lt;Assumptions!$B$7,"Bull","Bear"),IF(RAND()&lt;Assumptions!$B$10,"Bear","Bull"))</f>
        <v>Bull</v>
      </c>
      <c r="G335" s="0" t="str">
        <f aca="true">IF(F335="Bull",IF(RAND()&lt;Assumptions!$B$7,"Bull","Bear"),IF(RAND()&lt;Assumptions!$B$10,"Bear","Bull"))</f>
        <v>Bear</v>
      </c>
      <c r="H335" s="8" t="n">
        <f aca="true">IF(B335="Bull",NORMINV(RAND(),Assumptions!$B$5,Assumptions!$B$6),NORMINV(RAND(),Assumptions!$B$8,Assumptions!$B$9))</f>
        <v>0.20780925144703</v>
      </c>
      <c r="I335" s="8" t="n">
        <f aca="true">IF(C335="Bull",NORMINV(RAND(),Assumptions!$B$5,Assumptions!$B$6),NORMINV(RAND(),Assumptions!$B$8,Assumptions!$B$9))</f>
        <v>-0.00349334053979256</v>
      </c>
      <c r="J335" s="8" t="n">
        <f aca="true">IF(D335="Bull",NORMINV(RAND(),Assumptions!$B$5,Assumptions!$B$6),NORMINV(RAND(),Assumptions!$B$8,Assumptions!$B$9))</f>
        <v>0.0348924905755687</v>
      </c>
      <c r="K335" s="8" t="n">
        <f aca="true">IF(E335="Bull",NORMINV(RAND(),Assumptions!$B$5,Assumptions!$B$6),NORMINV(RAND(),Assumptions!$B$8,Assumptions!$B$9))</f>
        <v>-0.0478686805850132</v>
      </c>
      <c r="L335" s="8" t="n">
        <f aca="true">IF(F335="Bull",NORMINV(RAND(),Assumptions!$B$5,Assumptions!$B$6),NORMINV(RAND(),Assumptions!$B$8,Assumptions!$B$9))</f>
        <v>0.145024423696899</v>
      </c>
      <c r="M335" s="8" t="n">
        <f aca="true">IF(G335="Bull",NORMINV(RAND(),Assumptions!$B$5,Assumptions!$B$6),NORMINV(RAND(),Assumptions!$B$8,Assumptions!$B$9))</f>
        <v>-0.353152809569994</v>
      </c>
      <c r="N335" s="8" t="n">
        <f aca="true">NORMINV(RAND(),Assumptions!$B$14,Assumptions!$B$15)</f>
        <v>0.0702375951151006</v>
      </c>
      <c r="O335" s="8" t="n">
        <f aca="true">NORMINV(RAND(),Assumptions!$B$14,Assumptions!$B$15)</f>
        <v>0.050759225584041</v>
      </c>
      <c r="P335" s="8" t="n">
        <f aca="true">NORMINV(RAND(),Assumptions!$B$14,Assumptions!$B$15)</f>
        <v>0.0174818910550931</v>
      </c>
      <c r="Q335" s="8" t="n">
        <f aca="true">NORMINV(RAND(),Assumptions!$B$14,Assumptions!$B$15)</f>
        <v>0.0507649292585384</v>
      </c>
      <c r="R335" s="8" t="n">
        <f aca="true">NORMINV(RAND(),Assumptions!$B$14,Assumptions!$B$15)</f>
        <v>0.103084818435199</v>
      </c>
      <c r="S335" s="8" t="n">
        <f aca="true">NORMINV(RAND(),Assumptions!$B$14,Assumptions!$B$15)</f>
        <v>0.109633894883039</v>
      </c>
      <c r="T335" s="8" t="n">
        <f aca="false">Assumptions!$B$19*H335+(1-Assumptions!$B$19)*N335</f>
        <v>0.20780925144703</v>
      </c>
      <c r="U335" s="8" t="n">
        <f aca="false">Assumptions!$B$20*I335+(1-Assumptions!$B$20)*O335</f>
        <v>-0.00349334053979256</v>
      </c>
      <c r="V335" s="8" t="n">
        <f aca="false">Assumptions!$B$21*J335+(1-Assumptions!$B$21)*P335</f>
        <v>0.0348924905755687</v>
      </c>
      <c r="W335" s="8" t="n">
        <f aca="false">Assumptions!$B$22*K335+(1-Assumptions!$B$22)*Q335</f>
        <v>-0.0478686805850132</v>
      </c>
      <c r="X335" s="8" t="n">
        <f aca="false">Assumptions!$B$23*L335+(1-Assumptions!$B$23)*R335</f>
        <v>0.136636502644559</v>
      </c>
      <c r="Y335" s="8" t="n">
        <f aca="false">Assumptions!$B$24*M335+(1-Assumptions!$B$24)*S335</f>
        <v>-0.168038127788781</v>
      </c>
      <c r="Z335" s="6" t="n">
        <f aca="false">Assumptions!$B$27*(1+T335)</f>
        <v>362342.775434109</v>
      </c>
      <c r="AA335" s="6" t="n">
        <f aca="false">(Z335+Assumptions!$B$28)*(1+U335)</f>
        <v>510552.987646415</v>
      </c>
      <c r="AB335" s="6" t="n">
        <f aca="false">AA335*(1+V335)</f>
        <v>528367.452956196</v>
      </c>
      <c r="AC335" s="6" t="n">
        <f aca="false">AB335*(1+W335)</f>
        <v>503075.200119119</v>
      </c>
      <c r="AD335" s="6" t="n">
        <f aca="false">AC335*(1+X335)</f>
        <v>571813.636030607</v>
      </c>
      <c r="AE335" s="6" t="n">
        <f aca="false">AD335*(1+Y335)</f>
        <v>475727.143187929</v>
      </c>
      <c r="AF335" s="6" t="n">
        <f aca="false">Z335</f>
        <v>362342.775434109</v>
      </c>
      <c r="AG335" s="6" t="n">
        <f aca="false">MAX(AF335,AA335)</f>
        <v>510552.987646415</v>
      </c>
      <c r="AH335" s="6" t="n">
        <f aca="false">MAX(AG335,AB335)</f>
        <v>528367.452956196</v>
      </c>
      <c r="AI335" s="6" t="n">
        <f aca="false">MAX(AH335,AC335)</f>
        <v>528367.452956196</v>
      </c>
      <c r="AJ335" s="6" t="n">
        <f aca="false">MAX(AI335,AD335)</f>
        <v>571813.636030607</v>
      </c>
      <c r="AK335" s="6" t="n">
        <f aca="false">MAX(AJ335,AE335)</f>
        <v>571813.636030607</v>
      </c>
      <c r="AL335" s="8" t="n">
        <f aca="false">MIN(Z335/AF335-1,AA335/AG335-1,AB335/AH335-1,AC335/AI335-1,AD335/AJ335-1,AE335/AK335-1)</f>
        <v>-0.168038127788781</v>
      </c>
      <c r="AM335" s="6" t="n">
        <f aca="false">AE335-Assumptions!$B$35</f>
        <v>34463.146525425</v>
      </c>
    </row>
    <row r="336" customFormat="false" ht="15" hidden="false" customHeight="false" outlineLevel="0" collapsed="false">
      <c r="A336" s="0" t="n">
        <f aca="false">ROW()-1</f>
        <v>335</v>
      </c>
      <c r="B336" s="0" t="str">
        <f aca="true">IF(RAND()&lt;Assumptions!$B$11,"Bull","Bear")</f>
        <v>Bear</v>
      </c>
      <c r="C336" s="0" t="str">
        <f aca="true">IF(B336="Bull",IF(RAND()&lt;Assumptions!$B$7,"Bull","Bear"),IF(RAND()&lt;Assumptions!$B$10,"Bear","Bull"))</f>
        <v>Bear</v>
      </c>
      <c r="D336" s="0" t="str">
        <f aca="true">IF(C336="Bull",IF(RAND()&lt;Assumptions!$B$7,"Bull","Bear"),IF(RAND()&lt;Assumptions!$B$10,"Bear","Bull"))</f>
        <v>Bull</v>
      </c>
      <c r="E336" s="0" t="str">
        <f aca="true">IF(D336="Bull",IF(RAND()&lt;Assumptions!$B$7,"Bull","Bear"),IF(RAND()&lt;Assumptions!$B$10,"Bear","Bull"))</f>
        <v>Bull</v>
      </c>
      <c r="F336" s="0" t="str">
        <f aca="true">IF(E336="Bull",IF(RAND()&lt;Assumptions!$B$7,"Bull","Bear"),IF(RAND()&lt;Assumptions!$B$10,"Bear","Bull"))</f>
        <v>Bear</v>
      </c>
      <c r="G336" s="0" t="str">
        <f aca="true">IF(F336="Bull",IF(RAND()&lt;Assumptions!$B$7,"Bull","Bear"),IF(RAND()&lt;Assumptions!$B$10,"Bear","Bull"))</f>
        <v>Bear</v>
      </c>
      <c r="H336" s="8" t="n">
        <f aca="true">IF(B336="Bull",NORMINV(RAND(),Assumptions!$B$5,Assumptions!$B$6),NORMINV(RAND(),Assumptions!$B$8,Assumptions!$B$9))</f>
        <v>-0.0726089111768132</v>
      </c>
      <c r="I336" s="8" t="n">
        <f aca="true">IF(C336="Bull",NORMINV(RAND(),Assumptions!$B$5,Assumptions!$B$6),NORMINV(RAND(),Assumptions!$B$8,Assumptions!$B$9))</f>
        <v>-0.28054751338117</v>
      </c>
      <c r="J336" s="8" t="n">
        <f aca="true">IF(D336="Bull",NORMINV(RAND(),Assumptions!$B$5,Assumptions!$B$6),NORMINV(RAND(),Assumptions!$B$8,Assumptions!$B$9))</f>
        <v>0.0324198300934561</v>
      </c>
      <c r="K336" s="8" t="n">
        <f aca="true">IF(E336="Bull",NORMINV(RAND(),Assumptions!$B$5,Assumptions!$B$6),NORMINV(RAND(),Assumptions!$B$8,Assumptions!$B$9))</f>
        <v>0.183077315075326</v>
      </c>
      <c r="L336" s="8" t="n">
        <f aca="true">IF(F336="Bull",NORMINV(RAND(),Assumptions!$B$5,Assumptions!$B$6),NORMINV(RAND(),Assumptions!$B$8,Assumptions!$B$9))</f>
        <v>-0.133744916284001</v>
      </c>
      <c r="M336" s="8" t="n">
        <f aca="true">IF(G336="Bull",NORMINV(RAND(),Assumptions!$B$5,Assumptions!$B$6),NORMINV(RAND(),Assumptions!$B$8,Assumptions!$B$9))</f>
        <v>-0.11711692637678</v>
      </c>
      <c r="N336" s="8" t="n">
        <f aca="true">NORMINV(RAND(),Assumptions!$B$14,Assumptions!$B$15)</f>
        <v>0.0434368182331274</v>
      </c>
      <c r="O336" s="8" t="n">
        <f aca="true">NORMINV(RAND(),Assumptions!$B$14,Assumptions!$B$15)</f>
        <v>0.0281166499437339</v>
      </c>
      <c r="P336" s="8" t="n">
        <f aca="true">NORMINV(RAND(),Assumptions!$B$14,Assumptions!$B$15)</f>
        <v>0.0626815509664833</v>
      </c>
      <c r="Q336" s="8" t="n">
        <f aca="true">NORMINV(RAND(),Assumptions!$B$14,Assumptions!$B$15)</f>
        <v>-0.00325945060483689</v>
      </c>
      <c r="R336" s="8" t="n">
        <f aca="true">NORMINV(RAND(),Assumptions!$B$14,Assumptions!$B$15)</f>
        <v>0.0643273079289531</v>
      </c>
      <c r="S336" s="8" t="n">
        <f aca="true">NORMINV(RAND(),Assumptions!$B$14,Assumptions!$B$15)</f>
        <v>0.031434873259125</v>
      </c>
      <c r="T336" s="8" t="n">
        <f aca="false">Assumptions!$B$19*H336+(1-Assumptions!$B$19)*N336</f>
        <v>-0.0726089111768132</v>
      </c>
      <c r="U336" s="8" t="n">
        <f aca="false">Assumptions!$B$20*I336+(1-Assumptions!$B$20)*O336</f>
        <v>-0.28054751338117</v>
      </c>
      <c r="V336" s="8" t="n">
        <f aca="false">Assumptions!$B$21*J336+(1-Assumptions!$B$21)*P336</f>
        <v>0.0324198300934561</v>
      </c>
      <c r="W336" s="8" t="n">
        <f aca="false">Assumptions!$B$22*K336+(1-Assumptions!$B$22)*Q336</f>
        <v>0.183077315075326</v>
      </c>
      <c r="X336" s="8" t="n">
        <f aca="false">Assumptions!$B$23*L336+(1-Assumptions!$B$23)*R336</f>
        <v>-0.0941304714414099</v>
      </c>
      <c r="Y336" s="8" t="n">
        <f aca="false">Assumptions!$B$24*M336+(1-Assumptions!$B$24)*S336</f>
        <v>-0.0576962065224181</v>
      </c>
      <c r="Z336" s="6" t="n">
        <f aca="false">Assumptions!$B$27*(1+T336)</f>
        <v>278217.326646956</v>
      </c>
      <c r="AA336" s="6" t="n">
        <f aca="false">(Z336+Assumptions!$B$28)*(1+U336)</f>
        <v>308082.02046942</v>
      </c>
      <c r="AB336" s="6" t="n">
        <f aca="false">AA336*(1+V336)</f>
        <v>318069.987227888</v>
      </c>
      <c r="AC336" s="6" t="n">
        <f aca="false">AB336*(1+W336)</f>
        <v>376301.386495613</v>
      </c>
      <c r="AD336" s="6" t="n">
        <f aca="false">AC336*(1+X336)</f>
        <v>340879.959580725</v>
      </c>
      <c r="AE336" s="6" t="n">
        <f aca="false">AD336*(1+Y336)</f>
        <v>321212.479033402</v>
      </c>
      <c r="AF336" s="6" t="n">
        <f aca="false">Z336</f>
        <v>278217.326646956</v>
      </c>
      <c r="AG336" s="6" t="n">
        <f aca="false">MAX(AF336,AA336)</f>
        <v>308082.02046942</v>
      </c>
      <c r="AH336" s="6" t="n">
        <f aca="false">MAX(AG336,AB336)</f>
        <v>318069.987227888</v>
      </c>
      <c r="AI336" s="6" t="n">
        <f aca="false">MAX(AH336,AC336)</f>
        <v>376301.386495613</v>
      </c>
      <c r="AJ336" s="6" t="n">
        <f aca="false">MAX(AI336,AD336)</f>
        <v>376301.386495613</v>
      </c>
      <c r="AK336" s="6" t="n">
        <f aca="false">MAX(AJ336,AE336)</f>
        <v>376301.386495613</v>
      </c>
      <c r="AL336" s="8" t="n">
        <f aca="false">MIN(Z336/AF336-1,AA336/AG336-1,AB336/AH336-1,AC336/AI336-1,AD336/AJ336-1,AE336/AK336-1)</f>
        <v>-0.146395706843492</v>
      </c>
      <c r="AM336" s="6" t="n">
        <f aca="false">AE336-Assumptions!$B$35</f>
        <v>-120051.517629102</v>
      </c>
    </row>
    <row r="337" customFormat="false" ht="15" hidden="false" customHeight="false" outlineLevel="0" collapsed="false">
      <c r="A337" s="0" t="n">
        <f aca="false">ROW()-1</f>
        <v>336</v>
      </c>
      <c r="B337" s="0" t="str">
        <f aca="true">IF(RAND()&lt;Assumptions!$B$11,"Bull","Bear")</f>
        <v>Bull</v>
      </c>
      <c r="C337" s="0" t="str">
        <f aca="true">IF(B337="Bull",IF(RAND()&lt;Assumptions!$B$7,"Bull","Bear"),IF(RAND()&lt;Assumptions!$B$10,"Bear","Bull"))</f>
        <v>Bull</v>
      </c>
      <c r="D337" s="0" t="str">
        <f aca="true">IF(C337="Bull",IF(RAND()&lt;Assumptions!$B$7,"Bull","Bear"),IF(RAND()&lt;Assumptions!$B$10,"Bear","Bull"))</f>
        <v>Bear</v>
      </c>
      <c r="E337" s="0" t="str">
        <f aca="true">IF(D337="Bull",IF(RAND()&lt;Assumptions!$B$7,"Bull","Bear"),IF(RAND()&lt;Assumptions!$B$10,"Bear","Bull"))</f>
        <v>Bull</v>
      </c>
      <c r="F337" s="0" t="str">
        <f aca="true">IF(E337="Bull",IF(RAND()&lt;Assumptions!$B$7,"Bull","Bear"),IF(RAND()&lt;Assumptions!$B$10,"Bear","Bull"))</f>
        <v>Bull</v>
      </c>
      <c r="G337" s="0" t="str">
        <f aca="true">IF(F337="Bull",IF(RAND()&lt;Assumptions!$B$7,"Bull","Bear"),IF(RAND()&lt;Assumptions!$B$10,"Bear","Bull"))</f>
        <v>Bull</v>
      </c>
      <c r="H337" s="8" t="n">
        <f aca="true">IF(B337="Bull",NORMINV(RAND(),Assumptions!$B$5,Assumptions!$B$6),NORMINV(RAND(),Assumptions!$B$8,Assumptions!$B$9))</f>
        <v>0.221616806205712</v>
      </c>
      <c r="I337" s="8" t="n">
        <f aca="true">IF(C337="Bull",NORMINV(RAND(),Assumptions!$B$5,Assumptions!$B$6),NORMINV(RAND(),Assumptions!$B$8,Assumptions!$B$9))</f>
        <v>0.264934309685742</v>
      </c>
      <c r="J337" s="8" t="n">
        <f aca="true">IF(D337="Bull",NORMINV(RAND(),Assumptions!$B$5,Assumptions!$B$6),NORMINV(RAND(),Assumptions!$B$8,Assumptions!$B$9))</f>
        <v>0.0531071484107984</v>
      </c>
      <c r="K337" s="8" t="n">
        <f aca="true">IF(E337="Bull",NORMINV(RAND(),Assumptions!$B$5,Assumptions!$B$6),NORMINV(RAND(),Assumptions!$B$8,Assumptions!$B$9))</f>
        <v>0.125378812561789</v>
      </c>
      <c r="L337" s="8" t="n">
        <f aca="true">IF(F337="Bull",NORMINV(RAND(),Assumptions!$B$5,Assumptions!$B$6),NORMINV(RAND(),Assumptions!$B$8,Assumptions!$B$9))</f>
        <v>0.184515948750433</v>
      </c>
      <c r="M337" s="8" t="n">
        <f aca="true">IF(G337="Bull",NORMINV(RAND(),Assumptions!$B$5,Assumptions!$B$6),NORMINV(RAND(),Assumptions!$B$8,Assumptions!$B$9))</f>
        <v>0.361349168673212</v>
      </c>
      <c r="N337" s="8" t="n">
        <f aca="true">NORMINV(RAND(),Assumptions!$B$14,Assumptions!$B$15)</f>
        <v>0.0345164663942381</v>
      </c>
      <c r="O337" s="8" t="n">
        <f aca="true">NORMINV(RAND(),Assumptions!$B$14,Assumptions!$B$15)</f>
        <v>0.0665805248028333</v>
      </c>
      <c r="P337" s="8" t="n">
        <f aca="true">NORMINV(RAND(),Assumptions!$B$14,Assumptions!$B$15)</f>
        <v>0.0512234511779892</v>
      </c>
      <c r="Q337" s="8" t="n">
        <f aca="true">NORMINV(RAND(),Assumptions!$B$14,Assumptions!$B$15)</f>
        <v>-0.00197471744610814</v>
      </c>
      <c r="R337" s="8" t="n">
        <f aca="true">NORMINV(RAND(),Assumptions!$B$14,Assumptions!$B$15)</f>
        <v>0.0766041514072945</v>
      </c>
      <c r="S337" s="8" t="n">
        <f aca="true">NORMINV(RAND(),Assumptions!$B$14,Assumptions!$B$15)</f>
        <v>0.0434476847050658</v>
      </c>
      <c r="T337" s="8" t="n">
        <f aca="false">Assumptions!$B$19*H337+(1-Assumptions!$B$19)*N337</f>
        <v>0.221616806205712</v>
      </c>
      <c r="U337" s="8" t="n">
        <f aca="false">Assumptions!$B$20*I337+(1-Assumptions!$B$20)*O337</f>
        <v>0.264934309685742</v>
      </c>
      <c r="V337" s="8" t="n">
        <f aca="false">Assumptions!$B$21*J337+(1-Assumptions!$B$21)*P337</f>
        <v>0.0531071484107984</v>
      </c>
      <c r="W337" s="8" t="n">
        <f aca="false">Assumptions!$B$22*K337+(1-Assumptions!$B$22)*Q337</f>
        <v>0.125378812561789</v>
      </c>
      <c r="X337" s="8" t="n">
        <f aca="false">Assumptions!$B$23*L337+(1-Assumptions!$B$23)*R337</f>
        <v>0.162933589281805</v>
      </c>
      <c r="Y337" s="8" t="n">
        <f aca="false">Assumptions!$B$24*M337+(1-Assumptions!$B$24)*S337</f>
        <v>0.234188575085954</v>
      </c>
      <c r="Z337" s="6" t="n">
        <f aca="false">Assumptions!$B$27*(1+T337)</f>
        <v>366485.041861714</v>
      </c>
      <c r="AA337" s="6" t="n">
        <f aca="false">(Z337+Assumptions!$B$28)*(1+U337)</f>
        <v>653319.649890359</v>
      </c>
      <c r="AB337" s="6" t="n">
        <f aca="false">AA337*(1+V337)</f>
        <v>688015.593496777</v>
      </c>
      <c r="AC337" s="6" t="n">
        <f aca="false">AB337*(1+W337)</f>
        <v>774278.171633397</v>
      </c>
      <c r="AD337" s="6" t="n">
        <f aca="false">AC337*(1+X337)</f>
        <v>900434.09324018</v>
      </c>
      <c r="AE337" s="6" t="n">
        <f aca="false">AD337*(1+Y337)</f>
        <v>1111305.47049491</v>
      </c>
      <c r="AF337" s="6" t="n">
        <f aca="false">Z337</f>
        <v>366485.041861714</v>
      </c>
      <c r="AG337" s="6" t="n">
        <f aca="false">MAX(AF337,AA337)</f>
        <v>653319.649890359</v>
      </c>
      <c r="AH337" s="6" t="n">
        <f aca="false">MAX(AG337,AB337)</f>
        <v>688015.593496777</v>
      </c>
      <c r="AI337" s="6" t="n">
        <f aca="false">MAX(AH337,AC337)</f>
        <v>774278.171633397</v>
      </c>
      <c r="AJ337" s="6" t="n">
        <f aca="false">MAX(AI337,AD337)</f>
        <v>900434.09324018</v>
      </c>
      <c r="AK337" s="6" t="n">
        <f aca="false">MAX(AJ337,AE337)</f>
        <v>1111305.47049491</v>
      </c>
      <c r="AL337" s="8" t="n">
        <f aca="false">MIN(Z337/AF337-1,AA337/AG337-1,AB337/AH337-1,AC337/AI337-1,AD337/AJ337-1,AE337/AK337-1)</f>
        <v>0</v>
      </c>
      <c r="AM337" s="6" t="n">
        <f aca="false">AE337-Assumptions!$B$35</f>
        <v>670041.473832407</v>
      </c>
    </row>
    <row r="338" customFormat="false" ht="15" hidden="false" customHeight="false" outlineLevel="0" collapsed="false">
      <c r="A338" s="0" t="n">
        <f aca="false">ROW()-1</f>
        <v>337</v>
      </c>
      <c r="B338" s="0" t="str">
        <f aca="true">IF(RAND()&lt;Assumptions!$B$11,"Bull","Bear")</f>
        <v>Bull</v>
      </c>
      <c r="C338" s="0" t="str">
        <f aca="true">IF(B338="Bull",IF(RAND()&lt;Assumptions!$B$7,"Bull","Bear"),IF(RAND()&lt;Assumptions!$B$10,"Bear","Bull"))</f>
        <v>Bull</v>
      </c>
      <c r="D338" s="0" t="str">
        <f aca="true">IF(C338="Bull",IF(RAND()&lt;Assumptions!$B$7,"Bull","Bear"),IF(RAND()&lt;Assumptions!$B$10,"Bear","Bull"))</f>
        <v>Bull</v>
      </c>
      <c r="E338" s="0" t="str">
        <f aca="true">IF(D338="Bull",IF(RAND()&lt;Assumptions!$B$7,"Bull","Bear"),IF(RAND()&lt;Assumptions!$B$10,"Bear","Bull"))</f>
        <v>Bull</v>
      </c>
      <c r="F338" s="0" t="str">
        <f aca="true">IF(E338="Bull",IF(RAND()&lt;Assumptions!$B$7,"Bull","Bear"),IF(RAND()&lt;Assumptions!$B$10,"Bear","Bull"))</f>
        <v>Bull</v>
      </c>
      <c r="G338" s="0" t="str">
        <f aca="true">IF(F338="Bull",IF(RAND()&lt;Assumptions!$B$7,"Bull","Bear"),IF(RAND()&lt;Assumptions!$B$10,"Bear","Bull"))</f>
        <v>Bull</v>
      </c>
      <c r="H338" s="8" t="n">
        <f aca="true">IF(B338="Bull",NORMINV(RAND(),Assumptions!$B$5,Assumptions!$B$6),NORMINV(RAND(),Assumptions!$B$8,Assumptions!$B$9))</f>
        <v>0.222752927707509</v>
      </c>
      <c r="I338" s="8" t="n">
        <f aca="true">IF(C338="Bull",NORMINV(RAND(),Assumptions!$B$5,Assumptions!$B$6),NORMINV(RAND(),Assumptions!$B$8,Assumptions!$B$9))</f>
        <v>0.204300264155164</v>
      </c>
      <c r="J338" s="8" t="n">
        <f aca="true">IF(D338="Bull",NORMINV(RAND(),Assumptions!$B$5,Assumptions!$B$6),NORMINV(RAND(),Assumptions!$B$8,Assumptions!$B$9))</f>
        <v>0.150779680007159</v>
      </c>
      <c r="K338" s="8" t="n">
        <f aca="true">IF(E338="Bull",NORMINV(RAND(),Assumptions!$B$5,Assumptions!$B$6),NORMINV(RAND(),Assumptions!$B$8,Assumptions!$B$9))</f>
        <v>0.0685102775278871</v>
      </c>
      <c r="L338" s="8" t="n">
        <f aca="true">IF(F338="Bull",NORMINV(RAND(),Assumptions!$B$5,Assumptions!$B$6),NORMINV(RAND(),Assumptions!$B$8,Assumptions!$B$9))</f>
        <v>0.306957861190028</v>
      </c>
      <c r="M338" s="8" t="n">
        <f aca="true">IF(G338="Bull",NORMINV(RAND(),Assumptions!$B$5,Assumptions!$B$6),NORMINV(RAND(),Assumptions!$B$8,Assumptions!$B$9))</f>
        <v>-0.0567493047731853</v>
      </c>
      <c r="N338" s="8" t="n">
        <f aca="true">NORMINV(RAND(),Assumptions!$B$14,Assumptions!$B$15)</f>
        <v>0.0324167528386931</v>
      </c>
      <c r="O338" s="8" t="n">
        <f aca="true">NORMINV(RAND(),Assumptions!$B$14,Assumptions!$B$15)</f>
        <v>0.0328376592224373</v>
      </c>
      <c r="P338" s="8" t="n">
        <f aca="true">NORMINV(RAND(),Assumptions!$B$14,Assumptions!$B$15)</f>
        <v>0.0843031508500392</v>
      </c>
      <c r="Q338" s="8" t="n">
        <f aca="true">NORMINV(RAND(),Assumptions!$B$14,Assumptions!$B$15)</f>
        <v>0.0392080130597107</v>
      </c>
      <c r="R338" s="8" t="n">
        <f aca="true">NORMINV(RAND(),Assumptions!$B$14,Assumptions!$B$15)</f>
        <v>0.0204631691788836</v>
      </c>
      <c r="S338" s="8" t="n">
        <f aca="true">NORMINV(RAND(),Assumptions!$B$14,Assumptions!$B$15)</f>
        <v>0.109439336281419</v>
      </c>
      <c r="T338" s="8" t="n">
        <f aca="false">Assumptions!$B$19*H338+(1-Assumptions!$B$19)*N338</f>
        <v>0.222752927707509</v>
      </c>
      <c r="U338" s="8" t="n">
        <f aca="false">Assumptions!$B$20*I338+(1-Assumptions!$B$20)*O338</f>
        <v>0.204300264155164</v>
      </c>
      <c r="V338" s="8" t="n">
        <f aca="false">Assumptions!$B$21*J338+(1-Assumptions!$B$21)*P338</f>
        <v>0.150779680007159</v>
      </c>
      <c r="W338" s="8" t="n">
        <f aca="false">Assumptions!$B$22*K338+(1-Assumptions!$B$22)*Q338</f>
        <v>0.0685102775278871</v>
      </c>
      <c r="X338" s="8" t="n">
        <f aca="false">Assumptions!$B$23*L338+(1-Assumptions!$B$23)*R338</f>
        <v>0.249658922787799</v>
      </c>
      <c r="Y338" s="8" t="n">
        <f aca="false">Assumptions!$B$24*M338+(1-Assumptions!$B$24)*S338</f>
        <v>0.00972615164865631</v>
      </c>
      <c r="Z338" s="6" t="n">
        <f aca="false">Assumptions!$B$27*(1+T338)</f>
        <v>366825.878312253</v>
      </c>
      <c r="AA338" s="6" t="n">
        <f aca="false">(Z338+Assumptions!$B$28)*(1+U338)</f>
        <v>622413.541773671</v>
      </c>
      <c r="AB338" s="6" t="n">
        <f aca="false">AA338*(1+V338)</f>
        <v>716260.856434427</v>
      </c>
      <c r="AC338" s="6" t="n">
        <f aca="false">AB338*(1+W338)</f>
        <v>765332.086491112</v>
      </c>
      <c r="AD338" s="6" t="n">
        <f aca="false">AC338*(1+X338)</f>
        <v>956404.070779422</v>
      </c>
      <c r="AE338" s="6" t="n">
        <f aca="false">AD338*(1+Y338)</f>
        <v>965706.201809215</v>
      </c>
      <c r="AF338" s="6" t="n">
        <f aca="false">Z338</f>
        <v>366825.878312253</v>
      </c>
      <c r="AG338" s="6" t="n">
        <f aca="false">MAX(AF338,AA338)</f>
        <v>622413.541773671</v>
      </c>
      <c r="AH338" s="6" t="n">
        <f aca="false">MAX(AG338,AB338)</f>
        <v>716260.856434427</v>
      </c>
      <c r="AI338" s="6" t="n">
        <f aca="false">MAX(AH338,AC338)</f>
        <v>765332.086491112</v>
      </c>
      <c r="AJ338" s="6" t="n">
        <f aca="false">MAX(AI338,AD338)</f>
        <v>956404.070779422</v>
      </c>
      <c r="AK338" s="6" t="n">
        <f aca="false">MAX(AJ338,AE338)</f>
        <v>965706.201809215</v>
      </c>
      <c r="AL338" s="8" t="n">
        <f aca="false">MIN(Z338/AF338-1,AA338/AG338-1,AB338/AH338-1,AC338/AI338-1,AD338/AJ338-1,AE338/AK338-1)</f>
        <v>0</v>
      </c>
      <c r="AM338" s="6" t="n">
        <f aca="false">AE338-Assumptions!$B$35</f>
        <v>524442.205146712</v>
      </c>
    </row>
    <row r="339" customFormat="false" ht="15" hidden="false" customHeight="false" outlineLevel="0" collapsed="false">
      <c r="A339" s="0" t="n">
        <f aca="false">ROW()-1</f>
        <v>338</v>
      </c>
      <c r="B339" s="0" t="str">
        <f aca="true">IF(RAND()&lt;Assumptions!$B$11,"Bull","Bear")</f>
        <v>Bull</v>
      </c>
      <c r="C339" s="0" t="str">
        <f aca="true">IF(B339="Bull",IF(RAND()&lt;Assumptions!$B$7,"Bull","Bear"),IF(RAND()&lt;Assumptions!$B$10,"Bear","Bull"))</f>
        <v>Bull</v>
      </c>
      <c r="D339" s="0" t="str">
        <f aca="true">IF(C339="Bull",IF(RAND()&lt;Assumptions!$B$7,"Bull","Bear"),IF(RAND()&lt;Assumptions!$B$10,"Bear","Bull"))</f>
        <v>Bull</v>
      </c>
      <c r="E339" s="0" t="str">
        <f aca="true">IF(D339="Bull",IF(RAND()&lt;Assumptions!$B$7,"Bull","Bear"),IF(RAND()&lt;Assumptions!$B$10,"Bear","Bull"))</f>
        <v>Bull</v>
      </c>
      <c r="F339" s="0" t="str">
        <f aca="true">IF(E339="Bull",IF(RAND()&lt;Assumptions!$B$7,"Bull","Bear"),IF(RAND()&lt;Assumptions!$B$10,"Bear","Bull"))</f>
        <v>Bull</v>
      </c>
      <c r="G339" s="0" t="str">
        <f aca="true">IF(F339="Bull",IF(RAND()&lt;Assumptions!$B$7,"Bull","Bear"),IF(RAND()&lt;Assumptions!$B$10,"Bear","Bull"))</f>
        <v>Bear</v>
      </c>
      <c r="H339" s="8" t="n">
        <f aca="true">IF(B339="Bull",NORMINV(RAND(),Assumptions!$B$5,Assumptions!$B$6),NORMINV(RAND(),Assumptions!$B$8,Assumptions!$B$9))</f>
        <v>0.0327282373971987</v>
      </c>
      <c r="I339" s="8" t="n">
        <f aca="true">IF(C339="Bull",NORMINV(RAND(),Assumptions!$B$5,Assumptions!$B$6),NORMINV(RAND(),Assumptions!$B$8,Assumptions!$B$9))</f>
        <v>0.0453957669173533</v>
      </c>
      <c r="J339" s="8" t="n">
        <f aca="true">IF(D339="Bull",NORMINV(RAND(),Assumptions!$B$5,Assumptions!$B$6),NORMINV(RAND(),Assumptions!$B$8,Assumptions!$B$9))</f>
        <v>0.153682654529827</v>
      </c>
      <c r="K339" s="8" t="n">
        <f aca="true">IF(E339="Bull",NORMINV(RAND(),Assumptions!$B$5,Assumptions!$B$6),NORMINV(RAND(),Assumptions!$B$8,Assumptions!$B$9))</f>
        <v>0.242910495111826</v>
      </c>
      <c r="L339" s="8" t="n">
        <f aca="true">IF(F339="Bull",NORMINV(RAND(),Assumptions!$B$5,Assumptions!$B$6),NORMINV(RAND(),Assumptions!$B$8,Assumptions!$B$9))</f>
        <v>0.278209495127299</v>
      </c>
      <c r="M339" s="8" t="n">
        <f aca="true">IF(G339="Bull",NORMINV(RAND(),Assumptions!$B$5,Assumptions!$B$6),NORMINV(RAND(),Assumptions!$B$8,Assumptions!$B$9))</f>
        <v>-0.19056189905934</v>
      </c>
      <c r="N339" s="8" t="n">
        <f aca="true">NORMINV(RAND(),Assumptions!$B$14,Assumptions!$B$15)</f>
        <v>0.0703331255614992</v>
      </c>
      <c r="O339" s="8" t="n">
        <f aca="true">NORMINV(RAND(),Assumptions!$B$14,Assumptions!$B$15)</f>
        <v>0.0383130862318819</v>
      </c>
      <c r="P339" s="8" t="n">
        <f aca="true">NORMINV(RAND(),Assumptions!$B$14,Assumptions!$B$15)</f>
        <v>0.0313918083321416</v>
      </c>
      <c r="Q339" s="8" t="n">
        <f aca="true">NORMINV(RAND(),Assumptions!$B$14,Assumptions!$B$15)</f>
        <v>0.0619911249319111</v>
      </c>
      <c r="R339" s="8" t="n">
        <f aca="true">NORMINV(RAND(),Assumptions!$B$14,Assumptions!$B$15)</f>
        <v>0.0623387872592523</v>
      </c>
      <c r="S339" s="8" t="n">
        <f aca="true">NORMINV(RAND(),Assumptions!$B$14,Assumptions!$B$15)</f>
        <v>0.0489363318539842</v>
      </c>
      <c r="T339" s="8" t="n">
        <f aca="false">Assumptions!$B$19*H339+(1-Assumptions!$B$19)*N339</f>
        <v>0.0327282373971987</v>
      </c>
      <c r="U339" s="8" t="n">
        <f aca="false">Assumptions!$B$20*I339+(1-Assumptions!$B$20)*O339</f>
        <v>0.0453957669173533</v>
      </c>
      <c r="V339" s="8" t="n">
        <f aca="false">Assumptions!$B$21*J339+(1-Assumptions!$B$21)*P339</f>
        <v>0.153682654529827</v>
      </c>
      <c r="W339" s="8" t="n">
        <f aca="false">Assumptions!$B$22*K339+(1-Assumptions!$B$22)*Q339</f>
        <v>0.242910495111826</v>
      </c>
      <c r="X339" s="8" t="n">
        <f aca="false">Assumptions!$B$23*L339+(1-Assumptions!$B$23)*R339</f>
        <v>0.235035353553689</v>
      </c>
      <c r="Y339" s="8" t="n">
        <f aca="false">Assumptions!$B$24*M339+(1-Assumptions!$B$24)*S339</f>
        <v>-0.0947626066940102</v>
      </c>
      <c r="Z339" s="6" t="n">
        <f aca="false">Assumptions!$B$27*(1+T339)</f>
        <v>309818.47121916</v>
      </c>
      <c r="AA339" s="6" t="n">
        <f aca="false">(Z339+Assumptions!$B$28)*(1+U339)</f>
        <v>480692.283362918</v>
      </c>
      <c r="AB339" s="6" t="n">
        <f aca="false">AA339*(1+V339)</f>
        <v>554566.349482135</v>
      </c>
      <c r="AC339" s="6" t="n">
        <f aca="false">AB339*(1+W339)</f>
        <v>689276.336007198</v>
      </c>
      <c r="AD339" s="6" t="n">
        <f aca="false">AC339*(1+X339)</f>
        <v>851280.643336842</v>
      </c>
      <c r="AE339" s="6" t="n">
        <f aca="false">AD339*(1+Y339)</f>
        <v>770611.070546089</v>
      </c>
      <c r="AF339" s="6" t="n">
        <f aca="false">Z339</f>
        <v>309818.47121916</v>
      </c>
      <c r="AG339" s="6" t="n">
        <f aca="false">MAX(AF339,AA339)</f>
        <v>480692.283362918</v>
      </c>
      <c r="AH339" s="6" t="n">
        <f aca="false">MAX(AG339,AB339)</f>
        <v>554566.349482135</v>
      </c>
      <c r="AI339" s="6" t="n">
        <f aca="false">MAX(AH339,AC339)</f>
        <v>689276.336007198</v>
      </c>
      <c r="AJ339" s="6" t="n">
        <f aca="false">MAX(AI339,AD339)</f>
        <v>851280.643336842</v>
      </c>
      <c r="AK339" s="6" t="n">
        <f aca="false">MAX(AJ339,AE339)</f>
        <v>851280.643336842</v>
      </c>
      <c r="AL339" s="8" t="n">
        <f aca="false">MIN(Z339/AF339-1,AA339/AG339-1,AB339/AH339-1,AC339/AI339-1,AD339/AJ339-1,AE339/AK339-1)</f>
        <v>-0.0947626066940104</v>
      </c>
      <c r="AM339" s="6" t="n">
        <f aca="false">AE339-Assumptions!$B$35</f>
        <v>329347.073883585</v>
      </c>
    </row>
    <row r="340" customFormat="false" ht="15" hidden="false" customHeight="false" outlineLevel="0" collapsed="false">
      <c r="A340" s="0" t="n">
        <f aca="false">ROW()-1</f>
        <v>339</v>
      </c>
      <c r="B340" s="0" t="str">
        <f aca="true">IF(RAND()&lt;Assumptions!$B$11,"Bull","Bear")</f>
        <v>Bull</v>
      </c>
      <c r="C340" s="0" t="str">
        <f aca="true">IF(B340="Bull",IF(RAND()&lt;Assumptions!$B$7,"Bull","Bear"),IF(RAND()&lt;Assumptions!$B$10,"Bear","Bull"))</f>
        <v>Bear</v>
      </c>
      <c r="D340" s="0" t="str">
        <f aca="true">IF(C340="Bull",IF(RAND()&lt;Assumptions!$B$7,"Bull","Bear"),IF(RAND()&lt;Assumptions!$B$10,"Bear","Bull"))</f>
        <v>Bear</v>
      </c>
      <c r="E340" s="0" t="str">
        <f aca="true">IF(D340="Bull",IF(RAND()&lt;Assumptions!$B$7,"Bull","Bear"),IF(RAND()&lt;Assumptions!$B$10,"Bear","Bull"))</f>
        <v>Bear</v>
      </c>
      <c r="F340" s="0" t="str">
        <f aca="true">IF(E340="Bull",IF(RAND()&lt;Assumptions!$B$7,"Bull","Bear"),IF(RAND()&lt;Assumptions!$B$10,"Bear","Bull"))</f>
        <v>Bear</v>
      </c>
      <c r="G340" s="0" t="str">
        <f aca="true">IF(F340="Bull",IF(RAND()&lt;Assumptions!$B$7,"Bull","Bear"),IF(RAND()&lt;Assumptions!$B$10,"Bear","Bull"))</f>
        <v>Bull</v>
      </c>
      <c r="H340" s="8" t="n">
        <f aca="true">IF(B340="Bull",NORMINV(RAND(),Assumptions!$B$5,Assumptions!$B$6),NORMINV(RAND(),Assumptions!$B$8,Assumptions!$B$9))</f>
        <v>0.312945544475507</v>
      </c>
      <c r="I340" s="8" t="n">
        <f aca="true">IF(C340="Bull",NORMINV(RAND(),Assumptions!$B$5,Assumptions!$B$6),NORMINV(RAND(),Assumptions!$B$8,Assumptions!$B$9))</f>
        <v>0.0246125792955157</v>
      </c>
      <c r="J340" s="8" t="n">
        <f aca="true">IF(D340="Bull",NORMINV(RAND(),Assumptions!$B$5,Assumptions!$B$6),NORMINV(RAND(),Assumptions!$B$8,Assumptions!$B$9))</f>
        <v>0.00691656918936431</v>
      </c>
      <c r="K340" s="8" t="n">
        <f aca="true">IF(E340="Bull",NORMINV(RAND(),Assumptions!$B$5,Assumptions!$B$6),NORMINV(RAND(),Assumptions!$B$8,Assumptions!$B$9))</f>
        <v>-0.130607694268188</v>
      </c>
      <c r="L340" s="8" t="n">
        <f aca="true">IF(F340="Bull",NORMINV(RAND(),Assumptions!$B$5,Assumptions!$B$6),NORMINV(RAND(),Assumptions!$B$8,Assumptions!$B$9))</f>
        <v>-0.419350030173792</v>
      </c>
      <c r="M340" s="8" t="n">
        <f aca="true">IF(G340="Bull",NORMINV(RAND(),Assumptions!$B$5,Assumptions!$B$6),NORMINV(RAND(),Assumptions!$B$8,Assumptions!$B$9))</f>
        <v>0.137377070968035</v>
      </c>
      <c r="N340" s="8" t="n">
        <f aca="true">NORMINV(RAND(),Assumptions!$B$14,Assumptions!$B$15)</f>
        <v>0.00861150821116467</v>
      </c>
      <c r="O340" s="8" t="n">
        <f aca="true">NORMINV(RAND(),Assumptions!$B$14,Assumptions!$B$15)</f>
        <v>0.0479274254262246</v>
      </c>
      <c r="P340" s="8" t="n">
        <f aca="true">NORMINV(RAND(),Assumptions!$B$14,Assumptions!$B$15)</f>
        <v>0.0325211743448942</v>
      </c>
      <c r="Q340" s="8" t="n">
        <f aca="true">NORMINV(RAND(),Assumptions!$B$14,Assumptions!$B$15)</f>
        <v>0.0734667286211597</v>
      </c>
      <c r="R340" s="8" t="n">
        <f aca="true">NORMINV(RAND(),Assumptions!$B$14,Assumptions!$B$15)</f>
        <v>0.0338139793385138</v>
      </c>
      <c r="S340" s="8" t="n">
        <f aca="true">NORMINV(RAND(),Assumptions!$B$14,Assumptions!$B$15)</f>
        <v>0.105854783677818</v>
      </c>
      <c r="T340" s="8" t="n">
        <f aca="false">Assumptions!$B$19*H340+(1-Assumptions!$B$19)*N340</f>
        <v>0.312945544475507</v>
      </c>
      <c r="U340" s="8" t="n">
        <f aca="false">Assumptions!$B$20*I340+(1-Assumptions!$B$20)*O340</f>
        <v>0.0246125792955157</v>
      </c>
      <c r="V340" s="8" t="n">
        <f aca="false">Assumptions!$B$21*J340+(1-Assumptions!$B$21)*P340</f>
        <v>0.00691656918936431</v>
      </c>
      <c r="W340" s="8" t="n">
        <f aca="false">Assumptions!$B$22*K340+(1-Assumptions!$B$22)*Q340</f>
        <v>-0.130607694268188</v>
      </c>
      <c r="X340" s="8" t="n">
        <f aca="false">Assumptions!$B$23*L340+(1-Assumptions!$B$23)*R340</f>
        <v>-0.328717228271331</v>
      </c>
      <c r="Y340" s="8" t="n">
        <f aca="false">Assumptions!$B$24*M340+(1-Assumptions!$B$24)*S340</f>
        <v>0.124768156051948</v>
      </c>
      <c r="Z340" s="6" t="n">
        <f aca="false">Assumptions!$B$27*(1+T340)</f>
        <v>393883.663342652</v>
      </c>
      <c r="AA340" s="6" t="n">
        <f aca="false">(Z340+Assumptions!$B$28)*(1+U340)</f>
        <v>557270.043134208</v>
      </c>
      <c r="AB340" s="6" t="n">
        <f aca="false">AA340*(1+V340)</f>
        <v>561124.439944706</v>
      </c>
      <c r="AC340" s="6" t="n">
        <f aca="false">AB340*(1+W340)</f>
        <v>487837.270646</v>
      </c>
      <c r="AD340" s="6" t="n">
        <f aca="false">AC340*(1+X340)</f>
        <v>327476.755191796</v>
      </c>
      <c r="AE340" s="6" t="n">
        <f aca="false">AD340*(1+Y340)</f>
        <v>368335.426086951</v>
      </c>
      <c r="AF340" s="6" t="n">
        <f aca="false">Z340</f>
        <v>393883.663342652</v>
      </c>
      <c r="AG340" s="6" t="n">
        <f aca="false">MAX(AF340,AA340)</f>
        <v>557270.043134208</v>
      </c>
      <c r="AH340" s="6" t="n">
        <f aca="false">MAX(AG340,AB340)</f>
        <v>561124.439944706</v>
      </c>
      <c r="AI340" s="6" t="n">
        <f aca="false">MAX(AH340,AC340)</f>
        <v>561124.439944706</v>
      </c>
      <c r="AJ340" s="6" t="n">
        <f aca="false">MAX(AI340,AD340)</f>
        <v>561124.439944706</v>
      </c>
      <c r="AK340" s="6" t="n">
        <f aca="false">MAX(AJ340,AE340)</f>
        <v>561124.439944706</v>
      </c>
      <c r="AL340" s="8" t="n">
        <f aca="false">MIN(Z340/AF340-1,AA340/AG340-1,AB340/AH340-1,AC340/AI340-1,AD340/AJ340-1,AE340/AK340-1)</f>
        <v>-0.41639192328877</v>
      </c>
      <c r="AM340" s="6" t="n">
        <f aca="false">AE340-Assumptions!$B$35</f>
        <v>-72928.5705755521</v>
      </c>
    </row>
    <row r="341" customFormat="false" ht="15" hidden="false" customHeight="false" outlineLevel="0" collapsed="false">
      <c r="A341" s="0" t="n">
        <f aca="false">ROW()-1</f>
        <v>340</v>
      </c>
      <c r="B341" s="0" t="str">
        <f aca="true">IF(RAND()&lt;Assumptions!$B$11,"Bull","Bear")</f>
        <v>Bull</v>
      </c>
      <c r="C341" s="0" t="str">
        <f aca="true">IF(B341="Bull",IF(RAND()&lt;Assumptions!$B$7,"Bull","Bear"),IF(RAND()&lt;Assumptions!$B$10,"Bear","Bull"))</f>
        <v>Bull</v>
      </c>
      <c r="D341" s="0" t="str">
        <f aca="true">IF(C341="Bull",IF(RAND()&lt;Assumptions!$B$7,"Bull","Bear"),IF(RAND()&lt;Assumptions!$B$10,"Bear","Bull"))</f>
        <v>Bull</v>
      </c>
      <c r="E341" s="0" t="str">
        <f aca="true">IF(D341="Bull",IF(RAND()&lt;Assumptions!$B$7,"Bull","Bear"),IF(RAND()&lt;Assumptions!$B$10,"Bear","Bull"))</f>
        <v>Bull</v>
      </c>
      <c r="F341" s="0" t="str">
        <f aca="true">IF(E341="Bull",IF(RAND()&lt;Assumptions!$B$7,"Bull","Bear"),IF(RAND()&lt;Assumptions!$B$10,"Bear","Bull"))</f>
        <v>Bull</v>
      </c>
      <c r="G341" s="0" t="str">
        <f aca="true">IF(F341="Bull",IF(RAND()&lt;Assumptions!$B$7,"Bull","Bear"),IF(RAND()&lt;Assumptions!$B$10,"Bear","Bull"))</f>
        <v>Bear</v>
      </c>
      <c r="H341" s="8" t="n">
        <f aca="true">IF(B341="Bull",NORMINV(RAND(),Assumptions!$B$5,Assumptions!$B$6),NORMINV(RAND(),Assumptions!$B$8,Assumptions!$B$9))</f>
        <v>0.136032450340114</v>
      </c>
      <c r="I341" s="8" t="n">
        <f aca="true">IF(C341="Bull",NORMINV(RAND(),Assumptions!$B$5,Assumptions!$B$6),NORMINV(RAND(),Assumptions!$B$8,Assumptions!$B$9))</f>
        <v>0.161418760471338</v>
      </c>
      <c r="J341" s="8" t="n">
        <f aca="true">IF(D341="Bull",NORMINV(RAND(),Assumptions!$B$5,Assumptions!$B$6),NORMINV(RAND(),Assumptions!$B$8,Assumptions!$B$9))</f>
        <v>0.257285617149574</v>
      </c>
      <c r="K341" s="8" t="n">
        <f aca="true">IF(E341="Bull",NORMINV(RAND(),Assumptions!$B$5,Assumptions!$B$6),NORMINV(RAND(),Assumptions!$B$8,Assumptions!$B$9))</f>
        <v>0.172567318789686</v>
      </c>
      <c r="L341" s="8" t="n">
        <f aca="true">IF(F341="Bull",NORMINV(RAND(),Assumptions!$B$5,Assumptions!$B$6),NORMINV(RAND(),Assumptions!$B$8,Assumptions!$B$9))</f>
        <v>-0.0960685061686311</v>
      </c>
      <c r="M341" s="8" t="n">
        <f aca="true">IF(G341="Bull",NORMINV(RAND(),Assumptions!$B$5,Assumptions!$B$6),NORMINV(RAND(),Assumptions!$B$8,Assumptions!$B$9))</f>
        <v>-0.475992854851033</v>
      </c>
      <c r="N341" s="8" t="n">
        <f aca="true">NORMINV(RAND(),Assumptions!$B$14,Assumptions!$B$15)</f>
        <v>0.0788514627937096</v>
      </c>
      <c r="O341" s="8" t="n">
        <f aca="true">NORMINV(RAND(),Assumptions!$B$14,Assumptions!$B$15)</f>
        <v>0.0752478557333325</v>
      </c>
      <c r="P341" s="8" t="n">
        <f aca="true">NORMINV(RAND(),Assumptions!$B$14,Assumptions!$B$15)</f>
        <v>0.0341487299866625</v>
      </c>
      <c r="Q341" s="8" t="n">
        <f aca="true">NORMINV(RAND(),Assumptions!$B$14,Assumptions!$B$15)</f>
        <v>0.0319584509036966</v>
      </c>
      <c r="R341" s="8" t="n">
        <f aca="true">NORMINV(RAND(),Assumptions!$B$14,Assumptions!$B$15)</f>
        <v>0.0723212423037059</v>
      </c>
      <c r="S341" s="8" t="n">
        <f aca="true">NORMINV(RAND(),Assumptions!$B$14,Assumptions!$B$15)</f>
        <v>-0.0204159449859666</v>
      </c>
      <c r="T341" s="8" t="n">
        <f aca="false">Assumptions!$B$19*H341+(1-Assumptions!$B$19)*N341</f>
        <v>0.136032450340114</v>
      </c>
      <c r="U341" s="8" t="n">
        <f aca="false">Assumptions!$B$20*I341+(1-Assumptions!$B$20)*O341</f>
        <v>0.161418760471338</v>
      </c>
      <c r="V341" s="8" t="n">
        <f aca="false">Assumptions!$B$21*J341+(1-Assumptions!$B$21)*P341</f>
        <v>0.257285617149574</v>
      </c>
      <c r="W341" s="8" t="n">
        <f aca="false">Assumptions!$B$22*K341+(1-Assumptions!$B$22)*Q341</f>
        <v>0.172567318789686</v>
      </c>
      <c r="X341" s="8" t="n">
        <f aca="false">Assumptions!$B$23*L341+(1-Assumptions!$B$23)*R341</f>
        <v>-0.0623905564741637</v>
      </c>
      <c r="Y341" s="8" t="n">
        <f aca="false">Assumptions!$B$24*M341+(1-Assumptions!$B$24)*S341</f>
        <v>-0.293762090905007</v>
      </c>
      <c r="Z341" s="6" t="n">
        <f aca="false">Assumptions!$B$27*(1+T341)</f>
        <v>340809.735102034</v>
      </c>
      <c r="AA341" s="6" t="n">
        <f aca="false">(Z341+Assumptions!$B$28)*(1+U341)</f>
        <v>570035.63416947</v>
      </c>
      <c r="AB341" s="6" t="n">
        <f aca="false">AA341*(1+V341)</f>
        <v>716697.604104011</v>
      </c>
      <c r="AC341" s="6" t="n">
        <f aca="false">AB341*(1+W341)</f>
        <v>840376.188027232</v>
      </c>
      <c r="AD341" s="6" t="n">
        <f aca="false">AC341*(1+X341)</f>
        <v>787944.650008577</v>
      </c>
      <c r="AE341" s="6" t="n">
        <f aca="false">AD341*(1+Y341)</f>
        <v>556476.382104643</v>
      </c>
      <c r="AF341" s="6" t="n">
        <f aca="false">Z341</f>
        <v>340809.735102034</v>
      </c>
      <c r="AG341" s="6" t="n">
        <f aca="false">MAX(AF341,AA341)</f>
        <v>570035.63416947</v>
      </c>
      <c r="AH341" s="6" t="n">
        <f aca="false">MAX(AG341,AB341)</f>
        <v>716697.604104011</v>
      </c>
      <c r="AI341" s="6" t="n">
        <f aca="false">MAX(AH341,AC341)</f>
        <v>840376.188027232</v>
      </c>
      <c r="AJ341" s="6" t="n">
        <f aca="false">MAX(AI341,AD341)</f>
        <v>840376.188027232</v>
      </c>
      <c r="AK341" s="6" t="n">
        <f aca="false">MAX(AJ341,AE341)</f>
        <v>840376.188027232</v>
      </c>
      <c r="AL341" s="8" t="n">
        <f aca="false">MIN(Z341/AF341-1,AA341/AG341-1,AB341/AH341-1,AC341/AI341-1,AD341/AJ341-1,AE341/AK341-1)</f>
        <v>-0.337824667056593</v>
      </c>
      <c r="AM341" s="6" t="n">
        <f aca="false">AE341-Assumptions!$B$35</f>
        <v>115212.38544214</v>
      </c>
    </row>
    <row r="342" customFormat="false" ht="15" hidden="false" customHeight="false" outlineLevel="0" collapsed="false">
      <c r="A342" s="0" t="n">
        <f aca="false">ROW()-1</f>
        <v>341</v>
      </c>
      <c r="B342" s="0" t="str">
        <f aca="true">IF(RAND()&lt;Assumptions!$B$11,"Bull","Bear")</f>
        <v>Bear</v>
      </c>
      <c r="C342" s="0" t="str">
        <f aca="true">IF(B342="Bull",IF(RAND()&lt;Assumptions!$B$7,"Bull","Bear"),IF(RAND()&lt;Assumptions!$B$10,"Bear","Bull"))</f>
        <v>Bull</v>
      </c>
      <c r="D342" s="0" t="str">
        <f aca="true">IF(C342="Bull",IF(RAND()&lt;Assumptions!$B$7,"Bull","Bear"),IF(RAND()&lt;Assumptions!$B$10,"Bear","Bull"))</f>
        <v>Bull</v>
      </c>
      <c r="E342" s="0" t="str">
        <f aca="true">IF(D342="Bull",IF(RAND()&lt;Assumptions!$B$7,"Bull","Bear"),IF(RAND()&lt;Assumptions!$B$10,"Bear","Bull"))</f>
        <v>Bull</v>
      </c>
      <c r="F342" s="0" t="str">
        <f aca="true">IF(E342="Bull",IF(RAND()&lt;Assumptions!$B$7,"Bull","Bear"),IF(RAND()&lt;Assumptions!$B$10,"Bear","Bull"))</f>
        <v>Bull</v>
      </c>
      <c r="G342" s="0" t="str">
        <f aca="true">IF(F342="Bull",IF(RAND()&lt;Assumptions!$B$7,"Bull","Bear"),IF(RAND()&lt;Assumptions!$B$10,"Bear","Bull"))</f>
        <v>Bull</v>
      </c>
      <c r="H342" s="8" t="n">
        <f aca="true">IF(B342="Bull",NORMINV(RAND(),Assumptions!$B$5,Assumptions!$B$6),NORMINV(RAND(),Assumptions!$B$8,Assumptions!$B$9))</f>
        <v>-0.248143017908633</v>
      </c>
      <c r="I342" s="8" t="n">
        <f aca="true">IF(C342="Bull",NORMINV(RAND(),Assumptions!$B$5,Assumptions!$B$6),NORMINV(RAND(),Assumptions!$B$8,Assumptions!$B$9))</f>
        <v>0.124685400034456</v>
      </c>
      <c r="J342" s="8" t="n">
        <f aca="true">IF(D342="Bull",NORMINV(RAND(),Assumptions!$B$5,Assumptions!$B$6),NORMINV(RAND(),Assumptions!$B$8,Assumptions!$B$9))</f>
        <v>0.16200191900705</v>
      </c>
      <c r="K342" s="8" t="n">
        <f aca="true">IF(E342="Bull",NORMINV(RAND(),Assumptions!$B$5,Assumptions!$B$6),NORMINV(RAND(),Assumptions!$B$8,Assumptions!$B$9))</f>
        <v>0.175298813754288</v>
      </c>
      <c r="L342" s="8" t="n">
        <f aca="true">IF(F342="Bull",NORMINV(RAND(),Assumptions!$B$5,Assumptions!$B$6),NORMINV(RAND(),Assumptions!$B$8,Assumptions!$B$9))</f>
        <v>0.00778857704676444</v>
      </c>
      <c r="M342" s="8" t="n">
        <f aca="true">IF(G342="Bull",NORMINV(RAND(),Assumptions!$B$5,Assumptions!$B$6),NORMINV(RAND(),Assumptions!$B$8,Assumptions!$B$9))</f>
        <v>0.0388351257996165</v>
      </c>
      <c r="N342" s="8" t="n">
        <f aca="true">NORMINV(RAND(),Assumptions!$B$14,Assumptions!$B$15)</f>
        <v>-0.00632668163002278</v>
      </c>
      <c r="O342" s="8" t="n">
        <f aca="true">NORMINV(RAND(),Assumptions!$B$14,Assumptions!$B$15)</f>
        <v>0.0951221158614133</v>
      </c>
      <c r="P342" s="8" t="n">
        <f aca="true">NORMINV(RAND(),Assumptions!$B$14,Assumptions!$B$15)</f>
        <v>0.0332296488765168</v>
      </c>
      <c r="Q342" s="8" t="n">
        <f aca="true">NORMINV(RAND(),Assumptions!$B$14,Assumptions!$B$15)</f>
        <v>0.0552805214850206</v>
      </c>
      <c r="R342" s="8" t="n">
        <f aca="true">NORMINV(RAND(),Assumptions!$B$14,Assumptions!$B$15)</f>
        <v>0.0235966119751952</v>
      </c>
      <c r="S342" s="8" t="n">
        <f aca="true">NORMINV(RAND(),Assumptions!$B$14,Assumptions!$B$15)</f>
        <v>0.0714038794759906</v>
      </c>
      <c r="T342" s="8" t="n">
        <f aca="false">Assumptions!$B$19*H342+(1-Assumptions!$B$19)*N342</f>
        <v>-0.248143017908633</v>
      </c>
      <c r="U342" s="8" t="n">
        <f aca="false">Assumptions!$B$20*I342+(1-Assumptions!$B$20)*O342</f>
        <v>0.124685400034456</v>
      </c>
      <c r="V342" s="8" t="n">
        <f aca="false">Assumptions!$B$21*J342+(1-Assumptions!$B$21)*P342</f>
        <v>0.16200191900705</v>
      </c>
      <c r="W342" s="8" t="n">
        <f aca="false">Assumptions!$B$22*K342+(1-Assumptions!$B$22)*Q342</f>
        <v>0.175298813754288</v>
      </c>
      <c r="X342" s="8" t="n">
        <f aca="false">Assumptions!$B$23*L342+(1-Assumptions!$B$23)*R342</f>
        <v>0.0109501840324506</v>
      </c>
      <c r="Y342" s="8" t="n">
        <f aca="false">Assumptions!$B$24*M342+(1-Assumptions!$B$24)*S342</f>
        <v>0.0518626272701662</v>
      </c>
      <c r="Z342" s="6" t="n">
        <f aca="false">Assumptions!$B$27*(1+T342)</f>
        <v>225557.09462741</v>
      </c>
      <c r="AA342" s="6" t="n">
        <f aca="false">(Z342+Assumptions!$B$28)*(1+U342)</f>
        <v>422383.581206807</v>
      </c>
      <c r="AB342" s="6" t="n">
        <f aca="false">AA342*(1+V342)</f>
        <v>490810.53191938</v>
      </c>
      <c r="AC342" s="6" t="n">
        <f aca="false">AB342*(1+W342)</f>
        <v>576849.035942958</v>
      </c>
      <c r="AD342" s="6" t="n">
        <f aca="false">AC342*(1+X342)</f>
        <v>583165.639045475</v>
      </c>
      <c r="AE342" s="6" t="n">
        <f aca="false">AD342*(1+Y342)</f>
        <v>613410.141220059</v>
      </c>
      <c r="AF342" s="6" t="n">
        <f aca="false">Z342</f>
        <v>225557.09462741</v>
      </c>
      <c r="AG342" s="6" t="n">
        <f aca="false">MAX(AF342,AA342)</f>
        <v>422383.581206807</v>
      </c>
      <c r="AH342" s="6" t="n">
        <f aca="false">MAX(AG342,AB342)</f>
        <v>490810.53191938</v>
      </c>
      <c r="AI342" s="6" t="n">
        <f aca="false">MAX(AH342,AC342)</f>
        <v>576849.035942958</v>
      </c>
      <c r="AJ342" s="6" t="n">
        <f aca="false">MAX(AI342,AD342)</f>
        <v>583165.639045475</v>
      </c>
      <c r="AK342" s="6" t="n">
        <f aca="false">MAX(AJ342,AE342)</f>
        <v>613410.141220059</v>
      </c>
      <c r="AL342" s="8" t="n">
        <f aca="false">MIN(Z342/AF342-1,AA342/AG342-1,AB342/AH342-1,AC342/AI342-1,AD342/AJ342-1,AE342/AK342-1)</f>
        <v>0</v>
      </c>
      <c r="AM342" s="6" t="n">
        <f aca="false">AE342-Assumptions!$B$35</f>
        <v>172146.144557555</v>
      </c>
    </row>
    <row r="343" customFormat="false" ht="15" hidden="false" customHeight="false" outlineLevel="0" collapsed="false">
      <c r="A343" s="0" t="n">
        <f aca="false">ROW()-1</f>
        <v>342</v>
      </c>
      <c r="B343" s="0" t="str">
        <f aca="true">IF(RAND()&lt;Assumptions!$B$11,"Bull","Bear")</f>
        <v>Bull</v>
      </c>
      <c r="C343" s="0" t="str">
        <f aca="true">IF(B343="Bull",IF(RAND()&lt;Assumptions!$B$7,"Bull","Bear"),IF(RAND()&lt;Assumptions!$B$10,"Bear","Bull"))</f>
        <v>Bull</v>
      </c>
      <c r="D343" s="0" t="str">
        <f aca="true">IF(C343="Bull",IF(RAND()&lt;Assumptions!$B$7,"Bull","Bear"),IF(RAND()&lt;Assumptions!$B$10,"Bear","Bull"))</f>
        <v>Bull</v>
      </c>
      <c r="E343" s="0" t="str">
        <f aca="true">IF(D343="Bull",IF(RAND()&lt;Assumptions!$B$7,"Bull","Bear"),IF(RAND()&lt;Assumptions!$B$10,"Bear","Bull"))</f>
        <v>Bull</v>
      </c>
      <c r="F343" s="0" t="str">
        <f aca="true">IF(E343="Bull",IF(RAND()&lt;Assumptions!$B$7,"Bull","Bear"),IF(RAND()&lt;Assumptions!$B$10,"Bear","Bull"))</f>
        <v>Bear</v>
      </c>
      <c r="G343" s="0" t="str">
        <f aca="true">IF(F343="Bull",IF(RAND()&lt;Assumptions!$B$7,"Bull","Bear"),IF(RAND()&lt;Assumptions!$B$10,"Bear","Bull"))</f>
        <v>Bull</v>
      </c>
      <c r="H343" s="8" t="n">
        <f aca="true">IF(B343="Bull",NORMINV(RAND(),Assumptions!$B$5,Assumptions!$B$6),NORMINV(RAND(),Assumptions!$B$8,Assumptions!$B$9))</f>
        <v>0.0675884686622854</v>
      </c>
      <c r="I343" s="8" t="n">
        <f aca="true">IF(C343="Bull",NORMINV(RAND(),Assumptions!$B$5,Assumptions!$B$6),NORMINV(RAND(),Assumptions!$B$8,Assumptions!$B$9))</f>
        <v>0.155378725322979</v>
      </c>
      <c r="J343" s="8" t="n">
        <f aca="true">IF(D343="Bull",NORMINV(RAND(),Assumptions!$B$5,Assumptions!$B$6),NORMINV(RAND(),Assumptions!$B$8,Assumptions!$B$9))</f>
        <v>-0.000448987899000358</v>
      </c>
      <c r="K343" s="8" t="n">
        <f aca="true">IF(E343="Bull",NORMINV(RAND(),Assumptions!$B$5,Assumptions!$B$6),NORMINV(RAND(),Assumptions!$B$8,Assumptions!$B$9))</f>
        <v>0.0848897976059364</v>
      </c>
      <c r="L343" s="8" t="n">
        <f aca="true">IF(F343="Bull",NORMINV(RAND(),Assumptions!$B$5,Assumptions!$B$6),NORMINV(RAND(),Assumptions!$B$8,Assumptions!$B$9))</f>
        <v>-0.340619359880715</v>
      </c>
      <c r="M343" s="8" t="n">
        <f aca="true">IF(G343="Bull",NORMINV(RAND(),Assumptions!$B$5,Assumptions!$B$6),NORMINV(RAND(),Assumptions!$B$8,Assumptions!$B$9))</f>
        <v>0.0982284929897053</v>
      </c>
      <c r="N343" s="8" t="n">
        <f aca="true">NORMINV(RAND(),Assumptions!$B$14,Assumptions!$B$15)</f>
        <v>0.118276493993676</v>
      </c>
      <c r="O343" s="8" t="n">
        <f aca="true">NORMINV(RAND(),Assumptions!$B$14,Assumptions!$B$15)</f>
        <v>0.039329167180753</v>
      </c>
      <c r="P343" s="8" t="n">
        <f aca="true">NORMINV(RAND(),Assumptions!$B$14,Assumptions!$B$15)</f>
        <v>0.0329736278712603</v>
      </c>
      <c r="Q343" s="8" t="n">
        <f aca="true">NORMINV(RAND(),Assumptions!$B$14,Assumptions!$B$15)</f>
        <v>0.058272862800384</v>
      </c>
      <c r="R343" s="8" t="n">
        <f aca="true">NORMINV(RAND(),Assumptions!$B$14,Assumptions!$B$15)</f>
        <v>0.0385419530043441</v>
      </c>
      <c r="S343" s="8" t="n">
        <f aca="true">NORMINV(RAND(),Assumptions!$B$14,Assumptions!$B$15)</f>
        <v>0.0414406434510724</v>
      </c>
      <c r="T343" s="8" t="n">
        <f aca="false">Assumptions!$B$19*H343+(1-Assumptions!$B$19)*N343</f>
        <v>0.0675884686622854</v>
      </c>
      <c r="U343" s="8" t="n">
        <f aca="false">Assumptions!$B$20*I343+(1-Assumptions!$B$20)*O343</f>
        <v>0.155378725322979</v>
      </c>
      <c r="V343" s="8" t="n">
        <f aca="false">Assumptions!$B$21*J343+(1-Assumptions!$B$21)*P343</f>
        <v>-0.000448987899000358</v>
      </c>
      <c r="W343" s="8" t="n">
        <f aca="false">Assumptions!$B$22*K343+(1-Assumptions!$B$22)*Q343</f>
        <v>0.0848897976059364</v>
      </c>
      <c r="X343" s="8" t="n">
        <f aca="false">Assumptions!$B$23*L343+(1-Assumptions!$B$23)*R343</f>
        <v>-0.264787097303703</v>
      </c>
      <c r="Y343" s="8" t="n">
        <f aca="false">Assumptions!$B$24*M343+(1-Assumptions!$B$24)*S343</f>
        <v>0.0755133531742521</v>
      </c>
      <c r="Z343" s="6" t="n">
        <f aca="false">Assumptions!$B$27*(1+T343)</f>
        <v>320276.540598686</v>
      </c>
      <c r="AA343" s="6" t="n">
        <f aca="false">(Z343+Assumptions!$B$28)*(1+U343)</f>
        <v>543347.51002621</v>
      </c>
      <c r="AB343" s="6" t="n">
        <f aca="false">AA343*(1+V343)</f>
        <v>543103.553569256</v>
      </c>
      <c r="AC343" s="6" t="n">
        <f aca="false">AB343*(1+W343)</f>
        <v>589207.504310815</v>
      </c>
      <c r="AD343" s="6" t="n">
        <f aca="false">AC343*(1+X343)</f>
        <v>433192.959534795</v>
      </c>
      <c r="AE343" s="6" t="n">
        <f aca="false">AD343*(1+Y343)</f>
        <v>465904.812480745</v>
      </c>
      <c r="AF343" s="6" t="n">
        <f aca="false">Z343</f>
        <v>320276.540598686</v>
      </c>
      <c r="AG343" s="6" t="n">
        <f aca="false">MAX(AF343,AA343)</f>
        <v>543347.51002621</v>
      </c>
      <c r="AH343" s="6" t="n">
        <f aca="false">MAX(AG343,AB343)</f>
        <v>543347.51002621</v>
      </c>
      <c r="AI343" s="6" t="n">
        <f aca="false">MAX(AH343,AC343)</f>
        <v>589207.504310815</v>
      </c>
      <c r="AJ343" s="6" t="n">
        <f aca="false">MAX(AI343,AD343)</f>
        <v>589207.504310815</v>
      </c>
      <c r="AK343" s="6" t="n">
        <f aca="false">MAX(AJ343,AE343)</f>
        <v>589207.504310815</v>
      </c>
      <c r="AL343" s="8" t="n">
        <f aca="false">MIN(Z343/AF343-1,AA343/AG343-1,AB343/AH343-1,AC343/AI343-1,AD343/AJ343-1,AE343/AK343-1)</f>
        <v>-0.264787097303703</v>
      </c>
      <c r="AM343" s="6" t="n">
        <f aca="false">AE343-Assumptions!$B$35</f>
        <v>24640.8158182419</v>
      </c>
    </row>
    <row r="344" customFormat="false" ht="15" hidden="false" customHeight="false" outlineLevel="0" collapsed="false">
      <c r="A344" s="0" t="n">
        <f aca="false">ROW()-1</f>
        <v>343</v>
      </c>
      <c r="B344" s="0" t="str">
        <f aca="true">IF(RAND()&lt;Assumptions!$B$11,"Bull","Bear")</f>
        <v>Bull</v>
      </c>
      <c r="C344" s="0" t="str">
        <f aca="true">IF(B344="Bull",IF(RAND()&lt;Assumptions!$B$7,"Bull","Bear"),IF(RAND()&lt;Assumptions!$B$10,"Bear","Bull"))</f>
        <v>Bull</v>
      </c>
      <c r="D344" s="0" t="str">
        <f aca="true">IF(C344="Bull",IF(RAND()&lt;Assumptions!$B$7,"Bull","Bear"),IF(RAND()&lt;Assumptions!$B$10,"Bear","Bull"))</f>
        <v>Bull</v>
      </c>
      <c r="E344" s="0" t="str">
        <f aca="true">IF(D344="Bull",IF(RAND()&lt;Assumptions!$B$7,"Bull","Bear"),IF(RAND()&lt;Assumptions!$B$10,"Bear","Bull"))</f>
        <v>Bear</v>
      </c>
      <c r="F344" s="0" t="str">
        <f aca="true">IF(E344="Bull",IF(RAND()&lt;Assumptions!$B$7,"Bull","Bear"),IF(RAND()&lt;Assumptions!$B$10,"Bear","Bull"))</f>
        <v>Bull</v>
      </c>
      <c r="G344" s="0" t="str">
        <f aca="true">IF(F344="Bull",IF(RAND()&lt;Assumptions!$B$7,"Bull","Bear"),IF(RAND()&lt;Assumptions!$B$10,"Bear","Bull"))</f>
        <v>Bull</v>
      </c>
      <c r="H344" s="8" t="n">
        <f aca="true">IF(B344="Bull",NORMINV(RAND(),Assumptions!$B$5,Assumptions!$B$6),NORMINV(RAND(),Assumptions!$B$8,Assumptions!$B$9))</f>
        <v>0.249656106645002</v>
      </c>
      <c r="I344" s="8" t="n">
        <f aca="true">IF(C344="Bull",NORMINV(RAND(),Assumptions!$B$5,Assumptions!$B$6),NORMINV(RAND(),Assumptions!$B$8,Assumptions!$B$9))</f>
        <v>0.247641087235805</v>
      </c>
      <c r="J344" s="8" t="n">
        <f aca="true">IF(D344="Bull",NORMINV(RAND(),Assumptions!$B$5,Assumptions!$B$6),NORMINV(RAND(),Assumptions!$B$8,Assumptions!$B$9))</f>
        <v>0.178778450927612</v>
      </c>
      <c r="K344" s="8" t="n">
        <f aca="true">IF(E344="Bull",NORMINV(RAND(),Assumptions!$B$5,Assumptions!$B$6),NORMINV(RAND(),Assumptions!$B$8,Assumptions!$B$9))</f>
        <v>-0.041004136902324</v>
      </c>
      <c r="L344" s="8" t="n">
        <f aca="true">IF(F344="Bull",NORMINV(RAND(),Assumptions!$B$5,Assumptions!$B$6),NORMINV(RAND(),Assumptions!$B$8,Assumptions!$B$9))</f>
        <v>0.0933325468283652</v>
      </c>
      <c r="M344" s="8" t="n">
        <f aca="true">IF(G344="Bull",NORMINV(RAND(),Assumptions!$B$5,Assumptions!$B$6),NORMINV(RAND(),Assumptions!$B$8,Assumptions!$B$9))</f>
        <v>0.246467362178321</v>
      </c>
      <c r="N344" s="8" t="n">
        <f aca="true">NORMINV(RAND(),Assumptions!$B$14,Assumptions!$B$15)</f>
        <v>-0.0265548698738466</v>
      </c>
      <c r="O344" s="8" t="n">
        <f aca="true">NORMINV(RAND(),Assumptions!$B$14,Assumptions!$B$15)</f>
        <v>0.0412526568334164</v>
      </c>
      <c r="P344" s="8" t="n">
        <f aca="true">NORMINV(RAND(),Assumptions!$B$14,Assumptions!$B$15)</f>
        <v>0.0565967760478925</v>
      </c>
      <c r="Q344" s="8" t="n">
        <f aca="true">NORMINV(RAND(),Assumptions!$B$14,Assumptions!$B$15)</f>
        <v>0.0846753222228014</v>
      </c>
      <c r="R344" s="8" t="n">
        <f aca="true">NORMINV(RAND(),Assumptions!$B$14,Assumptions!$B$15)</f>
        <v>0.0277878197536425</v>
      </c>
      <c r="S344" s="8" t="n">
        <f aca="true">NORMINV(RAND(),Assumptions!$B$14,Assumptions!$B$15)</f>
        <v>0.02920325949142</v>
      </c>
      <c r="T344" s="8" t="n">
        <f aca="false">Assumptions!$B$19*H344+(1-Assumptions!$B$19)*N344</f>
        <v>0.249656106645002</v>
      </c>
      <c r="U344" s="8" t="n">
        <f aca="false">Assumptions!$B$20*I344+(1-Assumptions!$B$20)*O344</f>
        <v>0.247641087235805</v>
      </c>
      <c r="V344" s="8" t="n">
        <f aca="false">Assumptions!$B$21*J344+(1-Assumptions!$B$21)*P344</f>
        <v>0.178778450927612</v>
      </c>
      <c r="W344" s="8" t="n">
        <f aca="false">Assumptions!$B$22*K344+(1-Assumptions!$B$22)*Q344</f>
        <v>-0.041004136902324</v>
      </c>
      <c r="X344" s="8" t="n">
        <f aca="false">Assumptions!$B$23*L344+(1-Assumptions!$B$23)*R344</f>
        <v>0.0802236014134206</v>
      </c>
      <c r="Y344" s="8" t="n">
        <f aca="false">Assumptions!$B$24*M344+(1-Assumptions!$B$24)*S344</f>
        <v>0.159561721103561</v>
      </c>
      <c r="Z344" s="6" t="n">
        <f aca="false">Assumptions!$B$27*(1+T344)</f>
        <v>374896.831993501</v>
      </c>
      <c r="AA344" s="6" t="n">
        <f aca="false">(Z344+Assumptions!$B$28)*(1+U344)</f>
        <v>654882.854155001</v>
      </c>
      <c r="AB344" s="6" t="n">
        <f aca="false">AA344*(1+V344)</f>
        <v>771961.796359885</v>
      </c>
      <c r="AC344" s="6" t="n">
        <f aca="false">AB344*(1+W344)</f>
        <v>740308.16917858</v>
      </c>
      <c r="AD344" s="6" t="n">
        <f aca="false">AC344*(1+X344)</f>
        <v>799698.356665862</v>
      </c>
      <c r="AE344" s="6" t="n">
        <f aca="false">AD344*(1+Y344)</f>
        <v>927299.602819156</v>
      </c>
      <c r="AF344" s="6" t="n">
        <f aca="false">Z344</f>
        <v>374896.831993501</v>
      </c>
      <c r="AG344" s="6" t="n">
        <f aca="false">MAX(AF344,AA344)</f>
        <v>654882.854155001</v>
      </c>
      <c r="AH344" s="6" t="n">
        <f aca="false">MAX(AG344,AB344)</f>
        <v>771961.796359885</v>
      </c>
      <c r="AI344" s="6" t="n">
        <f aca="false">MAX(AH344,AC344)</f>
        <v>771961.796359885</v>
      </c>
      <c r="AJ344" s="6" t="n">
        <f aca="false">MAX(AI344,AD344)</f>
        <v>799698.356665862</v>
      </c>
      <c r="AK344" s="6" t="n">
        <f aca="false">MAX(AJ344,AE344)</f>
        <v>927299.602819156</v>
      </c>
      <c r="AL344" s="8" t="n">
        <f aca="false">MIN(Z344/AF344-1,AA344/AG344-1,AB344/AH344-1,AC344/AI344-1,AD344/AJ344-1,AE344/AK344-1)</f>
        <v>-0.041004136902324</v>
      </c>
      <c r="AM344" s="6" t="n">
        <f aca="false">AE344-Assumptions!$B$35</f>
        <v>486035.606156652</v>
      </c>
    </row>
    <row r="345" customFormat="false" ht="15" hidden="false" customHeight="false" outlineLevel="0" collapsed="false">
      <c r="A345" s="0" t="n">
        <f aca="false">ROW()-1</f>
        <v>344</v>
      </c>
      <c r="B345" s="0" t="str">
        <f aca="true">IF(RAND()&lt;Assumptions!$B$11,"Bull","Bear")</f>
        <v>Bear</v>
      </c>
      <c r="C345" s="0" t="str">
        <f aca="true">IF(B345="Bull",IF(RAND()&lt;Assumptions!$B$7,"Bull","Bear"),IF(RAND()&lt;Assumptions!$B$10,"Bear","Bull"))</f>
        <v>Bull</v>
      </c>
      <c r="D345" s="0" t="str">
        <f aca="true">IF(C345="Bull",IF(RAND()&lt;Assumptions!$B$7,"Bull","Bear"),IF(RAND()&lt;Assumptions!$B$10,"Bear","Bull"))</f>
        <v>Bull</v>
      </c>
      <c r="E345" s="0" t="str">
        <f aca="true">IF(D345="Bull",IF(RAND()&lt;Assumptions!$B$7,"Bull","Bear"),IF(RAND()&lt;Assumptions!$B$10,"Bear","Bull"))</f>
        <v>Bear</v>
      </c>
      <c r="F345" s="0" t="str">
        <f aca="true">IF(E345="Bull",IF(RAND()&lt;Assumptions!$B$7,"Bull","Bear"),IF(RAND()&lt;Assumptions!$B$10,"Bear","Bull"))</f>
        <v>Bull</v>
      </c>
      <c r="G345" s="0" t="str">
        <f aca="true">IF(F345="Bull",IF(RAND()&lt;Assumptions!$B$7,"Bull","Bear"),IF(RAND()&lt;Assumptions!$B$10,"Bear","Bull"))</f>
        <v>Bull</v>
      </c>
      <c r="H345" s="8" t="n">
        <f aca="true">IF(B345="Bull",NORMINV(RAND(),Assumptions!$B$5,Assumptions!$B$6),NORMINV(RAND(),Assumptions!$B$8,Assumptions!$B$9))</f>
        <v>0.0773759703269099</v>
      </c>
      <c r="I345" s="8" t="n">
        <f aca="true">IF(C345="Bull",NORMINV(RAND(),Assumptions!$B$5,Assumptions!$B$6),NORMINV(RAND(),Assumptions!$B$8,Assumptions!$B$9))</f>
        <v>0.245858664783207</v>
      </c>
      <c r="J345" s="8" t="n">
        <f aca="true">IF(D345="Bull",NORMINV(RAND(),Assumptions!$B$5,Assumptions!$B$6),NORMINV(RAND(),Assumptions!$B$8,Assumptions!$B$9))</f>
        <v>0.142939289541472</v>
      </c>
      <c r="K345" s="8" t="n">
        <f aca="true">IF(E345="Bull",NORMINV(RAND(),Assumptions!$B$5,Assumptions!$B$6),NORMINV(RAND(),Assumptions!$B$8,Assumptions!$B$9))</f>
        <v>-0.351574061975687</v>
      </c>
      <c r="L345" s="8" t="n">
        <f aca="true">IF(F345="Bull",NORMINV(RAND(),Assumptions!$B$5,Assumptions!$B$6),NORMINV(RAND(),Assumptions!$B$8,Assumptions!$B$9))</f>
        <v>0.232628781877586</v>
      </c>
      <c r="M345" s="8" t="n">
        <f aca="true">IF(G345="Bull",NORMINV(RAND(),Assumptions!$B$5,Assumptions!$B$6),NORMINV(RAND(),Assumptions!$B$8,Assumptions!$B$9))</f>
        <v>0.285914746863499</v>
      </c>
      <c r="N345" s="8" t="n">
        <f aca="true">NORMINV(RAND(),Assumptions!$B$14,Assumptions!$B$15)</f>
        <v>0.0618886380793222</v>
      </c>
      <c r="O345" s="8" t="n">
        <f aca="true">NORMINV(RAND(),Assumptions!$B$14,Assumptions!$B$15)</f>
        <v>0.0407137447809149</v>
      </c>
      <c r="P345" s="8" t="n">
        <f aca="true">NORMINV(RAND(),Assumptions!$B$14,Assumptions!$B$15)</f>
        <v>0.0250124357735333</v>
      </c>
      <c r="Q345" s="8" t="n">
        <f aca="true">NORMINV(RAND(),Assumptions!$B$14,Assumptions!$B$15)</f>
        <v>0.0201196729772206</v>
      </c>
      <c r="R345" s="8" t="n">
        <f aca="true">NORMINV(RAND(),Assumptions!$B$14,Assumptions!$B$15)</f>
        <v>0.0766406540263859</v>
      </c>
      <c r="S345" s="8" t="n">
        <f aca="true">NORMINV(RAND(),Assumptions!$B$14,Assumptions!$B$15)</f>
        <v>0.0602641266268317</v>
      </c>
      <c r="T345" s="8" t="n">
        <f aca="false">Assumptions!$B$19*H345+(1-Assumptions!$B$19)*N345</f>
        <v>0.0773759703269099</v>
      </c>
      <c r="U345" s="8" t="n">
        <f aca="false">Assumptions!$B$20*I345+(1-Assumptions!$B$20)*O345</f>
        <v>0.245858664783207</v>
      </c>
      <c r="V345" s="8" t="n">
        <f aca="false">Assumptions!$B$21*J345+(1-Assumptions!$B$21)*P345</f>
        <v>0.142939289541472</v>
      </c>
      <c r="W345" s="8" t="n">
        <f aca="false">Assumptions!$B$22*K345+(1-Assumptions!$B$22)*Q345</f>
        <v>-0.351574061975687</v>
      </c>
      <c r="X345" s="8" t="n">
        <f aca="false">Assumptions!$B$23*L345+(1-Assumptions!$B$23)*R345</f>
        <v>0.201431156307346</v>
      </c>
      <c r="Y345" s="8" t="n">
        <f aca="false">Assumptions!$B$24*M345+(1-Assumptions!$B$24)*S345</f>
        <v>0.195654498768832</v>
      </c>
      <c r="Z345" s="6" t="n">
        <f aca="false">Assumptions!$B$27*(1+T345)</f>
        <v>323212.791098073</v>
      </c>
      <c r="AA345" s="6" t="n">
        <f aca="false">(Z345+Assumptions!$B$28)*(1+U345)</f>
        <v>589556.25607578</v>
      </c>
      <c r="AB345" s="6" t="n">
        <f aca="false">AA345*(1+V345)</f>
        <v>673827.008463982</v>
      </c>
      <c r="AC345" s="6" t="n">
        <f aca="false">AB345*(1+W345)</f>
        <v>436926.910029374</v>
      </c>
      <c r="AD345" s="6" t="n">
        <f aca="false">AC345*(1+X345)</f>
        <v>524937.602738387</v>
      </c>
      <c r="AE345" s="6" t="n">
        <f aca="false">AD345*(1+Y345)</f>
        <v>627644.006287078</v>
      </c>
      <c r="AF345" s="6" t="n">
        <f aca="false">Z345</f>
        <v>323212.791098073</v>
      </c>
      <c r="AG345" s="6" t="n">
        <f aca="false">MAX(AF345,AA345)</f>
        <v>589556.25607578</v>
      </c>
      <c r="AH345" s="6" t="n">
        <f aca="false">MAX(AG345,AB345)</f>
        <v>673827.008463982</v>
      </c>
      <c r="AI345" s="6" t="n">
        <f aca="false">MAX(AH345,AC345)</f>
        <v>673827.008463982</v>
      </c>
      <c r="AJ345" s="6" t="n">
        <f aca="false">MAX(AI345,AD345)</f>
        <v>673827.008463982</v>
      </c>
      <c r="AK345" s="6" t="n">
        <f aca="false">MAX(AJ345,AE345)</f>
        <v>673827.008463982</v>
      </c>
      <c r="AL345" s="8" t="n">
        <f aca="false">MIN(Z345/AF345-1,AA345/AG345-1,AB345/AH345-1,AC345/AI345-1,AD345/AJ345-1,AE345/AK345-1)</f>
        <v>-0.351574061975687</v>
      </c>
      <c r="AM345" s="6" t="n">
        <f aca="false">AE345-Assumptions!$B$35</f>
        <v>186380.009624575</v>
      </c>
    </row>
    <row r="346" customFormat="false" ht="15" hidden="false" customHeight="false" outlineLevel="0" collapsed="false">
      <c r="A346" s="0" t="n">
        <f aca="false">ROW()-1</f>
        <v>345</v>
      </c>
      <c r="B346" s="0" t="str">
        <f aca="true">IF(RAND()&lt;Assumptions!$B$11,"Bull","Bear")</f>
        <v>Bear</v>
      </c>
      <c r="C346" s="0" t="str">
        <f aca="true">IF(B346="Bull",IF(RAND()&lt;Assumptions!$B$7,"Bull","Bear"),IF(RAND()&lt;Assumptions!$B$10,"Bear","Bull"))</f>
        <v>Bear</v>
      </c>
      <c r="D346" s="0" t="str">
        <f aca="true">IF(C346="Bull",IF(RAND()&lt;Assumptions!$B$7,"Bull","Bear"),IF(RAND()&lt;Assumptions!$B$10,"Bear","Bull"))</f>
        <v>Bear</v>
      </c>
      <c r="E346" s="0" t="str">
        <f aca="true">IF(D346="Bull",IF(RAND()&lt;Assumptions!$B$7,"Bull","Bear"),IF(RAND()&lt;Assumptions!$B$10,"Bear","Bull"))</f>
        <v>Bull</v>
      </c>
      <c r="F346" s="0" t="str">
        <f aca="true">IF(E346="Bull",IF(RAND()&lt;Assumptions!$B$7,"Bull","Bear"),IF(RAND()&lt;Assumptions!$B$10,"Bear","Bull"))</f>
        <v>Bull</v>
      </c>
      <c r="G346" s="0" t="str">
        <f aca="true">IF(F346="Bull",IF(RAND()&lt;Assumptions!$B$7,"Bull","Bear"),IF(RAND()&lt;Assumptions!$B$10,"Bear","Bull"))</f>
        <v>Bull</v>
      </c>
      <c r="H346" s="8" t="n">
        <f aca="true">IF(B346="Bull",NORMINV(RAND(),Assumptions!$B$5,Assumptions!$B$6),NORMINV(RAND(),Assumptions!$B$8,Assumptions!$B$9))</f>
        <v>-0.282303647196744</v>
      </c>
      <c r="I346" s="8" t="n">
        <f aca="true">IF(C346="Bull",NORMINV(RAND(),Assumptions!$B$5,Assumptions!$B$6),NORMINV(RAND(),Assumptions!$B$8,Assumptions!$B$9))</f>
        <v>-0.043820190845019</v>
      </c>
      <c r="J346" s="8" t="n">
        <f aca="true">IF(D346="Bull",NORMINV(RAND(),Assumptions!$B$5,Assumptions!$B$6),NORMINV(RAND(),Assumptions!$B$8,Assumptions!$B$9))</f>
        <v>-0.0347165697828089</v>
      </c>
      <c r="K346" s="8" t="n">
        <f aca="true">IF(E346="Bull",NORMINV(RAND(),Assumptions!$B$5,Assumptions!$B$6),NORMINV(RAND(),Assumptions!$B$8,Assumptions!$B$9))</f>
        <v>0.324857687458301</v>
      </c>
      <c r="L346" s="8" t="n">
        <f aca="true">IF(F346="Bull",NORMINV(RAND(),Assumptions!$B$5,Assumptions!$B$6),NORMINV(RAND(),Assumptions!$B$8,Assumptions!$B$9))</f>
        <v>0.192351267760267</v>
      </c>
      <c r="M346" s="8" t="n">
        <f aca="true">IF(G346="Bull",NORMINV(RAND(),Assumptions!$B$5,Assumptions!$B$6),NORMINV(RAND(),Assumptions!$B$8,Assumptions!$B$9))</f>
        <v>0.297902102312288</v>
      </c>
      <c r="N346" s="8" t="n">
        <f aca="true">NORMINV(RAND(),Assumptions!$B$14,Assumptions!$B$15)</f>
        <v>0.075191961392175</v>
      </c>
      <c r="O346" s="8" t="n">
        <f aca="true">NORMINV(RAND(),Assumptions!$B$14,Assumptions!$B$15)</f>
        <v>0.0290360377216585</v>
      </c>
      <c r="P346" s="8" t="n">
        <f aca="true">NORMINV(RAND(),Assumptions!$B$14,Assumptions!$B$15)</f>
        <v>0.0739166557801274</v>
      </c>
      <c r="Q346" s="8" t="n">
        <f aca="true">NORMINV(RAND(),Assumptions!$B$14,Assumptions!$B$15)</f>
        <v>0.00619229169569819</v>
      </c>
      <c r="R346" s="8" t="n">
        <f aca="true">NORMINV(RAND(),Assumptions!$B$14,Assumptions!$B$15)</f>
        <v>0.0350714932974354</v>
      </c>
      <c r="S346" s="8" t="n">
        <f aca="true">NORMINV(RAND(),Assumptions!$B$14,Assumptions!$B$15)</f>
        <v>0.0456858384185885</v>
      </c>
      <c r="T346" s="8" t="n">
        <f aca="false">Assumptions!$B$19*H346+(1-Assumptions!$B$19)*N346</f>
        <v>-0.282303647196744</v>
      </c>
      <c r="U346" s="8" t="n">
        <f aca="false">Assumptions!$B$20*I346+(1-Assumptions!$B$20)*O346</f>
        <v>-0.043820190845019</v>
      </c>
      <c r="V346" s="8" t="n">
        <f aca="false">Assumptions!$B$21*J346+(1-Assumptions!$B$21)*P346</f>
        <v>-0.0347165697828089</v>
      </c>
      <c r="W346" s="8" t="n">
        <f aca="false">Assumptions!$B$22*K346+(1-Assumptions!$B$22)*Q346</f>
        <v>0.324857687458301</v>
      </c>
      <c r="X346" s="8" t="n">
        <f aca="false">Assumptions!$B$23*L346+(1-Assumptions!$B$23)*R346</f>
        <v>0.160895312867701</v>
      </c>
      <c r="Y346" s="8" t="n">
        <f aca="false">Assumptions!$B$24*M346+(1-Assumptions!$B$24)*S346</f>
        <v>0.197015596754808</v>
      </c>
      <c r="Z346" s="6" t="n">
        <f aca="false">Assumptions!$B$27*(1+T346)</f>
        <v>215308.905840977</v>
      </c>
      <c r="AA346" s="6" t="n">
        <f aca="false">(Z346+Assumptions!$B$28)*(1+U346)</f>
        <v>349300.99986964</v>
      </c>
      <c r="AB346" s="6" t="n">
        <f aca="false">AA346*(1+V346)</f>
        <v>337174.467332461</v>
      </c>
      <c r="AC346" s="6" t="n">
        <f aca="false">AB346*(1+W346)</f>
        <v>446708.185060069</v>
      </c>
      <c r="AD346" s="6" t="n">
        <f aca="false">AC346*(1+X346)</f>
        <v>518581.438255871</v>
      </c>
      <c r="AE346" s="6" t="n">
        <f aca="false">AD346*(1+Y346)</f>
        <v>620750.069779819</v>
      </c>
      <c r="AF346" s="6" t="n">
        <f aca="false">Z346</f>
        <v>215308.905840977</v>
      </c>
      <c r="AG346" s="6" t="n">
        <f aca="false">MAX(AF346,AA346)</f>
        <v>349300.99986964</v>
      </c>
      <c r="AH346" s="6" t="n">
        <f aca="false">MAX(AG346,AB346)</f>
        <v>349300.99986964</v>
      </c>
      <c r="AI346" s="6" t="n">
        <f aca="false">MAX(AH346,AC346)</f>
        <v>446708.185060069</v>
      </c>
      <c r="AJ346" s="6" t="n">
        <f aca="false">MAX(AI346,AD346)</f>
        <v>518581.438255871</v>
      </c>
      <c r="AK346" s="6" t="n">
        <f aca="false">MAX(AJ346,AE346)</f>
        <v>620750.069779819</v>
      </c>
      <c r="AL346" s="8" t="n">
        <f aca="false">MIN(Z346/AF346-1,AA346/AG346-1,AB346/AH346-1,AC346/AI346-1,AD346/AJ346-1,AE346/AK346-1)</f>
        <v>-0.0347165697828089</v>
      </c>
      <c r="AM346" s="6" t="n">
        <f aca="false">AE346-Assumptions!$B$35</f>
        <v>179486.073117315</v>
      </c>
    </row>
    <row r="347" customFormat="false" ht="15" hidden="false" customHeight="false" outlineLevel="0" collapsed="false">
      <c r="A347" s="0" t="n">
        <f aca="false">ROW()-1</f>
        <v>346</v>
      </c>
      <c r="B347" s="0" t="str">
        <f aca="true">IF(RAND()&lt;Assumptions!$B$11,"Bull","Bear")</f>
        <v>Bull</v>
      </c>
      <c r="C347" s="0" t="str">
        <f aca="true">IF(B347="Bull",IF(RAND()&lt;Assumptions!$B$7,"Bull","Bear"),IF(RAND()&lt;Assumptions!$B$10,"Bear","Bull"))</f>
        <v>Bull</v>
      </c>
      <c r="D347" s="0" t="str">
        <f aca="true">IF(C347="Bull",IF(RAND()&lt;Assumptions!$B$7,"Bull","Bear"),IF(RAND()&lt;Assumptions!$B$10,"Bear","Bull"))</f>
        <v>Bull</v>
      </c>
      <c r="E347" s="0" t="str">
        <f aca="true">IF(D347="Bull",IF(RAND()&lt;Assumptions!$B$7,"Bull","Bear"),IF(RAND()&lt;Assumptions!$B$10,"Bear","Bull"))</f>
        <v>Bull</v>
      </c>
      <c r="F347" s="0" t="str">
        <f aca="true">IF(E347="Bull",IF(RAND()&lt;Assumptions!$B$7,"Bull","Bear"),IF(RAND()&lt;Assumptions!$B$10,"Bear","Bull"))</f>
        <v>Bull</v>
      </c>
      <c r="G347" s="0" t="str">
        <f aca="true">IF(F347="Bull",IF(RAND()&lt;Assumptions!$B$7,"Bull","Bear"),IF(RAND()&lt;Assumptions!$B$10,"Bear","Bull"))</f>
        <v>Bull</v>
      </c>
      <c r="H347" s="8" t="n">
        <f aca="true">IF(B347="Bull",NORMINV(RAND(),Assumptions!$B$5,Assumptions!$B$6),NORMINV(RAND(),Assumptions!$B$8,Assumptions!$B$9))</f>
        <v>0.312351051191017</v>
      </c>
      <c r="I347" s="8" t="n">
        <f aca="true">IF(C347="Bull",NORMINV(RAND(),Assumptions!$B$5,Assumptions!$B$6),NORMINV(RAND(),Assumptions!$B$8,Assumptions!$B$9))</f>
        <v>0.143110112257912</v>
      </c>
      <c r="J347" s="8" t="n">
        <f aca="true">IF(D347="Bull",NORMINV(RAND(),Assumptions!$B$5,Assumptions!$B$6),NORMINV(RAND(),Assumptions!$B$8,Assumptions!$B$9))</f>
        <v>0.0878300849400781</v>
      </c>
      <c r="K347" s="8" t="n">
        <f aca="true">IF(E347="Bull",NORMINV(RAND(),Assumptions!$B$5,Assumptions!$B$6),NORMINV(RAND(),Assumptions!$B$8,Assumptions!$B$9))</f>
        <v>0.226000464039678</v>
      </c>
      <c r="L347" s="8" t="n">
        <f aca="true">IF(F347="Bull",NORMINV(RAND(),Assumptions!$B$5,Assumptions!$B$6),NORMINV(RAND(),Assumptions!$B$8,Assumptions!$B$9))</f>
        <v>0.22119197200147</v>
      </c>
      <c r="M347" s="8" t="n">
        <f aca="true">IF(G347="Bull",NORMINV(RAND(),Assumptions!$B$5,Assumptions!$B$6),NORMINV(RAND(),Assumptions!$B$8,Assumptions!$B$9))</f>
        <v>0.104633104703925</v>
      </c>
      <c r="N347" s="8" t="n">
        <f aca="true">NORMINV(RAND(),Assumptions!$B$14,Assumptions!$B$15)</f>
        <v>0.0536180404819235</v>
      </c>
      <c r="O347" s="8" t="n">
        <f aca="true">NORMINV(RAND(),Assumptions!$B$14,Assumptions!$B$15)</f>
        <v>0.0771497179658603</v>
      </c>
      <c r="P347" s="8" t="n">
        <f aca="true">NORMINV(RAND(),Assumptions!$B$14,Assumptions!$B$15)</f>
        <v>0.0315832963701729</v>
      </c>
      <c r="Q347" s="8" t="n">
        <f aca="true">NORMINV(RAND(),Assumptions!$B$14,Assumptions!$B$15)</f>
        <v>0.117836145636202</v>
      </c>
      <c r="R347" s="8" t="n">
        <f aca="true">NORMINV(RAND(),Assumptions!$B$14,Assumptions!$B$15)</f>
        <v>0.0219976135756424</v>
      </c>
      <c r="S347" s="8" t="n">
        <f aca="true">NORMINV(RAND(),Assumptions!$B$14,Assumptions!$B$15)</f>
        <v>0.062773314546105</v>
      </c>
      <c r="T347" s="8" t="n">
        <f aca="false">Assumptions!$B$19*H347+(1-Assumptions!$B$19)*N347</f>
        <v>0.312351051191017</v>
      </c>
      <c r="U347" s="8" t="n">
        <f aca="false">Assumptions!$B$20*I347+(1-Assumptions!$B$20)*O347</f>
        <v>0.143110112257912</v>
      </c>
      <c r="V347" s="8" t="n">
        <f aca="false">Assumptions!$B$21*J347+(1-Assumptions!$B$21)*P347</f>
        <v>0.0878300849400781</v>
      </c>
      <c r="W347" s="8" t="n">
        <f aca="false">Assumptions!$B$22*K347+(1-Assumptions!$B$22)*Q347</f>
        <v>0.226000464039678</v>
      </c>
      <c r="X347" s="8" t="n">
        <f aca="false">Assumptions!$B$23*L347+(1-Assumptions!$B$23)*R347</f>
        <v>0.181353100316305</v>
      </c>
      <c r="Y347" s="8" t="n">
        <f aca="false">Assumptions!$B$24*M347+(1-Assumptions!$B$24)*S347</f>
        <v>0.0878891886407972</v>
      </c>
      <c r="Z347" s="6" t="n">
        <f aca="false">Assumptions!$B$27*(1+T347)</f>
        <v>393705.315357305</v>
      </c>
      <c r="AA347" s="6" t="n">
        <f aca="false">(Z347+Assumptions!$B$28)*(1+U347)</f>
        <v>621515.044073313</v>
      </c>
      <c r="AB347" s="6" t="n">
        <f aca="false">AA347*(1+V347)</f>
        <v>676102.763185808</v>
      </c>
      <c r="AC347" s="6" t="n">
        <f aca="false">AB347*(1+W347)</f>
        <v>828902.301404309</v>
      </c>
      <c r="AD347" s="6" t="n">
        <f aca="false">AC347*(1+X347)</f>
        <v>979226.303623301</v>
      </c>
      <c r="AE347" s="6" t="n">
        <f aca="false">AD347*(1+Y347)</f>
        <v>1065289.70894448</v>
      </c>
      <c r="AF347" s="6" t="n">
        <f aca="false">Z347</f>
        <v>393705.315357305</v>
      </c>
      <c r="AG347" s="6" t="n">
        <f aca="false">MAX(AF347,AA347)</f>
        <v>621515.044073313</v>
      </c>
      <c r="AH347" s="6" t="n">
        <f aca="false">MAX(AG347,AB347)</f>
        <v>676102.763185808</v>
      </c>
      <c r="AI347" s="6" t="n">
        <f aca="false">MAX(AH347,AC347)</f>
        <v>828902.301404309</v>
      </c>
      <c r="AJ347" s="6" t="n">
        <f aca="false">MAX(AI347,AD347)</f>
        <v>979226.303623301</v>
      </c>
      <c r="AK347" s="6" t="n">
        <f aca="false">MAX(AJ347,AE347)</f>
        <v>1065289.70894448</v>
      </c>
      <c r="AL347" s="8" t="n">
        <f aca="false">MIN(Z347/AF347-1,AA347/AG347-1,AB347/AH347-1,AC347/AI347-1,AD347/AJ347-1,AE347/AK347-1)</f>
        <v>0</v>
      </c>
      <c r="AM347" s="6" t="n">
        <f aca="false">AE347-Assumptions!$B$35</f>
        <v>624025.712281976</v>
      </c>
    </row>
    <row r="348" customFormat="false" ht="15" hidden="false" customHeight="false" outlineLevel="0" collapsed="false">
      <c r="A348" s="0" t="n">
        <f aca="false">ROW()-1</f>
        <v>347</v>
      </c>
      <c r="B348" s="0" t="str">
        <f aca="true">IF(RAND()&lt;Assumptions!$B$11,"Bull","Bear")</f>
        <v>Bear</v>
      </c>
      <c r="C348" s="0" t="str">
        <f aca="true">IF(B348="Bull",IF(RAND()&lt;Assumptions!$B$7,"Bull","Bear"),IF(RAND()&lt;Assumptions!$B$10,"Bear","Bull"))</f>
        <v>Bull</v>
      </c>
      <c r="D348" s="0" t="str">
        <f aca="true">IF(C348="Bull",IF(RAND()&lt;Assumptions!$B$7,"Bull","Bear"),IF(RAND()&lt;Assumptions!$B$10,"Bear","Bull"))</f>
        <v>Bull</v>
      </c>
      <c r="E348" s="0" t="str">
        <f aca="true">IF(D348="Bull",IF(RAND()&lt;Assumptions!$B$7,"Bull","Bear"),IF(RAND()&lt;Assumptions!$B$10,"Bear","Bull"))</f>
        <v>Bear</v>
      </c>
      <c r="F348" s="0" t="str">
        <f aca="true">IF(E348="Bull",IF(RAND()&lt;Assumptions!$B$7,"Bull","Bear"),IF(RAND()&lt;Assumptions!$B$10,"Bear","Bull"))</f>
        <v>Bull</v>
      </c>
      <c r="G348" s="0" t="str">
        <f aca="true">IF(F348="Bull",IF(RAND()&lt;Assumptions!$B$7,"Bull","Bear"),IF(RAND()&lt;Assumptions!$B$10,"Bear","Bull"))</f>
        <v>Bear</v>
      </c>
      <c r="H348" s="8" t="n">
        <f aca="true">IF(B348="Bull",NORMINV(RAND(),Assumptions!$B$5,Assumptions!$B$6),NORMINV(RAND(),Assumptions!$B$8,Assumptions!$B$9))</f>
        <v>0.0414569774812366</v>
      </c>
      <c r="I348" s="8" t="n">
        <f aca="true">IF(C348="Bull",NORMINV(RAND(),Assumptions!$B$5,Assumptions!$B$6),NORMINV(RAND(),Assumptions!$B$8,Assumptions!$B$9))</f>
        <v>0.138791411375406</v>
      </c>
      <c r="J348" s="8" t="n">
        <f aca="true">IF(D348="Bull",NORMINV(RAND(),Assumptions!$B$5,Assumptions!$B$6),NORMINV(RAND(),Assumptions!$B$8,Assumptions!$B$9))</f>
        <v>0.0229440014956117</v>
      </c>
      <c r="K348" s="8" t="n">
        <f aca="true">IF(E348="Bull",NORMINV(RAND(),Assumptions!$B$5,Assumptions!$B$6),NORMINV(RAND(),Assumptions!$B$8,Assumptions!$B$9))</f>
        <v>-0.0827315461513844</v>
      </c>
      <c r="L348" s="8" t="n">
        <f aca="true">IF(F348="Bull",NORMINV(RAND(),Assumptions!$B$5,Assumptions!$B$6),NORMINV(RAND(),Assumptions!$B$8,Assumptions!$B$9))</f>
        <v>0.108137284910852</v>
      </c>
      <c r="M348" s="8" t="n">
        <f aca="true">IF(G348="Bull",NORMINV(RAND(),Assumptions!$B$5,Assumptions!$B$6),NORMINV(RAND(),Assumptions!$B$8,Assumptions!$B$9))</f>
        <v>0.164786979364709</v>
      </c>
      <c r="N348" s="8" t="n">
        <f aca="true">NORMINV(RAND(),Assumptions!$B$14,Assumptions!$B$15)</f>
        <v>0.084924735916312</v>
      </c>
      <c r="O348" s="8" t="n">
        <f aca="true">NORMINV(RAND(),Assumptions!$B$14,Assumptions!$B$15)</f>
        <v>0.0158164791105468</v>
      </c>
      <c r="P348" s="8" t="n">
        <f aca="true">NORMINV(RAND(),Assumptions!$B$14,Assumptions!$B$15)</f>
        <v>-0.0107350928207127</v>
      </c>
      <c r="Q348" s="8" t="n">
        <f aca="true">NORMINV(RAND(),Assumptions!$B$14,Assumptions!$B$15)</f>
        <v>-0.00124814797946733</v>
      </c>
      <c r="R348" s="8" t="n">
        <f aca="true">NORMINV(RAND(),Assumptions!$B$14,Assumptions!$B$15)</f>
        <v>0.0931460695903674</v>
      </c>
      <c r="S348" s="8" t="n">
        <f aca="true">NORMINV(RAND(),Assumptions!$B$14,Assumptions!$B$15)</f>
        <v>0.0484221128391011</v>
      </c>
      <c r="T348" s="8" t="n">
        <f aca="false">Assumptions!$B$19*H348+(1-Assumptions!$B$19)*N348</f>
        <v>0.0414569774812366</v>
      </c>
      <c r="U348" s="8" t="n">
        <f aca="false">Assumptions!$B$20*I348+(1-Assumptions!$B$20)*O348</f>
        <v>0.138791411375406</v>
      </c>
      <c r="V348" s="8" t="n">
        <f aca="false">Assumptions!$B$21*J348+(1-Assumptions!$B$21)*P348</f>
        <v>0.0229440014956117</v>
      </c>
      <c r="W348" s="8" t="n">
        <f aca="false">Assumptions!$B$22*K348+(1-Assumptions!$B$22)*Q348</f>
        <v>-0.0827315461513844</v>
      </c>
      <c r="X348" s="8" t="n">
        <f aca="false">Assumptions!$B$23*L348+(1-Assumptions!$B$23)*R348</f>
        <v>0.105139041846755</v>
      </c>
      <c r="Y348" s="8" t="n">
        <f aca="false">Assumptions!$B$24*M348+(1-Assumptions!$B$24)*S348</f>
        <v>0.118241032754466</v>
      </c>
      <c r="Z348" s="6" t="n">
        <f aca="false">Assumptions!$B$27*(1+T348)</f>
        <v>312437.093244371</v>
      </c>
      <c r="AA348" s="6" t="n">
        <f aca="false">(Z348+Assumptions!$B$28)*(1+U348)</f>
        <v>526619.390088097</v>
      </c>
      <c r="AB348" s="6" t="n">
        <f aca="false">AA348*(1+V348)</f>
        <v>538702.146161897</v>
      </c>
      <c r="AC348" s="6" t="n">
        <f aca="false">AB348*(1+W348)</f>
        <v>494134.484694854</v>
      </c>
      <c r="AD348" s="6" t="n">
        <f aca="false">AC348*(1+X348)</f>
        <v>546087.310959111</v>
      </c>
      <c r="AE348" s="6" t="n">
        <f aca="false">AD348*(1+Y348)</f>
        <v>610657.238581025</v>
      </c>
      <c r="AF348" s="6" t="n">
        <f aca="false">Z348</f>
        <v>312437.093244371</v>
      </c>
      <c r="AG348" s="6" t="n">
        <f aca="false">MAX(AF348,AA348)</f>
        <v>526619.390088097</v>
      </c>
      <c r="AH348" s="6" t="n">
        <f aca="false">MAX(AG348,AB348)</f>
        <v>538702.146161897</v>
      </c>
      <c r="AI348" s="6" t="n">
        <f aca="false">MAX(AH348,AC348)</f>
        <v>538702.146161897</v>
      </c>
      <c r="AJ348" s="6" t="n">
        <f aca="false">MAX(AI348,AD348)</f>
        <v>546087.310959111</v>
      </c>
      <c r="AK348" s="6" t="n">
        <f aca="false">MAX(AJ348,AE348)</f>
        <v>610657.238581025</v>
      </c>
      <c r="AL348" s="8" t="n">
        <f aca="false">MIN(Z348/AF348-1,AA348/AG348-1,AB348/AH348-1,AC348/AI348-1,AD348/AJ348-1,AE348/AK348-1)</f>
        <v>-0.0827315461513845</v>
      </c>
      <c r="AM348" s="6" t="n">
        <f aca="false">AE348-Assumptions!$B$35</f>
        <v>169393.241918522</v>
      </c>
    </row>
    <row r="349" customFormat="false" ht="15" hidden="false" customHeight="false" outlineLevel="0" collapsed="false">
      <c r="A349" s="0" t="n">
        <f aca="false">ROW()-1</f>
        <v>348</v>
      </c>
      <c r="B349" s="0" t="str">
        <f aca="true">IF(RAND()&lt;Assumptions!$B$11,"Bull","Bear")</f>
        <v>Bear</v>
      </c>
      <c r="C349" s="0" t="str">
        <f aca="true">IF(B349="Bull",IF(RAND()&lt;Assumptions!$B$7,"Bull","Bear"),IF(RAND()&lt;Assumptions!$B$10,"Bear","Bull"))</f>
        <v>Bear</v>
      </c>
      <c r="D349" s="0" t="str">
        <f aca="true">IF(C349="Bull",IF(RAND()&lt;Assumptions!$B$7,"Bull","Bear"),IF(RAND()&lt;Assumptions!$B$10,"Bear","Bull"))</f>
        <v>Bull</v>
      </c>
      <c r="E349" s="0" t="str">
        <f aca="true">IF(D349="Bull",IF(RAND()&lt;Assumptions!$B$7,"Bull","Bear"),IF(RAND()&lt;Assumptions!$B$10,"Bear","Bull"))</f>
        <v>Bull</v>
      </c>
      <c r="F349" s="0" t="str">
        <f aca="true">IF(E349="Bull",IF(RAND()&lt;Assumptions!$B$7,"Bull","Bear"),IF(RAND()&lt;Assumptions!$B$10,"Bear","Bull"))</f>
        <v>Bull</v>
      </c>
      <c r="G349" s="0" t="str">
        <f aca="true">IF(F349="Bull",IF(RAND()&lt;Assumptions!$B$7,"Bull","Bear"),IF(RAND()&lt;Assumptions!$B$10,"Bear","Bull"))</f>
        <v>Bear</v>
      </c>
      <c r="H349" s="8" t="n">
        <f aca="true">IF(B349="Bull",NORMINV(RAND(),Assumptions!$B$5,Assumptions!$B$6),NORMINV(RAND(),Assumptions!$B$8,Assumptions!$B$9))</f>
        <v>-0.48114210708083</v>
      </c>
      <c r="I349" s="8" t="n">
        <f aca="true">IF(C349="Bull",NORMINV(RAND(),Assumptions!$B$5,Assumptions!$B$6),NORMINV(RAND(),Assumptions!$B$8,Assumptions!$B$9))</f>
        <v>-0.290928090697349</v>
      </c>
      <c r="J349" s="8" t="n">
        <f aca="true">IF(D349="Bull",NORMINV(RAND(),Assumptions!$B$5,Assumptions!$B$6),NORMINV(RAND(),Assumptions!$B$8,Assumptions!$B$9))</f>
        <v>0.0234023133887711</v>
      </c>
      <c r="K349" s="8" t="n">
        <f aca="true">IF(E349="Bull",NORMINV(RAND(),Assumptions!$B$5,Assumptions!$B$6),NORMINV(RAND(),Assumptions!$B$8,Assumptions!$B$9))</f>
        <v>0.0533808535567445</v>
      </c>
      <c r="L349" s="8" t="n">
        <f aca="true">IF(F349="Bull",NORMINV(RAND(),Assumptions!$B$5,Assumptions!$B$6),NORMINV(RAND(),Assumptions!$B$8,Assumptions!$B$9))</f>
        <v>0.14972786248966</v>
      </c>
      <c r="M349" s="8" t="n">
        <f aca="true">IF(G349="Bull",NORMINV(RAND(),Assumptions!$B$5,Assumptions!$B$6),NORMINV(RAND(),Assumptions!$B$8,Assumptions!$B$9))</f>
        <v>0.0254021964334437</v>
      </c>
      <c r="N349" s="8" t="n">
        <f aca="true">NORMINV(RAND(),Assumptions!$B$14,Assumptions!$B$15)</f>
        <v>0.0211145878877688</v>
      </c>
      <c r="O349" s="8" t="n">
        <f aca="true">NORMINV(RAND(),Assumptions!$B$14,Assumptions!$B$15)</f>
        <v>0.104481229902295</v>
      </c>
      <c r="P349" s="8" t="n">
        <f aca="true">NORMINV(RAND(),Assumptions!$B$14,Assumptions!$B$15)</f>
        <v>0.0427920340879051</v>
      </c>
      <c r="Q349" s="8" t="n">
        <f aca="true">NORMINV(RAND(),Assumptions!$B$14,Assumptions!$B$15)</f>
        <v>0.0250340191986916</v>
      </c>
      <c r="R349" s="8" t="n">
        <f aca="true">NORMINV(RAND(),Assumptions!$B$14,Assumptions!$B$15)</f>
        <v>0.0490007115824771</v>
      </c>
      <c r="S349" s="8" t="n">
        <f aca="true">NORMINV(RAND(),Assumptions!$B$14,Assumptions!$B$15)</f>
        <v>0.0101629577862961</v>
      </c>
      <c r="T349" s="8" t="n">
        <f aca="false">Assumptions!$B$19*H349+(1-Assumptions!$B$19)*N349</f>
        <v>-0.48114210708083</v>
      </c>
      <c r="U349" s="8" t="n">
        <f aca="false">Assumptions!$B$20*I349+(1-Assumptions!$B$20)*O349</f>
        <v>-0.290928090697349</v>
      </c>
      <c r="V349" s="8" t="n">
        <f aca="false">Assumptions!$B$21*J349+(1-Assumptions!$B$21)*P349</f>
        <v>0.0234023133887711</v>
      </c>
      <c r="W349" s="8" t="n">
        <f aca="false">Assumptions!$B$22*K349+(1-Assumptions!$B$22)*Q349</f>
        <v>0.0533808535567445</v>
      </c>
      <c r="X349" s="8" t="n">
        <f aca="false">Assumptions!$B$23*L349+(1-Assumptions!$B$23)*R349</f>
        <v>0.129582432308224</v>
      </c>
      <c r="Y349" s="8" t="n">
        <f aca="false">Assumptions!$B$24*M349+(1-Assumptions!$B$24)*S349</f>
        <v>0.0193065009745846</v>
      </c>
      <c r="Z349" s="6" t="n">
        <f aca="false">Assumptions!$B$27*(1+T349)</f>
        <v>155657.367875751</v>
      </c>
      <c r="AA349" s="6" t="n">
        <f aca="false">(Z349+Assumptions!$B$28)*(1+U349)</f>
        <v>216733.053432082</v>
      </c>
      <c r="AB349" s="6" t="n">
        <f aca="false">AA349*(1+V349)</f>
        <v>221805.108270204</v>
      </c>
      <c r="AC349" s="6" t="n">
        <f aca="false">AB349*(1+W349)</f>
        <v>233645.254272914</v>
      </c>
      <c r="AD349" s="6" t="n">
        <f aca="false">AC349*(1+X349)</f>
        <v>263921.574618872</v>
      </c>
      <c r="AE349" s="6" t="n">
        <f aca="false">AD349*(1+Y349)</f>
        <v>269016.976756465</v>
      </c>
      <c r="AF349" s="6" t="n">
        <f aca="false">Z349</f>
        <v>155657.367875751</v>
      </c>
      <c r="AG349" s="6" t="n">
        <f aca="false">MAX(AF349,AA349)</f>
        <v>216733.053432082</v>
      </c>
      <c r="AH349" s="6" t="n">
        <f aca="false">MAX(AG349,AB349)</f>
        <v>221805.108270204</v>
      </c>
      <c r="AI349" s="6" t="n">
        <f aca="false">MAX(AH349,AC349)</f>
        <v>233645.254272914</v>
      </c>
      <c r="AJ349" s="6" t="n">
        <f aca="false">MAX(AI349,AD349)</f>
        <v>263921.574618872</v>
      </c>
      <c r="AK349" s="6" t="n">
        <f aca="false">MAX(AJ349,AE349)</f>
        <v>269016.976756465</v>
      </c>
      <c r="AL349" s="8" t="n">
        <f aca="false">MIN(Z349/AF349-1,AA349/AG349-1,AB349/AH349-1,AC349/AI349-1,AD349/AJ349-1,AE349/AK349-1)</f>
        <v>0</v>
      </c>
      <c r="AM349" s="6" t="n">
        <f aca="false">AE349-Assumptions!$B$35</f>
        <v>-172247.019906039</v>
      </c>
    </row>
    <row r="350" customFormat="false" ht="15" hidden="false" customHeight="false" outlineLevel="0" collapsed="false">
      <c r="A350" s="0" t="n">
        <f aca="false">ROW()-1</f>
        <v>349</v>
      </c>
      <c r="B350" s="0" t="str">
        <f aca="true">IF(RAND()&lt;Assumptions!$B$11,"Bull","Bear")</f>
        <v>Bull</v>
      </c>
      <c r="C350" s="0" t="str">
        <f aca="true">IF(B350="Bull",IF(RAND()&lt;Assumptions!$B$7,"Bull","Bear"),IF(RAND()&lt;Assumptions!$B$10,"Bear","Bull"))</f>
        <v>Bear</v>
      </c>
      <c r="D350" s="0" t="str">
        <f aca="true">IF(C350="Bull",IF(RAND()&lt;Assumptions!$B$7,"Bull","Bear"),IF(RAND()&lt;Assumptions!$B$10,"Bear","Bull"))</f>
        <v>Bear</v>
      </c>
      <c r="E350" s="0" t="str">
        <f aca="true">IF(D350="Bull",IF(RAND()&lt;Assumptions!$B$7,"Bull","Bear"),IF(RAND()&lt;Assumptions!$B$10,"Bear","Bull"))</f>
        <v>Bear</v>
      </c>
      <c r="F350" s="0" t="str">
        <f aca="true">IF(E350="Bull",IF(RAND()&lt;Assumptions!$B$7,"Bull","Bear"),IF(RAND()&lt;Assumptions!$B$10,"Bear","Bull"))</f>
        <v>Bull</v>
      </c>
      <c r="G350" s="0" t="str">
        <f aca="true">IF(F350="Bull",IF(RAND()&lt;Assumptions!$B$7,"Bull","Bear"),IF(RAND()&lt;Assumptions!$B$10,"Bear","Bull"))</f>
        <v>Bull</v>
      </c>
      <c r="H350" s="8" t="n">
        <f aca="true">IF(B350="Bull",NORMINV(RAND(),Assumptions!$B$5,Assumptions!$B$6),NORMINV(RAND(),Assumptions!$B$8,Assumptions!$B$9))</f>
        <v>0.133880492309193</v>
      </c>
      <c r="I350" s="8" t="n">
        <f aca="true">IF(C350="Bull",NORMINV(RAND(),Assumptions!$B$5,Assumptions!$B$6),NORMINV(RAND(),Assumptions!$B$8,Assumptions!$B$9))</f>
        <v>0.107613046367218</v>
      </c>
      <c r="J350" s="8" t="n">
        <f aca="true">IF(D350="Bull",NORMINV(RAND(),Assumptions!$B$5,Assumptions!$B$6),NORMINV(RAND(),Assumptions!$B$8,Assumptions!$B$9))</f>
        <v>-0.167674223935389</v>
      </c>
      <c r="K350" s="8" t="n">
        <f aca="true">IF(E350="Bull",NORMINV(RAND(),Assumptions!$B$5,Assumptions!$B$6),NORMINV(RAND(),Assumptions!$B$8,Assumptions!$B$9))</f>
        <v>0.318896681278638</v>
      </c>
      <c r="L350" s="8" t="n">
        <f aca="true">IF(F350="Bull",NORMINV(RAND(),Assumptions!$B$5,Assumptions!$B$6),NORMINV(RAND(),Assumptions!$B$8,Assumptions!$B$9))</f>
        <v>0.194138878956682</v>
      </c>
      <c r="M350" s="8" t="n">
        <f aca="true">IF(G350="Bull",NORMINV(RAND(),Assumptions!$B$5,Assumptions!$B$6),NORMINV(RAND(),Assumptions!$B$8,Assumptions!$B$9))</f>
        <v>0.207284242471997</v>
      </c>
      <c r="N350" s="8" t="n">
        <f aca="true">NORMINV(RAND(),Assumptions!$B$14,Assumptions!$B$15)</f>
        <v>0.0456901896649995</v>
      </c>
      <c r="O350" s="8" t="n">
        <f aca="true">NORMINV(RAND(),Assumptions!$B$14,Assumptions!$B$15)</f>
        <v>0.0242613958659055</v>
      </c>
      <c r="P350" s="8" t="n">
        <f aca="true">NORMINV(RAND(),Assumptions!$B$14,Assumptions!$B$15)</f>
        <v>0.0267221145733545</v>
      </c>
      <c r="Q350" s="8" t="n">
        <f aca="true">NORMINV(RAND(),Assumptions!$B$14,Assumptions!$B$15)</f>
        <v>-0.0191756133933401</v>
      </c>
      <c r="R350" s="8" t="n">
        <f aca="true">NORMINV(RAND(),Assumptions!$B$14,Assumptions!$B$15)</f>
        <v>0.051721765620165</v>
      </c>
      <c r="S350" s="8" t="n">
        <f aca="true">NORMINV(RAND(),Assumptions!$B$14,Assumptions!$B$15)</f>
        <v>0.111522848403285</v>
      </c>
      <c r="T350" s="8" t="n">
        <f aca="false">Assumptions!$B$19*H350+(1-Assumptions!$B$19)*N350</f>
        <v>0.133880492309193</v>
      </c>
      <c r="U350" s="8" t="n">
        <f aca="false">Assumptions!$B$20*I350+(1-Assumptions!$B$20)*O350</f>
        <v>0.107613046367218</v>
      </c>
      <c r="V350" s="8" t="n">
        <f aca="false">Assumptions!$B$21*J350+(1-Assumptions!$B$21)*P350</f>
        <v>-0.167674223935389</v>
      </c>
      <c r="W350" s="8" t="n">
        <f aca="false">Assumptions!$B$22*K350+(1-Assumptions!$B$22)*Q350</f>
        <v>0.318896681278638</v>
      </c>
      <c r="X350" s="8" t="n">
        <f aca="false">Assumptions!$B$23*L350+(1-Assumptions!$B$23)*R350</f>
        <v>0.165655456289379</v>
      </c>
      <c r="Y350" s="8" t="n">
        <f aca="false">Assumptions!$B$24*M350+(1-Assumptions!$B$24)*S350</f>
        <v>0.168979684844512</v>
      </c>
      <c r="Z350" s="6" t="n">
        <f aca="false">Assumptions!$B$27*(1+T350)</f>
        <v>340164.147692758</v>
      </c>
      <c r="AA350" s="6" t="n">
        <f aca="false">(Z350+Assumptions!$B$28)*(1+U350)</f>
        <v>542912.204845967</v>
      </c>
      <c r="AB350" s="6" t="n">
        <f aca="false">AA350*(1+V350)</f>
        <v>451879.822233368</v>
      </c>
      <c r="AC350" s="6" t="n">
        <f aca="false">AB350*(1+W350)</f>
        <v>595982.79788037</v>
      </c>
      <c r="AD350" s="6" t="n">
        <f aca="false">AC350*(1+X350)</f>
        <v>694710.600203863</v>
      </c>
      <c r="AE350" s="6" t="n">
        <f aca="false">AD350*(1+Y350)</f>
        <v>812102.578484454</v>
      </c>
      <c r="AF350" s="6" t="n">
        <f aca="false">Z350</f>
        <v>340164.147692758</v>
      </c>
      <c r="AG350" s="6" t="n">
        <f aca="false">MAX(AF350,AA350)</f>
        <v>542912.204845967</v>
      </c>
      <c r="AH350" s="6" t="n">
        <f aca="false">MAX(AG350,AB350)</f>
        <v>542912.204845967</v>
      </c>
      <c r="AI350" s="6" t="n">
        <f aca="false">MAX(AH350,AC350)</f>
        <v>595982.79788037</v>
      </c>
      <c r="AJ350" s="6" t="n">
        <f aca="false">MAX(AI350,AD350)</f>
        <v>694710.600203863</v>
      </c>
      <c r="AK350" s="6" t="n">
        <f aca="false">MAX(AJ350,AE350)</f>
        <v>812102.578484454</v>
      </c>
      <c r="AL350" s="8" t="n">
        <f aca="false">MIN(Z350/AF350-1,AA350/AG350-1,AB350/AH350-1,AC350/AI350-1,AD350/AJ350-1,AE350/AK350-1)</f>
        <v>-0.167674223935389</v>
      </c>
      <c r="AM350" s="6" t="n">
        <f aca="false">AE350-Assumptions!$B$35</f>
        <v>370838.58182195</v>
      </c>
    </row>
    <row r="351" customFormat="false" ht="15" hidden="false" customHeight="false" outlineLevel="0" collapsed="false">
      <c r="A351" s="0" t="n">
        <f aca="false">ROW()-1</f>
        <v>350</v>
      </c>
      <c r="B351" s="0" t="str">
        <f aca="true">IF(RAND()&lt;Assumptions!$B$11,"Bull","Bear")</f>
        <v>Bull</v>
      </c>
      <c r="C351" s="0" t="str">
        <f aca="true">IF(B351="Bull",IF(RAND()&lt;Assumptions!$B$7,"Bull","Bear"),IF(RAND()&lt;Assumptions!$B$10,"Bear","Bull"))</f>
        <v>Bull</v>
      </c>
      <c r="D351" s="0" t="str">
        <f aca="true">IF(C351="Bull",IF(RAND()&lt;Assumptions!$B$7,"Bull","Bear"),IF(RAND()&lt;Assumptions!$B$10,"Bear","Bull"))</f>
        <v>Bear</v>
      </c>
      <c r="E351" s="0" t="str">
        <f aca="true">IF(D351="Bull",IF(RAND()&lt;Assumptions!$B$7,"Bull","Bear"),IF(RAND()&lt;Assumptions!$B$10,"Bear","Bull"))</f>
        <v>Bear</v>
      </c>
      <c r="F351" s="0" t="str">
        <f aca="true">IF(E351="Bull",IF(RAND()&lt;Assumptions!$B$7,"Bull","Bear"),IF(RAND()&lt;Assumptions!$B$10,"Bear","Bull"))</f>
        <v>Bull</v>
      </c>
      <c r="G351" s="0" t="str">
        <f aca="true">IF(F351="Bull",IF(RAND()&lt;Assumptions!$B$7,"Bull","Bear"),IF(RAND()&lt;Assumptions!$B$10,"Bear","Bull"))</f>
        <v>Bull</v>
      </c>
      <c r="H351" s="8" t="n">
        <f aca="true">IF(B351="Bull",NORMINV(RAND(),Assumptions!$B$5,Assumptions!$B$6),NORMINV(RAND(),Assumptions!$B$8,Assumptions!$B$9))</f>
        <v>0.154001325327176</v>
      </c>
      <c r="I351" s="8" t="n">
        <f aca="true">IF(C351="Bull",NORMINV(RAND(),Assumptions!$B$5,Assumptions!$B$6),NORMINV(RAND(),Assumptions!$B$8,Assumptions!$B$9))</f>
        <v>0.140968419039549</v>
      </c>
      <c r="J351" s="8" t="n">
        <f aca="true">IF(D351="Bull",NORMINV(RAND(),Assumptions!$B$5,Assumptions!$B$6),NORMINV(RAND(),Assumptions!$B$8,Assumptions!$B$9))</f>
        <v>-0.193589842416909</v>
      </c>
      <c r="K351" s="8" t="n">
        <f aca="true">IF(E351="Bull",NORMINV(RAND(),Assumptions!$B$5,Assumptions!$B$6),NORMINV(RAND(),Assumptions!$B$8,Assumptions!$B$9))</f>
        <v>-0.076365441929873</v>
      </c>
      <c r="L351" s="8" t="n">
        <f aca="true">IF(F351="Bull",NORMINV(RAND(),Assumptions!$B$5,Assumptions!$B$6),NORMINV(RAND(),Assumptions!$B$8,Assumptions!$B$9))</f>
        <v>0.215666736203559</v>
      </c>
      <c r="M351" s="8" t="n">
        <f aca="true">IF(G351="Bull",NORMINV(RAND(),Assumptions!$B$5,Assumptions!$B$6),NORMINV(RAND(),Assumptions!$B$8,Assumptions!$B$9))</f>
        <v>0.184778489717627</v>
      </c>
      <c r="N351" s="8" t="n">
        <f aca="true">NORMINV(RAND(),Assumptions!$B$14,Assumptions!$B$15)</f>
        <v>0.106057652081403</v>
      </c>
      <c r="O351" s="8" t="n">
        <f aca="true">NORMINV(RAND(),Assumptions!$B$14,Assumptions!$B$15)</f>
        <v>0.0331768261157185</v>
      </c>
      <c r="P351" s="8" t="n">
        <f aca="true">NORMINV(RAND(),Assumptions!$B$14,Assumptions!$B$15)</f>
        <v>0.0810092748532755</v>
      </c>
      <c r="Q351" s="8" t="n">
        <f aca="true">NORMINV(RAND(),Assumptions!$B$14,Assumptions!$B$15)</f>
        <v>0.0347999875509528</v>
      </c>
      <c r="R351" s="8" t="n">
        <f aca="true">NORMINV(RAND(),Assumptions!$B$14,Assumptions!$B$15)</f>
        <v>0.0501131519548482</v>
      </c>
      <c r="S351" s="8" t="n">
        <f aca="true">NORMINV(RAND(),Assumptions!$B$14,Assumptions!$B$15)</f>
        <v>0.0781835402873422</v>
      </c>
      <c r="T351" s="8" t="n">
        <f aca="false">Assumptions!$B$19*H351+(1-Assumptions!$B$19)*N351</f>
        <v>0.154001325327176</v>
      </c>
      <c r="U351" s="8" t="n">
        <f aca="false">Assumptions!$B$20*I351+(1-Assumptions!$B$20)*O351</f>
        <v>0.140968419039549</v>
      </c>
      <c r="V351" s="8" t="n">
        <f aca="false">Assumptions!$B$21*J351+(1-Assumptions!$B$21)*P351</f>
        <v>-0.193589842416909</v>
      </c>
      <c r="W351" s="8" t="n">
        <f aca="false">Assumptions!$B$22*K351+(1-Assumptions!$B$22)*Q351</f>
        <v>-0.076365441929873</v>
      </c>
      <c r="X351" s="8" t="n">
        <f aca="false">Assumptions!$B$23*L351+(1-Assumptions!$B$23)*R351</f>
        <v>0.182556019353817</v>
      </c>
      <c r="Y351" s="8" t="n">
        <f aca="false">Assumptions!$B$24*M351+(1-Assumptions!$B$24)*S351</f>
        <v>0.142140509945513</v>
      </c>
      <c r="Z351" s="6" t="n">
        <f aca="false">Assumptions!$B$27*(1+T351)</f>
        <v>346200.397598153</v>
      </c>
      <c r="AA351" s="6" t="n">
        <f aca="false">(Z351+Assumptions!$B$28)*(1+U351)</f>
        <v>566148.98317436</v>
      </c>
      <c r="AB351" s="6" t="n">
        <f aca="false">AA351*(1+V351)</f>
        <v>456548.290737142</v>
      </c>
      <c r="AC351" s="6" t="n">
        <f aca="false">AB351*(1+W351)</f>
        <v>421683.778752672</v>
      </c>
      <c r="AD351" s="6" t="n">
        <f aca="false">AC351*(1+X351)</f>
        <v>498664.690827836</v>
      </c>
      <c r="AE351" s="6" t="n">
        <f aca="false">AD351*(1+Y351)</f>
        <v>569545.144273926</v>
      </c>
      <c r="AF351" s="6" t="n">
        <f aca="false">Z351</f>
        <v>346200.397598153</v>
      </c>
      <c r="AG351" s="6" t="n">
        <f aca="false">MAX(AF351,AA351)</f>
        <v>566148.98317436</v>
      </c>
      <c r="AH351" s="6" t="n">
        <f aca="false">MAX(AG351,AB351)</f>
        <v>566148.98317436</v>
      </c>
      <c r="AI351" s="6" t="n">
        <f aca="false">MAX(AH351,AC351)</f>
        <v>566148.98317436</v>
      </c>
      <c r="AJ351" s="6" t="n">
        <f aca="false">MAX(AI351,AD351)</f>
        <v>566148.98317436</v>
      </c>
      <c r="AK351" s="6" t="n">
        <f aca="false">MAX(AJ351,AE351)</f>
        <v>569545.144273926</v>
      </c>
      <c r="AL351" s="8" t="n">
        <f aca="false">MIN(Z351/AF351-1,AA351/AG351-1,AB351/AH351-1,AC351/AI351-1,AD351/AJ351-1,AE351/AK351-1)</f>
        <v>-0.25517171047748</v>
      </c>
      <c r="AM351" s="6" t="n">
        <f aca="false">AE351-Assumptions!$B$35</f>
        <v>128281.147611422</v>
      </c>
    </row>
    <row r="352" customFormat="false" ht="15" hidden="false" customHeight="false" outlineLevel="0" collapsed="false">
      <c r="A352" s="0" t="n">
        <f aca="false">ROW()-1</f>
        <v>351</v>
      </c>
      <c r="B352" s="0" t="str">
        <f aca="true">IF(RAND()&lt;Assumptions!$B$11,"Bull","Bear")</f>
        <v>Bull</v>
      </c>
      <c r="C352" s="0" t="str">
        <f aca="true">IF(B352="Bull",IF(RAND()&lt;Assumptions!$B$7,"Bull","Bear"),IF(RAND()&lt;Assumptions!$B$10,"Bear","Bull"))</f>
        <v>Bear</v>
      </c>
      <c r="D352" s="0" t="str">
        <f aca="true">IF(C352="Bull",IF(RAND()&lt;Assumptions!$B$7,"Bull","Bear"),IF(RAND()&lt;Assumptions!$B$10,"Bear","Bull"))</f>
        <v>Bear</v>
      </c>
      <c r="E352" s="0" t="str">
        <f aca="true">IF(D352="Bull",IF(RAND()&lt;Assumptions!$B$7,"Bull","Bear"),IF(RAND()&lt;Assumptions!$B$10,"Bear","Bull"))</f>
        <v>Bull</v>
      </c>
      <c r="F352" s="0" t="str">
        <f aca="true">IF(E352="Bull",IF(RAND()&lt;Assumptions!$B$7,"Bull","Bear"),IF(RAND()&lt;Assumptions!$B$10,"Bear","Bull"))</f>
        <v>Bear</v>
      </c>
      <c r="G352" s="0" t="str">
        <f aca="true">IF(F352="Bull",IF(RAND()&lt;Assumptions!$B$7,"Bull","Bear"),IF(RAND()&lt;Assumptions!$B$10,"Bear","Bull"))</f>
        <v>Bull</v>
      </c>
      <c r="H352" s="8" t="n">
        <f aca="true">IF(B352="Bull",NORMINV(RAND(),Assumptions!$B$5,Assumptions!$B$6),NORMINV(RAND(),Assumptions!$B$8,Assumptions!$B$9))</f>
        <v>0.208106318081588</v>
      </c>
      <c r="I352" s="8" t="n">
        <f aca="true">IF(C352="Bull",NORMINV(RAND(),Assumptions!$B$5,Assumptions!$B$6),NORMINV(RAND(),Assumptions!$B$8,Assumptions!$B$9))</f>
        <v>0.0270677076917734</v>
      </c>
      <c r="J352" s="8" t="n">
        <f aca="true">IF(D352="Bull",NORMINV(RAND(),Assumptions!$B$5,Assumptions!$B$6),NORMINV(RAND(),Assumptions!$B$8,Assumptions!$B$9))</f>
        <v>-0.0582290926660254</v>
      </c>
      <c r="K352" s="8" t="n">
        <f aca="true">IF(E352="Bull",NORMINV(RAND(),Assumptions!$B$5,Assumptions!$B$6),NORMINV(RAND(),Assumptions!$B$8,Assumptions!$B$9))</f>
        <v>0.169559802717749</v>
      </c>
      <c r="L352" s="8" t="n">
        <f aca="true">IF(F352="Bull",NORMINV(RAND(),Assumptions!$B$5,Assumptions!$B$6),NORMINV(RAND(),Assumptions!$B$8,Assumptions!$B$9))</f>
        <v>-0.284040437440504</v>
      </c>
      <c r="M352" s="8" t="n">
        <f aca="true">IF(G352="Bull",NORMINV(RAND(),Assumptions!$B$5,Assumptions!$B$6),NORMINV(RAND(),Assumptions!$B$8,Assumptions!$B$9))</f>
        <v>0.22807507773407</v>
      </c>
      <c r="N352" s="8" t="n">
        <f aca="true">NORMINV(RAND(),Assumptions!$B$14,Assumptions!$B$15)</f>
        <v>0.0930764227936198</v>
      </c>
      <c r="O352" s="8" t="n">
        <f aca="true">NORMINV(RAND(),Assumptions!$B$14,Assumptions!$B$15)</f>
        <v>0.031581508512971</v>
      </c>
      <c r="P352" s="8" t="n">
        <f aca="true">NORMINV(RAND(),Assumptions!$B$14,Assumptions!$B$15)</f>
        <v>0.0397167935173012</v>
      </c>
      <c r="Q352" s="8" t="n">
        <f aca="true">NORMINV(RAND(),Assumptions!$B$14,Assumptions!$B$15)</f>
        <v>0.0829555601608183</v>
      </c>
      <c r="R352" s="8" t="n">
        <f aca="true">NORMINV(RAND(),Assumptions!$B$14,Assumptions!$B$15)</f>
        <v>0.0321283324289795</v>
      </c>
      <c r="S352" s="8" t="n">
        <f aca="true">NORMINV(RAND(),Assumptions!$B$14,Assumptions!$B$15)</f>
        <v>0.0426237311072255</v>
      </c>
      <c r="T352" s="8" t="n">
        <f aca="false">Assumptions!$B$19*H352+(1-Assumptions!$B$19)*N352</f>
        <v>0.208106318081588</v>
      </c>
      <c r="U352" s="8" t="n">
        <f aca="false">Assumptions!$B$20*I352+(1-Assumptions!$B$20)*O352</f>
        <v>0.0270677076917734</v>
      </c>
      <c r="V352" s="8" t="n">
        <f aca="false">Assumptions!$B$21*J352+(1-Assumptions!$B$21)*P352</f>
        <v>-0.0582290926660254</v>
      </c>
      <c r="W352" s="8" t="n">
        <f aca="false">Assumptions!$B$22*K352+(1-Assumptions!$B$22)*Q352</f>
        <v>0.169559802717749</v>
      </c>
      <c r="X352" s="8" t="n">
        <f aca="false">Assumptions!$B$23*L352+(1-Assumptions!$B$23)*R352</f>
        <v>-0.220806683466607</v>
      </c>
      <c r="Y352" s="8" t="n">
        <f aca="false">Assumptions!$B$24*M352+(1-Assumptions!$B$24)*S352</f>
        <v>0.153894539083333</v>
      </c>
      <c r="Z352" s="6" t="n">
        <f aca="false">Assumptions!$B$27*(1+T352)</f>
        <v>362431.895424477</v>
      </c>
      <c r="AA352" s="6" t="n">
        <f aca="false">(Z352+Assumptions!$B$28)*(1+U352)</f>
        <v>526302.252181768</v>
      </c>
      <c r="AB352" s="6" t="n">
        <f aca="false">AA352*(1+V352)</f>
        <v>495656.149569138</v>
      </c>
      <c r="AC352" s="6" t="n">
        <f aca="false">AB352*(1+W352)</f>
        <v>579699.50850592</v>
      </c>
      <c r="AD352" s="6" t="n">
        <f aca="false">AC352*(1+X352)</f>
        <v>451697.982625505</v>
      </c>
      <c r="AE352" s="6" t="n">
        <f aca="false">AD352*(1+Y352)</f>
        <v>521211.835466528</v>
      </c>
      <c r="AF352" s="6" t="n">
        <f aca="false">Z352</f>
        <v>362431.895424477</v>
      </c>
      <c r="AG352" s="6" t="n">
        <f aca="false">MAX(AF352,AA352)</f>
        <v>526302.252181768</v>
      </c>
      <c r="AH352" s="6" t="n">
        <f aca="false">MAX(AG352,AB352)</f>
        <v>526302.252181768</v>
      </c>
      <c r="AI352" s="6" t="n">
        <f aca="false">MAX(AH352,AC352)</f>
        <v>579699.50850592</v>
      </c>
      <c r="AJ352" s="6" t="n">
        <f aca="false">MAX(AI352,AD352)</f>
        <v>579699.50850592</v>
      </c>
      <c r="AK352" s="6" t="n">
        <f aca="false">MAX(AJ352,AE352)</f>
        <v>579699.50850592</v>
      </c>
      <c r="AL352" s="8" t="n">
        <f aca="false">MIN(Z352/AF352-1,AA352/AG352-1,AB352/AH352-1,AC352/AI352-1,AD352/AJ352-1,AE352/AK352-1)</f>
        <v>-0.220806683466607</v>
      </c>
      <c r="AM352" s="6" t="n">
        <f aca="false">AE352-Assumptions!$B$35</f>
        <v>79947.8388040247</v>
      </c>
    </row>
    <row r="353" customFormat="false" ht="15" hidden="false" customHeight="false" outlineLevel="0" collapsed="false">
      <c r="A353" s="0" t="n">
        <f aca="false">ROW()-1</f>
        <v>352</v>
      </c>
      <c r="B353" s="0" t="str">
        <f aca="true">IF(RAND()&lt;Assumptions!$B$11,"Bull","Bear")</f>
        <v>Bull</v>
      </c>
      <c r="C353" s="0" t="str">
        <f aca="true">IF(B353="Bull",IF(RAND()&lt;Assumptions!$B$7,"Bull","Bear"),IF(RAND()&lt;Assumptions!$B$10,"Bear","Bull"))</f>
        <v>Bull</v>
      </c>
      <c r="D353" s="0" t="str">
        <f aca="true">IF(C353="Bull",IF(RAND()&lt;Assumptions!$B$7,"Bull","Bear"),IF(RAND()&lt;Assumptions!$B$10,"Bear","Bull"))</f>
        <v>Bull</v>
      </c>
      <c r="E353" s="0" t="str">
        <f aca="true">IF(D353="Bull",IF(RAND()&lt;Assumptions!$B$7,"Bull","Bear"),IF(RAND()&lt;Assumptions!$B$10,"Bear","Bull"))</f>
        <v>Bull</v>
      </c>
      <c r="F353" s="0" t="str">
        <f aca="true">IF(E353="Bull",IF(RAND()&lt;Assumptions!$B$7,"Bull","Bear"),IF(RAND()&lt;Assumptions!$B$10,"Bear","Bull"))</f>
        <v>Bull</v>
      </c>
      <c r="G353" s="0" t="str">
        <f aca="true">IF(F353="Bull",IF(RAND()&lt;Assumptions!$B$7,"Bull","Bear"),IF(RAND()&lt;Assumptions!$B$10,"Bear","Bull"))</f>
        <v>Bull</v>
      </c>
      <c r="H353" s="8" t="n">
        <f aca="true">IF(B353="Bull",NORMINV(RAND(),Assumptions!$B$5,Assumptions!$B$6),NORMINV(RAND(),Assumptions!$B$8,Assumptions!$B$9))</f>
        <v>0.275668025732085</v>
      </c>
      <c r="I353" s="8" t="n">
        <f aca="true">IF(C353="Bull",NORMINV(RAND(),Assumptions!$B$5,Assumptions!$B$6),NORMINV(RAND(),Assumptions!$B$8,Assumptions!$B$9))</f>
        <v>0.0533527213223422</v>
      </c>
      <c r="J353" s="8" t="n">
        <f aca="true">IF(D353="Bull",NORMINV(RAND(),Assumptions!$B$5,Assumptions!$B$6),NORMINV(RAND(),Assumptions!$B$8,Assumptions!$B$9))</f>
        <v>0.279296573327548</v>
      </c>
      <c r="K353" s="8" t="n">
        <f aca="true">IF(E353="Bull",NORMINV(RAND(),Assumptions!$B$5,Assumptions!$B$6),NORMINV(RAND(),Assumptions!$B$8,Assumptions!$B$9))</f>
        <v>0.255553286967405</v>
      </c>
      <c r="L353" s="8" t="n">
        <f aca="true">IF(F353="Bull",NORMINV(RAND(),Assumptions!$B$5,Assumptions!$B$6),NORMINV(RAND(),Assumptions!$B$8,Assumptions!$B$9))</f>
        <v>0.310723751450453</v>
      </c>
      <c r="M353" s="8" t="n">
        <f aca="true">IF(G353="Bull",NORMINV(RAND(),Assumptions!$B$5,Assumptions!$B$6),NORMINV(RAND(),Assumptions!$B$8,Assumptions!$B$9))</f>
        <v>0.223761926655434</v>
      </c>
      <c r="N353" s="8" t="n">
        <f aca="true">NORMINV(RAND(),Assumptions!$B$14,Assumptions!$B$15)</f>
        <v>0.0614165671065662</v>
      </c>
      <c r="O353" s="8" t="n">
        <f aca="true">NORMINV(RAND(),Assumptions!$B$14,Assumptions!$B$15)</f>
        <v>0.0983557627284903</v>
      </c>
      <c r="P353" s="8" t="n">
        <f aca="true">NORMINV(RAND(),Assumptions!$B$14,Assumptions!$B$15)</f>
        <v>0.0487275641048698</v>
      </c>
      <c r="Q353" s="8" t="n">
        <f aca="true">NORMINV(RAND(),Assumptions!$B$14,Assumptions!$B$15)</f>
        <v>0.0245457232487772</v>
      </c>
      <c r="R353" s="8" t="n">
        <f aca="true">NORMINV(RAND(),Assumptions!$B$14,Assumptions!$B$15)</f>
        <v>0.0153715873398444</v>
      </c>
      <c r="S353" s="8" t="n">
        <f aca="true">NORMINV(RAND(),Assumptions!$B$14,Assumptions!$B$15)</f>
        <v>0.0410848733806958</v>
      </c>
      <c r="T353" s="8" t="n">
        <f aca="false">Assumptions!$B$19*H353+(1-Assumptions!$B$19)*N353</f>
        <v>0.275668025732085</v>
      </c>
      <c r="U353" s="8" t="n">
        <f aca="false">Assumptions!$B$20*I353+(1-Assumptions!$B$20)*O353</f>
        <v>0.0533527213223422</v>
      </c>
      <c r="V353" s="8" t="n">
        <f aca="false">Assumptions!$B$21*J353+(1-Assumptions!$B$21)*P353</f>
        <v>0.279296573327548</v>
      </c>
      <c r="W353" s="8" t="n">
        <f aca="false">Assumptions!$B$22*K353+(1-Assumptions!$B$22)*Q353</f>
        <v>0.255553286967405</v>
      </c>
      <c r="X353" s="8" t="n">
        <f aca="false">Assumptions!$B$23*L353+(1-Assumptions!$B$23)*R353</f>
        <v>0.251653318628332</v>
      </c>
      <c r="Y353" s="8" t="n">
        <f aca="false">Assumptions!$B$24*M353+(1-Assumptions!$B$24)*S353</f>
        <v>0.150691105345539</v>
      </c>
      <c r="Z353" s="6" t="n">
        <f aca="false">Assumptions!$B$27*(1+T353)</f>
        <v>382700.407719626</v>
      </c>
      <c r="AA353" s="6" t="n">
        <f aca="false">(Z353+Assumptions!$B$28)*(1+U353)</f>
        <v>561121.424120989</v>
      </c>
      <c r="AB353" s="6" t="n">
        <f aca="false">AA353*(1+V353)</f>
        <v>717840.715098655</v>
      </c>
      <c r="AC353" s="6" t="n">
        <f aca="false">AB353*(1+W353)</f>
        <v>901287.269361148</v>
      </c>
      <c r="AD353" s="6" t="n">
        <f aca="false">AC353*(1+X353)</f>
        <v>1128099.20173335</v>
      </c>
      <c r="AE353" s="6" t="n">
        <f aca="false">AD353*(1+Y353)</f>
        <v>1298093.71738197</v>
      </c>
      <c r="AF353" s="6" t="n">
        <f aca="false">Z353</f>
        <v>382700.407719626</v>
      </c>
      <c r="AG353" s="6" t="n">
        <f aca="false">MAX(AF353,AA353)</f>
        <v>561121.424120989</v>
      </c>
      <c r="AH353" s="6" t="n">
        <f aca="false">MAX(AG353,AB353)</f>
        <v>717840.715098655</v>
      </c>
      <c r="AI353" s="6" t="n">
        <f aca="false">MAX(AH353,AC353)</f>
        <v>901287.269361148</v>
      </c>
      <c r="AJ353" s="6" t="n">
        <f aca="false">MAX(AI353,AD353)</f>
        <v>1128099.20173335</v>
      </c>
      <c r="AK353" s="6" t="n">
        <f aca="false">MAX(AJ353,AE353)</f>
        <v>1298093.71738197</v>
      </c>
      <c r="AL353" s="8" t="n">
        <f aca="false">MIN(Z353/AF353-1,AA353/AG353-1,AB353/AH353-1,AC353/AI353-1,AD353/AJ353-1,AE353/AK353-1)</f>
        <v>0</v>
      </c>
      <c r="AM353" s="6" t="n">
        <f aca="false">AE353-Assumptions!$B$35</f>
        <v>856829.720719462</v>
      </c>
    </row>
    <row r="354" customFormat="false" ht="15" hidden="false" customHeight="false" outlineLevel="0" collapsed="false">
      <c r="A354" s="0" t="n">
        <f aca="false">ROW()-1</f>
        <v>353</v>
      </c>
      <c r="B354" s="0" t="str">
        <f aca="true">IF(RAND()&lt;Assumptions!$B$11,"Bull","Bear")</f>
        <v>Bull</v>
      </c>
      <c r="C354" s="0" t="str">
        <f aca="true">IF(B354="Bull",IF(RAND()&lt;Assumptions!$B$7,"Bull","Bear"),IF(RAND()&lt;Assumptions!$B$10,"Bear","Bull"))</f>
        <v>Bull</v>
      </c>
      <c r="D354" s="0" t="str">
        <f aca="true">IF(C354="Bull",IF(RAND()&lt;Assumptions!$B$7,"Bull","Bear"),IF(RAND()&lt;Assumptions!$B$10,"Bear","Bull"))</f>
        <v>Bull</v>
      </c>
      <c r="E354" s="0" t="str">
        <f aca="true">IF(D354="Bull",IF(RAND()&lt;Assumptions!$B$7,"Bull","Bear"),IF(RAND()&lt;Assumptions!$B$10,"Bear","Bull"))</f>
        <v>Bear</v>
      </c>
      <c r="F354" s="0" t="str">
        <f aca="true">IF(E354="Bull",IF(RAND()&lt;Assumptions!$B$7,"Bull","Bear"),IF(RAND()&lt;Assumptions!$B$10,"Bear","Bull"))</f>
        <v>Bull</v>
      </c>
      <c r="G354" s="0" t="str">
        <f aca="true">IF(F354="Bull",IF(RAND()&lt;Assumptions!$B$7,"Bull","Bear"),IF(RAND()&lt;Assumptions!$B$10,"Bear","Bull"))</f>
        <v>Bull</v>
      </c>
      <c r="H354" s="8" t="n">
        <f aca="true">IF(B354="Bull",NORMINV(RAND(),Assumptions!$B$5,Assumptions!$B$6),NORMINV(RAND(),Assumptions!$B$8,Assumptions!$B$9))</f>
        <v>0.0566028086127603</v>
      </c>
      <c r="I354" s="8" t="n">
        <f aca="true">IF(C354="Bull",NORMINV(RAND(),Assumptions!$B$5,Assumptions!$B$6),NORMINV(RAND(),Assumptions!$B$8,Assumptions!$B$9))</f>
        <v>0.221866854696778</v>
      </c>
      <c r="J354" s="8" t="n">
        <f aca="true">IF(D354="Bull",NORMINV(RAND(),Assumptions!$B$5,Assumptions!$B$6),NORMINV(RAND(),Assumptions!$B$8,Assumptions!$B$9))</f>
        <v>0.0519897056969041</v>
      </c>
      <c r="K354" s="8" t="n">
        <f aca="true">IF(E354="Bull",NORMINV(RAND(),Assumptions!$B$5,Assumptions!$B$6),NORMINV(RAND(),Assumptions!$B$8,Assumptions!$B$9))</f>
        <v>-0.078702485607451</v>
      </c>
      <c r="L354" s="8" t="n">
        <f aca="true">IF(F354="Bull",NORMINV(RAND(),Assumptions!$B$5,Assumptions!$B$6),NORMINV(RAND(),Assumptions!$B$8,Assumptions!$B$9))</f>
        <v>0.23272221099469</v>
      </c>
      <c r="M354" s="8" t="n">
        <f aca="true">IF(G354="Bull",NORMINV(RAND(),Assumptions!$B$5,Assumptions!$B$6),NORMINV(RAND(),Assumptions!$B$8,Assumptions!$B$9))</f>
        <v>0.19098441004298</v>
      </c>
      <c r="N354" s="8" t="n">
        <f aca="true">NORMINV(RAND(),Assumptions!$B$14,Assumptions!$B$15)</f>
        <v>0.110383459500329</v>
      </c>
      <c r="O354" s="8" t="n">
        <f aca="true">NORMINV(RAND(),Assumptions!$B$14,Assumptions!$B$15)</f>
        <v>0.103855477423797</v>
      </c>
      <c r="P354" s="8" t="n">
        <f aca="true">NORMINV(RAND(),Assumptions!$B$14,Assumptions!$B$15)</f>
        <v>0.0807579582385639</v>
      </c>
      <c r="Q354" s="8" t="n">
        <f aca="true">NORMINV(RAND(),Assumptions!$B$14,Assumptions!$B$15)</f>
        <v>0.012811465025894</v>
      </c>
      <c r="R354" s="8" t="n">
        <f aca="true">NORMINV(RAND(),Assumptions!$B$14,Assumptions!$B$15)</f>
        <v>-0.0128042139785765</v>
      </c>
      <c r="S354" s="8" t="n">
        <f aca="true">NORMINV(RAND(),Assumptions!$B$14,Assumptions!$B$15)</f>
        <v>0.000302644489656459</v>
      </c>
      <c r="T354" s="8" t="n">
        <f aca="false">Assumptions!$B$19*H354+(1-Assumptions!$B$19)*N354</f>
        <v>0.0566028086127603</v>
      </c>
      <c r="U354" s="8" t="n">
        <f aca="false">Assumptions!$B$20*I354+(1-Assumptions!$B$20)*O354</f>
        <v>0.221866854696778</v>
      </c>
      <c r="V354" s="8" t="n">
        <f aca="false">Assumptions!$B$21*J354+(1-Assumptions!$B$21)*P354</f>
        <v>0.0519897056969041</v>
      </c>
      <c r="W354" s="8" t="n">
        <f aca="false">Assumptions!$B$22*K354+(1-Assumptions!$B$22)*Q354</f>
        <v>-0.078702485607451</v>
      </c>
      <c r="X354" s="8" t="n">
        <f aca="false">Assumptions!$B$23*L354+(1-Assumptions!$B$23)*R354</f>
        <v>0.183616926000037</v>
      </c>
      <c r="Y354" s="8" t="n">
        <f aca="false">Assumptions!$B$24*M354+(1-Assumptions!$B$24)*S354</f>
        <v>0.114711703821651</v>
      </c>
      <c r="Z354" s="6" t="n">
        <f aca="false">Assumptions!$B$27*(1+T354)</f>
        <v>316980.842583828</v>
      </c>
      <c r="AA354" s="6" t="n">
        <f aca="false">(Z354+Assumptions!$B$28)*(1+U354)</f>
        <v>570588.413331553</v>
      </c>
      <c r="AB354" s="6" t="n">
        <f aca="false">AA354*(1+V354)</f>
        <v>600253.137014724</v>
      </c>
      <c r="AC354" s="6" t="n">
        <f aca="false">AB354*(1+W354)</f>
        <v>553011.723137995</v>
      </c>
      <c r="AD354" s="6" t="n">
        <f aca="false">AC354*(1+X354)</f>
        <v>654554.035782578</v>
      </c>
      <c r="AE354" s="6" t="n">
        <f aca="false">AD354*(1+Y354)</f>
        <v>729639.044470535</v>
      </c>
      <c r="AF354" s="6" t="n">
        <f aca="false">Z354</f>
        <v>316980.842583828</v>
      </c>
      <c r="AG354" s="6" t="n">
        <f aca="false">MAX(AF354,AA354)</f>
        <v>570588.413331553</v>
      </c>
      <c r="AH354" s="6" t="n">
        <f aca="false">MAX(AG354,AB354)</f>
        <v>600253.137014724</v>
      </c>
      <c r="AI354" s="6" t="n">
        <f aca="false">MAX(AH354,AC354)</f>
        <v>600253.137014724</v>
      </c>
      <c r="AJ354" s="6" t="n">
        <f aca="false">MAX(AI354,AD354)</f>
        <v>654554.035782578</v>
      </c>
      <c r="AK354" s="6" t="n">
        <f aca="false">MAX(AJ354,AE354)</f>
        <v>729639.044470535</v>
      </c>
      <c r="AL354" s="8" t="n">
        <f aca="false">MIN(Z354/AF354-1,AA354/AG354-1,AB354/AH354-1,AC354/AI354-1,AD354/AJ354-1,AE354/AK354-1)</f>
        <v>-0.078702485607451</v>
      </c>
      <c r="AM354" s="6" t="n">
        <f aca="false">AE354-Assumptions!$B$35</f>
        <v>288375.047808031</v>
      </c>
    </row>
    <row r="355" customFormat="false" ht="15" hidden="false" customHeight="false" outlineLevel="0" collapsed="false">
      <c r="A355" s="0" t="n">
        <f aca="false">ROW()-1</f>
        <v>354</v>
      </c>
      <c r="B355" s="0" t="str">
        <f aca="true">IF(RAND()&lt;Assumptions!$B$11,"Bull","Bear")</f>
        <v>Bear</v>
      </c>
      <c r="C355" s="0" t="str">
        <f aca="true">IF(B355="Bull",IF(RAND()&lt;Assumptions!$B$7,"Bull","Bear"),IF(RAND()&lt;Assumptions!$B$10,"Bear","Bull"))</f>
        <v>Bull</v>
      </c>
      <c r="D355" s="0" t="str">
        <f aca="true">IF(C355="Bull",IF(RAND()&lt;Assumptions!$B$7,"Bull","Bear"),IF(RAND()&lt;Assumptions!$B$10,"Bear","Bull"))</f>
        <v>Bear</v>
      </c>
      <c r="E355" s="0" t="str">
        <f aca="true">IF(D355="Bull",IF(RAND()&lt;Assumptions!$B$7,"Bull","Bear"),IF(RAND()&lt;Assumptions!$B$10,"Bear","Bull"))</f>
        <v>Bull</v>
      </c>
      <c r="F355" s="0" t="str">
        <f aca="true">IF(E355="Bull",IF(RAND()&lt;Assumptions!$B$7,"Bull","Bear"),IF(RAND()&lt;Assumptions!$B$10,"Bear","Bull"))</f>
        <v>Bull</v>
      </c>
      <c r="G355" s="0" t="str">
        <f aca="true">IF(F355="Bull",IF(RAND()&lt;Assumptions!$B$7,"Bull","Bear"),IF(RAND()&lt;Assumptions!$B$10,"Bear","Bull"))</f>
        <v>Bull</v>
      </c>
      <c r="H355" s="8" t="n">
        <f aca="true">IF(B355="Bull",NORMINV(RAND(),Assumptions!$B$5,Assumptions!$B$6),NORMINV(RAND(),Assumptions!$B$8,Assumptions!$B$9))</f>
        <v>-0.265928057628064</v>
      </c>
      <c r="I355" s="8" t="n">
        <f aca="true">IF(C355="Bull",NORMINV(RAND(),Assumptions!$B$5,Assumptions!$B$6),NORMINV(RAND(),Assumptions!$B$8,Assumptions!$B$9))</f>
        <v>0.197337665496645</v>
      </c>
      <c r="J355" s="8" t="n">
        <f aca="true">IF(D355="Bull",NORMINV(RAND(),Assumptions!$B$5,Assumptions!$B$6),NORMINV(RAND(),Assumptions!$B$8,Assumptions!$B$9))</f>
        <v>0.0502127318912089</v>
      </c>
      <c r="K355" s="8" t="n">
        <f aca="true">IF(E355="Bull",NORMINV(RAND(),Assumptions!$B$5,Assumptions!$B$6),NORMINV(RAND(),Assumptions!$B$8,Assumptions!$B$9))</f>
        <v>0.0600832866312954</v>
      </c>
      <c r="L355" s="8" t="n">
        <f aca="true">IF(F355="Bull",NORMINV(RAND(),Assumptions!$B$5,Assumptions!$B$6),NORMINV(RAND(),Assumptions!$B$8,Assumptions!$B$9))</f>
        <v>0.114988551991554</v>
      </c>
      <c r="M355" s="8" t="n">
        <f aca="true">IF(G355="Bull",NORMINV(RAND(),Assumptions!$B$5,Assumptions!$B$6),NORMINV(RAND(),Assumptions!$B$8,Assumptions!$B$9))</f>
        <v>0.418777978472883</v>
      </c>
      <c r="N355" s="8" t="n">
        <f aca="true">NORMINV(RAND(),Assumptions!$B$14,Assumptions!$B$15)</f>
        <v>-0.00148953893372511</v>
      </c>
      <c r="O355" s="8" t="n">
        <f aca="true">NORMINV(RAND(),Assumptions!$B$14,Assumptions!$B$15)</f>
        <v>0.0476433690920079</v>
      </c>
      <c r="P355" s="8" t="n">
        <f aca="true">NORMINV(RAND(),Assumptions!$B$14,Assumptions!$B$15)</f>
        <v>0.138344393424462</v>
      </c>
      <c r="Q355" s="8" t="n">
        <f aca="true">NORMINV(RAND(),Assumptions!$B$14,Assumptions!$B$15)</f>
        <v>0.0172472816827248</v>
      </c>
      <c r="R355" s="8" t="n">
        <f aca="true">NORMINV(RAND(),Assumptions!$B$14,Assumptions!$B$15)</f>
        <v>0.00746851037861146</v>
      </c>
      <c r="S355" s="8" t="n">
        <f aca="true">NORMINV(RAND(),Assumptions!$B$14,Assumptions!$B$15)</f>
        <v>0.0209072861734099</v>
      </c>
      <c r="T355" s="8" t="n">
        <f aca="false">Assumptions!$B$19*H355+(1-Assumptions!$B$19)*N355</f>
        <v>-0.265928057628064</v>
      </c>
      <c r="U355" s="8" t="n">
        <f aca="false">Assumptions!$B$20*I355+(1-Assumptions!$B$20)*O355</f>
        <v>0.197337665496645</v>
      </c>
      <c r="V355" s="8" t="n">
        <f aca="false">Assumptions!$B$21*J355+(1-Assumptions!$B$21)*P355</f>
        <v>0.0502127318912089</v>
      </c>
      <c r="W355" s="8" t="n">
        <f aca="false">Assumptions!$B$22*K355+(1-Assumptions!$B$22)*Q355</f>
        <v>0.0600832866312954</v>
      </c>
      <c r="X355" s="8" t="n">
        <f aca="false">Assumptions!$B$23*L355+(1-Assumptions!$B$23)*R355</f>
        <v>0.0934845436689654</v>
      </c>
      <c r="Y355" s="8" t="n">
        <f aca="false">Assumptions!$B$24*M355+(1-Assumptions!$B$24)*S355</f>
        <v>0.259629701553094</v>
      </c>
      <c r="Z355" s="6" t="n">
        <f aca="false">Assumptions!$B$27*(1+T355)</f>
        <v>220221.582711581</v>
      </c>
      <c r="AA355" s="6" t="n">
        <f aca="false">(Z355+Assumptions!$B$28)*(1+U355)</f>
        <v>443280.245560357</v>
      </c>
      <c r="AB355" s="6" t="n">
        <f aca="false">AA355*(1+V355)</f>
        <v>465538.557683349</v>
      </c>
      <c r="AC355" s="6" t="n">
        <f aca="false">AB355*(1+W355)</f>
        <v>493509.644282557</v>
      </c>
      <c r="AD355" s="6" t="n">
        <f aca="false">AC355*(1+X355)</f>
        <v>539645.168174546</v>
      </c>
      <c r="AE355" s="6" t="n">
        <f aca="false">AD355*(1+Y355)</f>
        <v>679753.082132272</v>
      </c>
      <c r="AF355" s="6" t="n">
        <f aca="false">Z355</f>
        <v>220221.582711581</v>
      </c>
      <c r="AG355" s="6" t="n">
        <f aca="false">MAX(AF355,AA355)</f>
        <v>443280.245560357</v>
      </c>
      <c r="AH355" s="6" t="n">
        <f aca="false">MAX(AG355,AB355)</f>
        <v>465538.557683349</v>
      </c>
      <c r="AI355" s="6" t="n">
        <f aca="false">MAX(AH355,AC355)</f>
        <v>493509.644282557</v>
      </c>
      <c r="AJ355" s="6" t="n">
        <f aca="false">MAX(AI355,AD355)</f>
        <v>539645.168174546</v>
      </c>
      <c r="AK355" s="6" t="n">
        <f aca="false">MAX(AJ355,AE355)</f>
        <v>679753.082132272</v>
      </c>
      <c r="AL355" s="8" t="n">
        <f aca="false">MIN(Z355/AF355-1,AA355/AG355-1,AB355/AH355-1,AC355/AI355-1,AD355/AJ355-1,AE355/AK355-1)</f>
        <v>0</v>
      </c>
      <c r="AM355" s="6" t="n">
        <f aca="false">AE355-Assumptions!$B$35</f>
        <v>238489.085469769</v>
      </c>
    </row>
    <row r="356" customFormat="false" ht="15" hidden="false" customHeight="false" outlineLevel="0" collapsed="false">
      <c r="A356" s="0" t="n">
        <f aca="false">ROW()-1</f>
        <v>355</v>
      </c>
      <c r="B356" s="0" t="str">
        <f aca="true">IF(RAND()&lt;Assumptions!$B$11,"Bull","Bear")</f>
        <v>Bear</v>
      </c>
      <c r="C356" s="0" t="str">
        <f aca="true">IF(B356="Bull",IF(RAND()&lt;Assumptions!$B$7,"Bull","Bear"),IF(RAND()&lt;Assumptions!$B$10,"Bear","Bull"))</f>
        <v>Bull</v>
      </c>
      <c r="D356" s="0" t="str">
        <f aca="true">IF(C356="Bull",IF(RAND()&lt;Assumptions!$B$7,"Bull","Bear"),IF(RAND()&lt;Assumptions!$B$10,"Bear","Bull"))</f>
        <v>Bull</v>
      </c>
      <c r="E356" s="0" t="str">
        <f aca="true">IF(D356="Bull",IF(RAND()&lt;Assumptions!$B$7,"Bull","Bear"),IF(RAND()&lt;Assumptions!$B$10,"Bear","Bull"))</f>
        <v>Bull</v>
      </c>
      <c r="F356" s="0" t="str">
        <f aca="true">IF(E356="Bull",IF(RAND()&lt;Assumptions!$B$7,"Bull","Bear"),IF(RAND()&lt;Assumptions!$B$10,"Bear","Bull"))</f>
        <v>Bull</v>
      </c>
      <c r="G356" s="0" t="str">
        <f aca="true">IF(F356="Bull",IF(RAND()&lt;Assumptions!$B$7,"Bull","Bear"),IF(RAND()&lt;Assumptions!$B$10,"Bear","Bull"))</f>
        <v>Bull</v>
      </c>
      <c r="H356" s="8" t="n">
        <f aca="true">IF(B356="Bull",NORMINV(RAND(),Assumptions!$B$5,Assumptions!$B$6),NORMINV(RAND(),Assumptions!$B$8,Assumptions!$B$9))</f>
        <v>0.0328294069944907</v>
      </c>
      <c r="I356" s="8" t="n">
        <f aca="true">IF(C356="Bull",NORMINV(RAND(),Assumptions!$B$5,Assumptions!$B$6),NORMINV(RAND(),Assumptions!$B$8,Assumptions!$B$9))</f>
        <v>-0.132581597619933</v>
      </c>
      <c r="J356" s="8" t="n">
        <f aca="true">IF(D356="Bull",NORMINV(RAND(),Assumptions!$B$5,Assumptions!$B$6),NORMINV(RAND(),Assumptions!$B$8,Assumptions!$B$9))</f>
        <v>0.216772098172475</v>
      </c>
      <c r="K356" s="8" t="n">
        <f aca="true">IF(E356="Bull",NORMINV(RAND(),Assumptions!$B$5,Assumptions!$B$6),NORMINV(RAND(),Assumptions!$B$8,Assumptions!$B$9))</f>
        <v>0.22597957128332</v>
      </c>
      <c r="L356" s="8" t="n">
        <f aca="true">IF(F356="Bull",NORMINV(RAND(),Assumptions!$B$5,Assumptions!$B$6),NORMINV(RAND(),Assumptions!$B$8,Assumptions!$B$9))</f>
        <v>0.427791179110461</v>
      </c>
      <c r="M356" s="8" t="n">
        <f aca="true">IF(G356="Bull",NORMINV(RAND(),Assumptions!$B$5,Assumptions!$B$6),NORMINV(RAND(),Assumptions!$B$8,Assumptions!$B$9))</f>
        <v>0.209799396022362</v>
      </c>
      <c r="N356" s="8" t="n">
        <f aca="true">NORMINV(RAND(),Assumptions!$B$14,Assumptions!$B$15)</f>
        <v>0.0126261686235762</v>
      </c>
      <c r="O356" s="8" t="n">
        <f aca="true">NORMINV(RAND(),Assumptions!$B$14,Assumptions!$B$15)</f>
        <v>0.0522979322911577</v>
      </c>
      <c r="P356" s="8" t="n">
        <f aca="true">NORMINV(RAND(),Assumptions!$B$14,Assumptions!$B$15)</f>
        <v>0.064899115184413</v>
      </c>
      <c r="Q356" s="8" t="n">
        <f aca="true">NORMINV(RAND(),Assumptions!$B$14,Assumptions!$B$15)</f>
        <v>0.0475994070922477</v>
      </c>
      <c r="R356" s="8" t="n">
        <f aca="true">NORMINV(RAND(),Assumptions!$B$14,Assumptions!$B$15)</f>
        <v>0.073504904518489</v>
      </c>
      <c r="S356" s="8" t="n">
        <f aca="true">NORMINV(RAND(),Assumptions!$B$14,Assumptions!$B$15)</f>
        <v>0.00768821082880327</v>
      </c>
      <c r="T356" s="8" t="n">
        <f aca="false">Assumptions!$B$19*H356+(1-Assumptions!$B$19)*N356</f>
        <v>0.0328294069944907</v>
      </c>
      <c r="U356" s="8" t="n">
        <f aca="false">Assumptions!$B$20*I356+(1-Assumptions!$B$20)*O356</f>
        <v>-0.132581597619933</v>
      </c>
      <c r="V356" s="8" t="n">
        <f aca="false">Assumptions!$B$21*J356+(1-Assumptions!$B$21)*P356</f>
        <v>0.216772098172475</v>
      </c>
      <c r="W356" s="8" t="n">
        <f aca="false">Assumptions!$B$22*K356+(1-Assumptions!$B$22)*Q356</f>
        <v>0.22597957128332</v>
      </c>
      <c r="X356" s="8" t="n">
        <f aca="false">Assumptions!$B$23*L356+(1-Assumptions!$B$23)*R356</f>
        <v>0.356933924192067</v>
      </c>
      <c r="Y356" s="8" t="n">
        <f aca="false">Assumptions!$B$24*M356+(1-Assumptions!$B$24)*S356</f>
        <v>0.128954921944939</v>
      </c>
      <c r="Z356" s="6" t="n">
        <f aca="false">Assumptions!$B$27*(1+T356)</f>
        <v>309848.822098347</v>
      </c>
      <c r="AA356" s="6" t="n">
        <f aca="false">(Z356+Assumptions!$B$28)*(1+U356)</f>
        <v>398881.330600904</v>
      </c>
      <c r="AB356" s="6" t="n">
        <f aca="false">AA356*(1+V356)</f>
        <v>485347.673557091</v>
      </c>
      <c r="AC356" s="6" t="n">
        <f aca="false">AB356*(1+W356)</f>
        <v>595026.332750879</v>
      </c>
      <c r="AD356" s="6" t="n">
        <f aca="false">AC356*(1+X356)</f>
        <v>807411.416697264</v>
      </c>
      <c r="AE356" s="6" t="n">
        <f aca="false">AD356*(1+Y356)</f>
        <v>911531.092914912</v>
      </c>
      <c r="AF356" s="6" t="n">
        <f aca="false">Z356</f>
        <v>309848.822098347</v>
      </c>
      <c r="AG356" s="6" t="n">
        <f aca="false">MAX(AF356,AA356)</f>
        <v>398881.330600904</v>
      </c>
      <c r="AH356" s="6" t="n">
        <f aca="false">MAX(AG356,AB356)</f>
        <v>485347.673557091</v>
      </c>
      <c r="AI356" s="6" t="n">
        <f aca="false">MAX(AH356,AC356)</f>
        <v>595026.332750879</v>
      </c>
      <c r="AJ356" s="6" t="n">
        <f aca="false">MAX(AI356,AD356)</f>
        <v>807411.416697264</v>
      </c>
      <c r="AK356" s="6" t="n">
        <f aca="false">MAX(AJ356,AE356)</f>
        <v>911531.092914912</v>
      </c>
      <c r="AL356" s="8" t="n">
        <f aca="false">MIN(Z356/AF356-1,AA356/AG356-1,AB356/AH356-1,AC356/AI356-1,AD356/AJ356-1,AE356/AK356-1)</f>
        <v>0</v>
      </c>
      <c r="AM356" s="6" t="n">
        <f aca="false">AE356-Assumptions!$B$35</f>
        <v>470267.096252409</v>
      </c>
    </row>
    <row r="357" customFormat="false" ht="15" hidden="false" customHeight="false" outlineLevel="0" collapsed="false">
      <c r="A357" s="0" t="n">
        <f aca="false">ROW()-1</f>
        <v>356</v>
      </c>
      <c r="B357" s="0" t="str">
        <f aca="true">IF(RAND()&lt;Assumptions!$B$11,"Bull","Bear")</f>
        <v>Bull</v>
      </c>
      <c r="C357" s="0" t="str">
        <f aca="true">IF(B357="Bull",IF(RAND()&lt;Assumptions!$B$7,"Bull","Bear"),IF(RAND()&lt;Assumptions!$B$10,"Bear","Bull"))</f>
        <v>Bear</v>
      </c>
      <c r="D357" s="0" t="str">
        <f aca="true">IF(C357="Bull",IF(RAND()&lt;Assumptions!$B$7,"Bull","Bear"),IF(RAND()&lt;Assumptions!$B$10,"Bear","Bull"))</f>
        <v>Bull</v>
      </c>
      <c r="E357" s="0" t="str">
        <f aca="true">IF(D357="Bull",IF(RAND()&lt;Assumptions!$B$7,"Bull","Bear"),IF(RAND()&lt;Assumptions!$B$10,"Bear","Bull"))</f>
        <v>Bull</v>
      </c>
      <c r="F357" s="0" t="str">
        <f aca="true">IF(E357="Bull",IF(RAND()&lt;Assumptions!$B$7,"Bull","Bear"),IF(RAND()&lt;Assumptions!$B$10,"Bear","Bull"))</f>
        <v>Bear</v>
      </c>
      <c r="G357" s="0" t="str">
        <f aca="true">IF(F357="Bull",IF(RAND()&lt;Assumptions!$B$7,"Bull","Bear"),IF(RAND()&lt;Assumptions!$B$10,"Bear","Bull"))</f>
        <v>Bull</v>
      </c>
      <c r="H357" s="8" t="n">
        <f aca="true">IF(B357="Bull",NORMINV(RAND(),Assumptions!$B$5,Assumptions!$B$6),NORMINV(RAND(),Assumptions!$B$8,Assumptions!$B$9))</f>
        <v>0.246808783870109</v>
      </c>
      <c r="I357" s="8" t="n">
        <f aca="true">IF(C357="Bull",NORMINV(RAND(),Assumptions!$B$5,Assumptions!$B$6),NORMINV(RAND(),Assumptions!$B$8,Assumptions!$B$9))</f>
        <v>-0.159149064962607</v>
      </c>
      <c r="J357" s="8" t="n">
        <f aca="true">IF(D357="Bull",NORMINV(RAND(),Assumptions!$B$5,Assumptions!$B$6),NORMINV(RAND(),Assumptions!$B$8,Assumptions!$B$9))</f>
        <v>0.199487578988075</v>
      </c>
      <c r="K357" s="8" t="n">
        <f aca="true">IF(E357="Bull",NORMINV(RAND(),Assumptions!$B$5,Assumptions!$B$6),NORMINV(RAND(),Assumptions!$B$8,Assumptions!$B$9))</f>
        <v>0.228357559498334</v>
      </c>
      <c r="L357" s="8" t="n">
        <f aca="true">IF(F357="Bull",NORMINV(RAND(),Assumptions!$B$5,Assumptions!$B$6),NORMINV(RAND(),Assumptions!$B$8,Assumptions!$B$9))</f>
        <v>-0.227567371038314</v>
      </c>
      <c r="M357" s="8" t="n">
        <f aca="true">IF(G357="Bull",NORMINV(RAND(),Assumptions!$B$5,Assumptions!$B$6),NORMINV(RAND(),Assumptions!$B$8,Assumptions!$B$9))</f>
        <v>0.20575022166528</v>
      </c>
      <c r="N357" s="8" t="n">
        <f aca="true">NORMINV(RAND(),Assumptions!$B$14,Assumptions!$B$15)</f>
        <v>0.0726918032028962</v>
      </c>
      <c r="O357" s="8" t="n">
        <f aca="true">NORMINV(RAND(),Assumptions!$B$14,Assumptions!$B$15)</f>
        <v>0.11034819036264</v>
      </c>
      <c r="P357" s="8" t="n">
        <f aca="true">NORMINV(RAND(),Assumptions!$B$14,Assumptions!$B$15)</f>
        <v>0.05624627402978</v>
      </c>
      <c r="Q357" s="8" t="n">
        <f aca="true">NORMINV(RAND(),Assumptions!$B$14,Assumptions!$B$15)</f>
        <v>0.0356022548495017</v>
      </c>
      <c r="R357" s="8" t="n">
        <f aca="true">NORMINV(RAND(),Assumptions!$B$14,Assumptions!$B$15)</f>
        <v>0.0240155913803466</v>
      </c>
      <c r="S357" s="8" t="n">
        <f aca="true">NORMINV(RAND(),Assumptions!$B$14,Assumptions!$B$15)</f>
        <v>0.0124453169638975</v>
      </c>
      <c r="T357" s="8" t="n">
        <f aca="false">Assumptions!$B$19*H357+(1-Assumptions!$B$19)*N357</f>
        <v>0.246808783870109</v>
      </c>
      <c r="U357" s="8" t="n">
        <f aca="false">Assumptions!$B$20*I357+(1-Assumptions!$B$20)*O357</f>
        <v>-0.159149064962607</v>
      </c>
      <c r="V357" s="8" t="n">
        <f aca="false">Assumptions!$B$21*J357+(1-Assumptions!$B$21)*P357</f>
        <v>0.199487578988075</v>
      </c>
      <c r="W357" s="8" t="n">
        <f aca="false">Assumptions!$B$22*K357+(1-Assumptions!$B$22)*Q357</f>
        <v>0.228357559498334</v>
      </c>
      <c r="X357" s="8" t="n">
        <f aca="false">Assumptions!$B$23*L357+(1-Assumptions!$B$23)*R357</f>
        <v>-0.177250778554582</v>
      </c>
      <c r="Y357" s="8" t="n">
        <f aca="false">Assumptions!$B$24*M357+(1-Assumptions!$B$24)*S357</f>
        <v>0.128428259784727</v>
      </c>
      <c r="Z357" s="6" t="n">
        <f aca="false">Assumptions!$B$27*(1+T357)</f>
        <v>374042.635161033</v>
      </c>
      <c r="AA357" s="6" t="n">
        <f aca="false">(Z357+Assumptions!$B$28)*(1+U357)</f>
        <v>440641.739774614</v>
      </c>
      <c r="AB357" s="6" t="n">
        <f aca="false">AA357*(1+V357)</f>
        <v>528544.293643344</v>
      </c>
      <c r="AC357" s="6" t="n">
        <f aca="false">AB357*(1+W357)</f>
        <v>649241.378626509</v>
      </c>
      <c r="AD357" s="6" t="n">
        <f aca="false">AC357*(1+X357)</f>
        <v>534162.838795111</v>
      </c>
      <c r="AE357" s="6" t="n">
        <f aca="false">AD357*(1+Y357)</f>
        <v>602764.442623236</v>
      </c>
      <c r="AF357" s="6" t="n">
        <f aca="false">Z357</f>
        <v>374042.635161033</v>
      </c>
      <c r="AG357" s="6" t="n">
        <f aca="false">MAX(AF357,AA357)</f>
        <v>440641.739774614</v>
      </c>
      <c r="AH357" s="6" t="n">
        <f aca="false">MAX(AG357,AB357)</f>
        <v>528544.293643344</v>
      </c>
      <c r="AI357" s="6" t="n">
        <f aca="false">MAX(AH357,AC357)</f>
        <v>649241.378626509</v>
      </c>
      <c r="AJ357" s="6" t="n">
        <f aca="false">MAX(AI357,AD357)</f>
        <v>649241.378626509</v>
      </c>
      <c r="AK357" s="6" t="n">
        <f aca="false">MAX(AJ357,AE357)</f>
        <v>649241.378626509</v>
      </c>
      <c r="AL357" s="8" t="n">
        <f aca="false">MIN(Z357/AF357-1,AA357/AG357-1,AB357/AH357-1,AC357/AI357-1,AD357/AJ357-1,AE357/AK357-1)</f>
        <v>-0.177250778554582</v>
      </c>
      <c r="AM357" s="6" t="n">
        <f aca="false">AE357-Assumptions!$B$35</f>
        <v>161500.445960733</v>
      </c>
    </row>
    <row r="358" customFormat="false" ht="15" hidden="false" customHeight="false" outlineLevel="0" collapsed="false">
      <c r="A358" s="0" t="n">
        <f aca="false">ROW()-1</f>
        <v>357</v>
      </c>
      <c r="B358" s="0" t="str">
        <f aca="true">IF(RAND()&lt;Assumptions!$B$11,"Bull","Bear")</f>
        <v>Bull</v>
      </c>
      <c r="C358" s="0" t="str">
        <f aca="true">IF(B358="Bull",IF(RAND()&lt;Assumptions!$B$7,"Bull","Bear"),IF(RAND()&lt;Assumptions!$B$10,"Bear","Bull"))</f>
        <v>Bull</v>
      </c>
      <c r="D358" s="0" t="str">
        <f aca="true">IF(C358="Bull",IF(RAND()&lt;Assumptions!$B$7,"Bull","Bear"),IF(RAND()&lt;Assumptions!$B$10,"Bear","Bull"))</f>
        <v>Bull</v>
      </c>
      <c r="E358" s="0" t="str">
        <f aca="true">IF(D358="Bull",IF(RAND()&lt;Assumptions!$B$7,"Bull","Bear"),IF(RAND()&lt;Assumptions!$B$10,"Bear","Bull"))</f>
        <v>Bear</v>
      </c>
      <c r="F358" s="0" t="str">
        <f aca="true">IF(E358="Bull",IF(RAND()&lt;Assumptions!$B$7,"Bull","Bear"),IF(RAND()&lt;Assumptions!$B$10,"Bear","Bull"))</f>
        <v>Bull</v>
      </c>
      <c r="G358" s="0" t="str">
        <f aca="true">IF(F358="Bull",IF(RAND()&lt;Assumptions!$B$7,"Bull","Bear"),IF(RAND()&lt;Assumptions!$B$10,"Bear","Bull"))</f>
        <v>Bull</v>
      </c>
      <c r="H358" s="8" t="n">
        <f aca="true">IF(B358="Bull",NORMINV(RAND(),Assumptions!$B$5,Assumptions!$B$6),NORMINV(RAND(),Assumptions!$B$8,Assumptions!$B$9))</f>
        <v>0.312856819834116</v>
      </c>
      <c r="I358" s="8" t="n">
        <f aca="true">IF(C358="Bull",NORMINV(RAND(),Assumptions!$B$5,Assumptions!$B$6),NORMINV(RAND(),Assumptions!$B$8,Assumptions!$B$9))</f>
        <v>0.161960581969598</v>
      </c>
      <c r="J358" s="8" t="n">
        <f aca="true">IF(D358="Bull",NORMINV(RAND(),Assumptions!$B$5,Assumptions!$B$6),NORMINV(RAND(),Assumptions!$B$8,Assumptions!$B$9))</f>
        <v>0.191620096213437</v>
      </c>
      <c r="K358" s="8" t="n">
        <f aca="true">IF(E358="Bull",NORMINV(RAND(),Assumptions!$B$5,Assumptions!$B$6),NORMINV(RAND(),Assumptions!$B$8,Assumptions!$B$9))</f>
        <v>-0.0746104157819661</v>
      </c>
      <c r="L358" s="8" t="n">
        <f aca="true">IF(F358="Bull",NORMINV(RAND(),Assumptions!$B$5,Assumptions!$B$6),NORMINV(RAND(),Assumptions!$B$8,Assumptions!$B$9))</f>
        <v>0.0759061266447126</v>
      </c>
      <c r="M358" s="8" t="n">
        <f aca="true">IF(G358="Bull",NORMINV(RAND(),Assumptions!$B$5,Assumptions!$B$6),NORMINV(RAND(),Assumptions!$B$8,Assumptions!$B$9))</f>
        <v>0.15626985824462</v>
      </c>
      <c r="N358" s="8" t="n">
        <f aca="true">NORMINV(RAND(),Assumptions!$B$14,Assumptions!$B$15)</f>
        <v>0.0948945385220403</v>
      </c>
      <c r="O358" s="8" t="n">
        <f aca="true">NORMINV(RAND(),Assumptions!$B$14,Assumptions!$B$15)</f>
        <v>0.0930619215370187</v>
      </c>
      <c r="P358" s="8" t="n">
        <f aca="true">NORMINV(RAND(),Assumptions!$B$14,Assumptions!$B$15)</f>
        <v>0.0604641003904306</v>
      </c>
      <c r="Q358" s="8" t="n">
        <f aca="true">NORMINV(RAND(),Assumptions!$B$14,Assumptions!$B$15)</f>
        <v>0.0363139171144283</v>
      </c>
      <c r="R358" s="8" t="n">
        <f aca="true">NORMINV(RAND(),Assumptions!$B$14,Assumptions!$B$15)</f>
        <v>0.0620088326767561</v>
      </c>
      <c r="S358" s="8" t="n">
        <f aca="true">NORMINV(RAND(),Assumptions!$B$14,Assumptions!$B$15)</f>
        <v>0.0222270164699353</v>
      </c>
      <c r="T358" s="8" t="n">
        <f aca="false">Assumptions!$B$19*H358+(1-Assumptions!$B$19)*N358</f>
        <v>0.312856819834116</v>
      </c>
      <c r="U358" s="8" t="n">
        <f aca="false">Assumptions!$B$20*I358+(1-Assumptions!$B$20)*O358</f>
        <v>0.161960581969598</v>
      </c>
      <c r="V358" s="8" t="n">
        <f aca="false">Assumptions!$B$21*J358+(1-Assumptions!$B$21)*P358</f>
        <v>0.191620096213437</v>
      </c>
      <c r="W358" s="8" t="n">
        <f aca="false">Assumptions!$B$22*K358+(1-Assumptions!$B$22)*Q358</f>
        <v>-0.0746104157819661</v>
      </c>
      <c r="X358" s="8" t="n">
        <f aca="false">Assumptions!$B$23*L358+(1-Assumptions!$B$23)*R358</f>
        <v>0.0731266678511213</v>
      </c>
      <c r="Y358" s="8" t="n">
        <f aca="false">Assumptions!$B$24*M358+(1-Assumptions!$B$24)*S358</f>
        <v>0.102652721534746</v>
      </c>
      <c r="Z358" s="6" t="n">
        <f aca="false">Assumptions!$B$27*(1+T358)</f>
        <v>393857.045950235</v>
      </c>
      <c r="AA358" s="6" t="n">
        <f aca="false">(Z358+Assumptions!$B$28)*(1+U358)</f>
        <v>631940.449620601</v>
      </c>
      <c r="AB358" s="6" t="n">
        <f aca="false">AA358*(1+V358)</f>
        <v>753032.939378063</v>
      </c>
      <c r="AC358" s="6" t="n">
        <f aca="false">AB358*(1+W358)</f>
        <v>696848.83867355</v>
      </c>
      <c r="AD358" s="6" t="n">
        <f aca="false">AC358*(1+X358)</f>
        <v>747807.07224167</v>
      </c>
      <c r="AE358" s="6" t="n">
        <f aca="false">AD358*(1+Y358)</f>
        <v>824571.503390208</v>
      </c>
      <c r="AF358" s="6" t="n">
        <f aca="false">Z358</f>
        <v>393857.045950235</v>
      </c>
      <c r="AG358" s="6" t="n">
        <f aca="false">MAX(AF358,AA358)</f>
        <v>631940.449620601</v>
      </c>
      <c r="AH358" s="6" t="n">
        <f aca="false">MAX(AG358,AB358)</f>
        <v>753032.939378063</v>
      </c>
      <c r="AI358" s="6" t="n">
        <f aca="false">MAX(AH358,AC358)</f>
        <v>753032.939378063</v>
      </c>
      <c r="AJ358" s="6" t="n">
        <f aca="false">MAX(AI358,AD358)</f>
        <v>753032.939378063</v>
      </c>
      <c r="AK358" s="6" t="n">
        <f aca="false">MAX(AJ358,AE358)</f>
        <v>824571.503390208</v>
      </c>
      <c r="AL358" s="8" t="n">
        <f aca="false">MIN(Z358/AF358-1,AA358/AG358-1,AB358/AH358-1,AC358/AI358-1,AD358/AJ358-1,AE358/AK358-1)</f>
        <v>-0.0746104157819661</v>
      </c>
      <c r="AM358" s="6" t="n">
        <f aca="false">AE358-Assumptions!$B$35</f>
        <v>383307.506727705</v>
      </c>
    </row>
    <row r="359" customFormat="false" ht="15" hidden="false" customHeight="false" outlineLevel="0" collapsed="false">
      <c r="A359" s="0" t="n">
        <f aca="false">ROW()-1</f>
        <v>358</v>
      </c>
      <c r="B359" s="0" t="str">
        <f aca="true">IF(RAND()&lt;Assumptions!$B$11,"Bull","Bear")</f>
        <v>Bull</v>
      </c>
      <c r="C359" s="0" t="str">
        <f aca="true">IF(B359="Bull",IF(RAND()&lt;Assumptions!$B$7,"Bull","Bear"),IF(RAND()&lt;Assumptions!$B$10,"Bear","Bull"))</f>
        <v>Bull</v>
      </c>
      <c r="D359" s="0" t="str">
        <f aca="true">IF(C359="Bull",IF(RAND()&lt;Assumptions!$B$7,"Bull","Bear"),IF(RAND()&lt;Assumptions!$B$10,"Bear","Bull"))</f>
        <v>Bull</v>
      </c>
      <c r="E359" s="0" t="str">
        <f aca="true">IF(D359="Bull",IF(RAND()&lt;Assumptions!$B$7,"Bull","Bear"),IF(RAND()&lt;Assumptions!$B$10,"Bear","Bull"))</f>
        <v>Bear</v>
      </c>
      <c r="F359" s="0" t="str">
        <f aca="true">IF(E359="Bull",IF(RAND()&lt;Assumptions!$B$7,"Bull","Bear"),IF(RAND()&lt;Assumptions!$B$10,"Bear","Bull"))</f>
        <v>Bear</v>
      </c>
      <c r="G359" s="0" t="str">
        <f aca="true">IF(F359="Bull",IF(RAND()&lt;Assumptions!$B$7,"Bull","Bear"),IF(RAND()&lt;Assumptions!$B$10,"Bear","Bull"))</f>
        <v>Bull</v>
      </c>
      <c r="H359" s="8" t="n">
        <f aca="true">IF(B359="Bull",NORMINV(RAND(),Assumptions!$B$5,Assumptions!$B$6),NORMINV(RAND(),Assumptions!$B$8,Assumptions!$B$9))</f>
        <v>-0.17597354451969</v>
      </c>
      <c r="I359" s="8" t="n">
        <f aca="true">IF(C359="Bull",NORMINV(RAND(),Assumptions!$B$5,Assumptions!$B$6),NORMINV(RAND(),Assumptions!$B$8,Assumptions!$B$9))</f>
        <v>0.212678693254701</v>
      </c>
      <c r="J359" s="8" t="n">
        <f aca="true">IF(D359="Bull",NORMINV(RAND(),Assumptions!$B$5,Assumptions!$B$6),NORMINV(RAND(),Assumptions!$B$8,Assumptions!$B$9))</f>
        <v>0.173610812780068</v>
      </c>
      <c r="K359" s="8" t="n">
        <f aca="true">IF(E359="Bull",NORMINV(RAND(),Assumptions!$B$5,Assumptions!$B$6),NORMINV(RAND(),Assumptions!$B$8,Assumptions!$B$9))</f>
        <v>-0.0229346627661555</v>
      </c>
      <c r="L359" s="8" t="n">
        <f aca="true">IF(F359="Bull",NORMINV(RAND(),Assumptions!$B$5,Assumptions!$B$6),NORMINV(RAND(),Assumptions!$B$8,Assumptions!$B$9))</f>
        <v>-0.414494615628505</v>
      </c>
      <c r="M359" s="8" t="n">
        <f aca="true">IF(G359="Bull",NORMINV(RAND(),Assumptions!$B$5,Assumptions!$B$6),NORMINV(RAND(),Assumptions!$B$8,Assumptions!$B$9))</f>
        <v>0.121796692431273</v>
      </c>
      <c r="N359" s="8" t="n">
        <f aca="true">NORMINV(RAND(),Assumptions!$B$14,Assumptions!$B$15)</f>
        <v>-0.0405159798599617</v>
      </c>
      <c r="O359" s="8" t="n">
        <f aca="true">NORMINV(RAND(),Assumptions!$B$14,Assumptions!$B$15)</f>
        <v>0.0778160770646827</v>
      </c>
      <c r="P359" s="8" t="n">
        <f aca="true">NORMINV(RAND(),Assumptions!$B$14,Assumptions!$B$15)</f>
        <v>0.0631427887808321</v>
      </c>
      <c r="Q359" s="8" t="n">
        <f aca="true">NORMINV(RAND(),Assumptions!$B$14,Assumptions!$B$15)</f>
        <v>0.0144452823535003</v>
      </c>
      <c r="R359" s="8" t="n">
        <f aca="true">NORMINV(RAND(),Assumptions!$B$14,Assumptions!$B$15)</f>
        <v>0.00653244663820186</v>
      </c>
      <c r="S359" s="8" t="n">
        <f aca="true">NORMINV(RAND(),Assumptions!$B$14,Assumptions!$B$15)</f>
        <v>0.0491301387895466</v>
      </c>
      <c r="T359" s="8" t="n">
        <f aca="false">Assumptions!$B$19*H359+(1-Assumptions!$B$19)*N359</f>
        <v>-0.17597354451969</v>
      </c>
      <c r="U359" s="8" t="n">
        <f aca="false">Assumptions!$B$20*I359+(1-Assumptions!$B$20)*O359</f>
        <v>0.212678693254701</v>
      </c>
      <c r="V359" s="8" t="n">
        <f aca="false">Assumptions!$B$21*J359+(1-Assumptions!$B$21)*P359</f>
        <v>0.173610812780068</v>
      </c>
      <c r="W359" s="8" t="n">
        <f aca="false">Assumptions!$B$22*K359+(1-Assumptions!$B$22)*Q359</f>
        <v>-0.0229346627661555</v>
      </c>
      <c r="X359" s="8" t="n">
        <f aca="false">Assumptions!$B$23*L359+(1-Assumptions!$B$23)*R359</f>
        <v>-0.330289203175164</v>
      </c>
      <c r="Y359" s="8" t="n">
        <f aca="false">Assumptions!$B$24*M359+(1-Assumptions!$B$24)*S359</f>
        <v>0.0927300709745822</v>
      </c>
      <c r="Z359" s="6" t="n">
        <f aca="false">Assumptions!$B$27*(1+T359)</f>
        <v>247207.936644093</v>
      </c>
      <c r="AA359" s="6" t="n">
        <f aca="false">(Z359+Assumptions!$B$28)*(1+U359)</f>
        <v>481685.601559955</v>
      </c>
      <c r="AB359" s="6" t="n">
        <f aca="false">AA359*(1+V359)</f>
        <v>565311.430351235</v>
      </c>
      <c r="AC359" s="6" t="n">
        <f aca="false">AB359*(1+W359)</f>
        <v>552346.203338276</v>
      </c>
      <c r="AD359" s="6" t="n">
        <f aca="false">AC359*(1+X359)</f>
        <v>369912.21596085</v>
      </c>
      <c r="AE359" s="6" t="n">
        <f aca="false">AD359*(1+Y359)</f>
        <v>404214.202001265</v>
      </c>
      <c r="AF359" s="6" t="n">
        <f aca="false">Z359</f>
        <v>247207.936644093</v>
      </c>
      <c r="AG359" s="6" t="n">
        <f aca="false">MAX(AF359,AA359)</f>
        <v>481685.601559955</v>
      </c>
      <c r="AH359" s="6" t="n">
        <f aca="false">MAX(AG359,AB359)</f>
        <v>565311.430351235</v>
      </c>
      <c r="AI359" s="6" t="n">
        <f aca="false">MAX(AH359,AC359)</f>
        <v>565311.430351235</v>
      </c>
      <c r="AJ359" s="6" t="n">
        <f aca="false">MAX(AI359,AD359)</f>
        <v>565311.430351235</v>
      </c>
      <c r="AK359" s="6" t="n">
        <f aca="false">MAX(AJ359,AE359)</f>
        <v>565311.430351235</v>
      </c>
      <c r="AL359" s="8" t="n">
        <f aca="false">MIN(Z359/AF359-1,AA359/AG359-1,AB359/AH359-1,AC359/AI359-1,AD359/AJ359-1,AE359/AK359-1)</f>
        <v>-0.345648794451195</v>
      </c>
      <c r="AM359" s="6" t="n">
        <f aca="false">AE359-Assumptions!$B$35</f>
        <v>-37049.794661239</v>
      </c>
    </row>
    <row r="360" customFormat="false" ht="15" hidden="false" customHeight="false" outlineLevel="0" collapsed="false">
      <c r="A360" s="0" t="n">
        <f aca="false">ROW()-1</f>
        <v>359</v>
      </c>
      <c r="B360" s="0" t="str">
        <f aca="true">IF(RAND()&lt;Assumptions!$B$11,"Bull","Bear")</f>
        <v>Bear</v>
      </c>
      <c r="C360" s="0" t="str">
        <f aca="true">IF(B360="Bull",IF(RAND()&lt;Assumptions!$B$7,"Bull","Bear"),IF(RAND()&lt;Assumptions!$B$10,"Bear","Bull"))</f>
        <v>Bull</v>
      </c>
      <c r="D360" s="0" t="str">
        <f aca="true">IF(C360="Bull",IF(RAND()&lt;Assumptions!$B$7,"Bull","Bear"),IF(RAND()&lt;Assumptions!$B$10,"Bear","Bull"))</f>
        <v>Bull</v>
      </c>
      <c r="E360" s="0" t="str">
        <f aca="true">IF(D360="Bull",IF(RAND()&lt;Assumptions!$B$7,"Bull","Bear"),IF(RAND()&lt;Assumptions!$B$10,"Bear","Bull"))</f>
        <v>Bull</v>
      </c>
      <c r="F360" s="0" t="str">
        <f aca="true">IF(E360="Bull",IF(RAND()&lt;Assumptions!$B$7,"Bull","Bear"),IF(RAND()&lt;Assumptions!$B$10,"Bear","Bull"))</f>
        <v>Bull</v>
      </c>
      <c r="G360" s="0" t="str">
        <f aca="true">IF(F360="Bull",IF(RAND()&lt;Assumptions!$B$7,"Bull","Bear"),IF(RAND()&lt;Assumptions!$B$10,"Bear","Bull"))</f>
        <v>Bear</v>
      </c>
      <c r="H360" s="8" t="n">
        <f aca="true">IF(B360="Bull",NORMINV(RAND(),Assumptions!$B$5,Assumptions!$B$6),NORMINV(RAND(),Assumptions!$B$8,Assumptions!$B$9))</f>
        <v>0.0550929275691752</v>
      </c>
      <c r="I360" s="8" t="n">
        <f aca="true">IF(C360="Bull",NORMINV(RAND(),Assumptions!$B$5,Assumptions!$B$6),NORMINV(RAND(),Assumptions!$B$8,Assumptions!$B$9))</f>
        <v>0.0811462012508608</v>
      </c>
      <c r="J360" s="8" t="n">
        <f aca="true">IF(D360="Bull",NORMINV(RAND(),Assumptions!$B$5,Assumptions!$B$6),NORMINV(RAND(),Assumptions!$B$8,Assumptions!$B$9))</f>
        <v>0.186503766988166</v>
      </c>
      <c r="K360" s="8" t="n">
        <f aca="true">IF(E360="Bull",NORMINV(RAND(),Assumptions!$B$5,Assumptions!$B$6),NORMINV(RAND(),Assumptions!$B$8,Assumptions!$B$9))</f>
        <v>0.195260411694689</v>
      </c>
      <c r="L360" s="8" t="n">
        <f aca="true">IF(F360="Bull",NORMINV(RAND(),Assumptions!$B$5,Assumptions!$B$6),NORMINV(RAND(),Assumptions!$B$8,Assumptions!$B$9))</f>
        <v>0.0843058369008827</v>
      </c>
      <c r="M360" s="8" t="n">
        <f aca="true">IF(G360="Bull",NORMINV(RAND(),Assumptions!$B$5,Assumptions!$B$6),NORMINV(RAND(),Assumptions!$B$8,Assumptions!$B$9))</f>
        <v>-0.079283221200411</v>
      </c>
      <c r="N360" s="8" t="n">
        <f aca="true">NORMINV(RAND(),Assumptions!$B$14,Assumptions!$B$15)</f>
        <v>0.0915392568956376</v>
      </c>
      <c r="O360" s="8" t="n">
        <f aca="true">NORMINV(RAND(),Assumptions!$B$14,Assumptions!$B$15)</f>
        <v>0.0367218897342301</v>
      </c>
      <c r="P360" s="8" t="n">
        <f aca="true">NORMINV(RAND(),Assumptions!$B$14,Assumptions!$B$15)</f>
        <v>0.03600746800014</v>
      </c>
      <c r="Q360" s="8" t="n">
        <f aca="true">NORMINV(RAND(),Assumptions!$B$14,Assumptions!$B$15)</f>
        <v>0.0643982779540315</v>
      </c>
      <c r="R360" s="8" t="n">
        <f aca="true">NORMINV(RAND(),Assumptions!$B$14,Assumptions!$B$15)</f>
        <v>0.0623313232444664</v>
      </c>
      <c r="S360" s="8" t="n">
        <f aca="true">NORMINV(RAND(),Assumptions!$B$14,Assumptions!$B$15)</f>
        <v>0.0297292970321292</v>
      </c>
      <c r="T360" s="8" t="n">
        <f aca="false">Assumptions!$B$19*H360+(1-Assumptions!$B$19)*N360</f>
        <v>0.0550929275691752</v>
      </c>
      <c r="U360" s="8" t="n">
        <f aca="false">Assumptions!$B$20*I360+(1-Assumptions!$B$20)*O360</f>
        <v>0.0811462012508608</v>
      </c>
      <c r="V360" s="8" t="n">
        <f aca="false">Assumptions!$B$21*J360+(1-Assumptions!$B$21)*P360</f>
        <v>0.186503766988166</v>
      </c>
      <c r="W360" s="8" t="n">
        <f aca="false">Assumptions!$B$22*K360+(1-Assumptions!$B$22)*Q360</f>
        <v>0.195260411694689</v>
      </c>
      <c r="X360" s="8" t="n">
        <f aca="false">Assumptions!$B$23*L360+(1-Assumptions!$B$23)*R360</f>
        <v>0.0799109341695994</v>
      </c>
      <c r="Y360" s="8" t="n">
        <f aca="false">Assumptions!$B$24*M360+(1-Assumptions!$B$24)*S360</f>
        <v>-0.0356782139073949</v>
      </c>
      <c r="Z360" s="6" t="n">
        <f aca="false">Assumptions!$B$27*(1+T360)</f>
        <v>316527.878270753</v>
      </c>
      <c r="AA360" s="6" t="n">
        <f aca="false">(Z360+Assumptions!$B$28)*(1+U360)</f>
        <v>504384.843370048</v>
      </c>
      <c r="AB360" s="6" t="n">
        <f aca="false">AA360*(1+V360)</f>
        <v>598454.516670298</v>
      </c>
      <c r="AC360" s="6" t="n">
        <f aca="false">AB360*(1+W360)</f>
        <v>715308.991975887</v>
      </c>
      <c r="AD360" s="6" t="n">
        <f aca="false">AC360*(1+X360)</f>
        <v>772470.001744594</v>
      </c>
      <c r="AE360" s="6" t="n">
        <f aca="false">AD360*(1+Y360)</f>
        <v>744909.651785305</v>
      </c>
      <c r="AF360" s="6" t="n">
        <f aca="false">Z360</f>
        <v>316527.878270753</v>
      </c>
      <c r="AG360" s="6" t="n">
        <f aca="false">MAX(AF360,AA360)</f>
        <v>504384.843370048</v>
      </c>
      <c r="AH360" s="6" t="n">
        <f aca="false">MAX(AG360,AB360)</f>
        <v>598454.516670298</v>
      </c>
      <c r="AI360" s="6" t="n">
        <f aca="false">MAX(AH360,AC360)</f>
        <v>715308.991975887</v>
      </c>
      <c r="AJ360" s="6" t="n">
        <f aca="false">MAX(AI360,AD360)</f>
        <v>772470.001744594</v>
      </c>
      <c r="AK360" s="6" t="n">
        <f aca="false">MAX(AJ360,AE360)</f>
        <v>772470.001744594</v>
      </c>
      <c r="AL360" s="8" t="n">
        <f aca="false">MIN(Z360/AF360-1,AA360/AG360-1,AB360/AH360-1,AC360/AI360-1,AD360/AJ360-1,AE360/AK360-1)</f>
        <v>-0.0356782139073949</v>
      </c>
      <c r="AM360" s="6" t="n">
        <f aca="false">AE360-Assumptions!$B$35</f>
        <v>303645.655122802</v>
      </c>
    </row>
    <row r="361" customFormat="false" ht="15" hidden="false" customHeight="false" outlineLevel="0" collapsed="false">
      <c r="A361" s="0" t="n">
        <f aca="false">ROW()-1</f>
        <v>360</v>
      </c>
      <c r="B361" s="0" t="str">
        <f aca="true">IF(RAND()&lt;Assumptions!$B$11,"Bull","Bear")</f>
        <v>Bear</v>
      </c>
      <c r="C361" s="0" t="str">
        <f aca="true">IF(B361="Bull",IF(RAND()&lt;Assumptions!$B$7,"Bull","Bear"),IF(RAND()&lt;Assumptions!$B$10,"Bear","Bull"))</f>
        <v>Bear</v>
      </c>
      <c r="D361" s="0" t="str">
        <f aca="true">IF(C361="Bull",IF(RAND()&lt;Assumptions!$B$7,"Bull","Bear"),IF(RAND()&lt;Assumptions!$B$10,"Bear","Bull"))</f>
        <v>Bull</v>
      </c>
      <c r="E361" s="0" t="str">
        <f aca="true">IF(D361="Bull",IF(RAND()&lt;Assumptions!$B$7,"Bull","Bear"),IF(RAND()&lt;Assumptions!$B$10,"Bear","Bull"))</f>
        <v>Bull</v>
      </c>
      <c r="F361" s="0" t="str">
        <f aca="true">IF(E361="Bull",IF(RAND()&lt;Assumptions!$B$7,"Bull","Bear"),IF(RAND()&lt;Assumptions!$B$10,"Bear","Bull"))</f>
        <v>Bear</v>
      </c>
      <c r="G361" s="0" t="str">
        <f aca="true">IF(F361="Bull",IF(RAND()&lt;Assumptions!$B$7,"Bull","Bear"),IF(RAND()&lt;Assumptions!$B$10,"Bear","Bull"))</f>
        <v>Bear</v>
      </c>
      <c r="H361" s="8" t="n">
        <f aca="true">IF(B361="Bull",NORMINV(RAND(),Assumptions!$B$5,Assumptions!$B$6),NORMINV(RAND(),Assumptions!$B$8,Assumptions!$B$9))</f>
        <v>0.0124133441941685</v>
      </c>
      <c r="I361" s="8" t="n">
        <f aca="true">IF(C361="Bull",NORMINV(RAND(),Assumptions!$B$5,Assumptions!$B$6),NORMINV(RAND(),Assumptions!$B$8,Assumptions!$B$9))</f>
        <v>-0.24067159346541</v>
      </c>
      <c r="J361" s="8" t="n">
        <f aca="true">IF(D361="Bull",NORMINV(RAND(),Assumptions!$B$5,Assumptions!$B$6),NORMINV(RAND(),Assumptions!$B$8,Assumptions!$B$9))</f>
        <v>0.234877352014927</v>
      </c>
      <c r="K361" s="8" t="n">
        <f aca="true">IF(E361="Bull",NORMINV(RAND(),Assumptions!$B$5,Assumptions!$B$6),NORMINV(RAND(),Assumptions!$B$8,Assumptions!$B$9))</f>
        <v>0.179880482313149</v>
      </c>
      <c r="L361" s="8" t="n">
        <f aca="true">IF(F361="Bull",NORMINV(RAND(),Assumptions!$B$5,Assumptions!$B$6),NORMINV(RAND(),Assumptions!$B$8,Assumptions!$B$9))</f>
        <v>0.0488653728473875</v>
      </c>
      <c r="M361" s="8" t="n">
        <f aca="true">IF(G361="Bull",NORMINV(RAND(),Assumptions!$B$5,Assumptions!$B$6),NORMINV(RAND(),Assumptions!$B$8,Assumptions!$B$9))</f>
        <v>-0.407625030304212</v>
      </c>
      <c r="N361" s="8" t="n">
        <f aca="true">NORMINV(RAND(),Assumptions!$B$14,Assumptions!$B$15)</f>
        <v>0.038583423351966</v>
      </c>
      <c r="O361" s="8" t="n">
        <f aca="true">NORMINV(RAND(),Assumptions!$B$14,Assumptions!$B$15)</f>
        <v>0.0157648530020909</v>
      </c>
      <c r="P361" s="8" t="n">
        <f aca="true">NORMINV(RAND(),Assumptions!$B$14,Assumptions!$B$15)</f>
        <v>0.039465891121214</v>
      </c>
      <c r="Q361" s="8" t="n">
        <f aca="true">NORMINV(RAND(),Assumptions!$B$14,Assumptions!$B$15)</f>
        <v>0.0234855850591899</v>
      </c>
      <c r="R361" s="8" t="n">
        <f aca="true">NORMINV(RAND(),Assumptions!$B$14,Assumptions!$B$15)</f>
        <v>0.0413438623194192</v>
      </c>
      <c r="S361" s="8" t="n">
        <f aca="true">NORMINV(RAND(),Assumptions!$B$14,Assumptions!$B$15)</f>
        <v>0.0540047108752975</v>
      </c>
      <c r="T361" s="8" t="n">
        <f aca="false">Assumptions!$B$19*H361+(1-Assumptions!$B$19)*N361</f>
        <v>0.0124133441941685</v>
      </c>
      <c r="U361" s="8" t="n">
        <f aca="false">Assumptions!$B$20*I361+(1-Assumptions!$B$20)*O361</f>
        <v>-0.24067159346541</v>
      </c>
      <c r="V361" s="8" t="n">
        <f aca="false">Assumptions!$B$21*J361+(1-Assumptions!$B$21)*P361</f>
        <v>0.234877352014927</v>
      </c>
      <c r="W361" s="8" t="n">
        <f aca="false">Assumptions!$B$22*K361+(1-Assumptions!$B$22)*Q361</f>
        <v>0.179880482313149</v>
      </c>
      <c r="X361" s="8" t="n">
        <f aca="false">Assumptions!$B$23*L361+(1-Assumptions!$B$23)*R361</f>
        <v>0.0473610707417938</v>
      </c>
      <c r="Y361" s="8" t="n">
        <f aca="false">Assumptions!$B$24*M361+(1-Assumptions!$B$24)*S361</f>
        <v>-0.222973133832408</v>
      </c>
      <c r="Z361" s="6" t="n">
        <f aca="false">Assumptions!$B$27*(1+T361)</f>
        <v>303724.003258251</v>
      </c>
      <c r="AA361" s="6" t="n">
        <f aca="false">(Z361+Assumptions!$B$28)*(1+U361)</f>
        <v>344525.524400583</v>
      </c>
      <c r="AB361" s="6" t="n">
        <f aca="false">AA361*(1+V361)</f>
        <v>425446.767273345</v>
      </c>
      <c r="AC361" s="6" t="n">
        <f aca="false">AB361*(1+W361)</f>
        <v>501976.336969045</v>
      </c>
      <c r="AD361" s="6" t="n">
        <f aca="false">AC361*(1+X361)</f>
        <v>525750.473774942</v>
      </c>
      <c r="AE361" s="6" t="n">
        <f aca="false">AD361*(1+Y361)</f>
        <v>408522.24302347</v>
      </c>
      <c r="AF361" s="6" t="n">
        <f aca="false">Z361</f>
        <v>303724.003258251</v>
      </c>
      <c r="AG361" s="6" t="n">
        <f aca="false">MAX(AF361,AA361)</f>
        <v>344525.524400583</v>
      </c>
      <c r="AH361" s="6" t="n">
        <f aca="false">MAX(AG361,AB361)</f>
        <v>425446.767273345</v>
      </c>
      <c r="AI361" s="6" t="n">
        <f aca="false">MAX(AH361,AC361)</f>
        <v>501976.336969045</v>
      </c>
      <c r="AJ361" s="6" t="n">
        <f aca="false">MAX(AI361,AD361)</f>
        <v>525750.473774942</v>
      </c>
      <c r="AK361" s="6" t="n">
        <f aca="false">MAX(AJ361,AE361)</f>
        <v>525750.473774942</v>
      </c>
      <c r="AL361" s="8" t="n">
        <f aca="false">MIN(Z361/AF361-1,AA361/AG361-1,AB361/AH361-1,AC361/AI361-1,AD361/AJ361-1,AE361/AK361-1)</f>
        <v>-0.222973133832408</v>
      </c>
      <c r="AM361" s="6" t="n">
        <f aca="false">AE361-Assumptions!$B$35</f>
        <v>-32741.7536390336</v>
      </c>
    </row>
    <row r="362" customFormat="false" ht="15" hidden="false" customHeight="false" outlineLevel="0" collapsed="false">
      <c r="A362" s="0" t="n">
        <f aca="false">ROW()-1</f>
        <v>361</v>
      </c>
      <c r="B362" s="0" t="str">
        <f aca="true">IF(RAND()&lt;Assumptions!$B$11,"Bull","Bear")</f>
        <v>Bull</v>
      </c>
      <c r="C362" s="0" t="str">
        <f aca="true">IF(B362="Bull",IF(RAND()&lt;Assumptions!$B$7,"Bull","Bear"),IF(RAND()&lt;Assumptions!$B$10,"Bear","Bull"))</f>
        <v>Bull</v>
      </c>
      <c r="D362" s="0" t="str">
        <f aca="true">IF(C362="Bull",IF(RAND()&lt;Assumptions!$B$7,"Bull","Bear"),IF(RAND()&lt;Assumptions!$B$10,"Bear","Bull"))</f>
        <v>Bear</v>
      </c>
      <c r="E362" s="0" t="str">
        <f aca="true">IF(D362="Bull",IF(RAND()&lt;Assumptions!$B$7,"Bull","Bear"),IF(RAND()&lt;Assumptions!$B$10,"Bear","Bull"))</f>
        <v>Bear</v>
      </c>
      <c r="F362" s="0" t="str">
        <f aca="true">IF(E362="Bull",IF(RAND()&lt;Assumptions!$B$7,"Bull","Bear"),IF(RAND()&lt;Assumptions!$B$10,"Bear","Bull"))</f>
        <v>Bear</v>
      </c>
      <c r="G362" s="0" t="str">
        <f aca="true">IF(F362="Bull",IF(RAND()&lt;Assumptions!$B$7,"Bull","Bear"),IF(RAND()&lt;Assumptions!$B$10,"Bear","Bull"))</f>
        <v>Bull</v>
      </c>
      <c r="H362" s="8" t="n">
        <f aca="true">IF(B362="Bull",NORMINV(RAND(),Assumptions!$B$5,Assumptions!$B$6),NORMINV(RAND(),Assumptions!$B$8,Assumptions!$B$9))</f>
        <v>0.148298245965955</v>
      </c>
      <c r="I362" s="8" t="n">
        <f aca="true">IF(C362="Bull",NORMINV(RAND(),Assumptions!$B$5,Assumptions!$B$6),NORMINV(RAND(),Assumptions!$B$8,Assumptions!$B$9))</f>
        <v>0.0202965045401785</v>
      </c>
      <c r="J362" s="8" t="n">
        <f aca="true">IF(D362="Bull",NORMINV(RAND(),Assumptions!$B$5,Assumptions!$B$6),NORMINV(RAND(),Assumptions!$B$8,Assumptions!$B$9))</f>
        <v>-0.318852419724931</v>
      </c>
      <c r="K362" s="8" t="n">
        <f aca="true">IF(E362="Bull",NORMINV(RAND(),Assumptions!$B$5,Assumptions!$B$6),NORMINV(RAND(),Assumptions!$B$8,Assumptions!$B$9))</f>
        <v>-0.160740358297479</v>
      </c>
      <c r="L362" s="8" t="n">
        <f aca="true">IF(F362="Bull",NORMINV(RAND(),Assumptions!$B$5,Assumptions!$B$6),NORMINV(RAND(),Assumptions!$B$8,Assumptions!$B$9))</f>
        <v>-0.435251974977365</v>
      </c>
      <c r="M362" s="8" t="n">
        <f aca="true">IF(G362="Bull",NORMINV(RAND(),Assumptions!$B$5,Assumptions!$B$6),NORMINV(RAND(),Assumptions!$B$8,Assumptions!$B$9))</f>
        <v>-0.00090235636920924</v>
      </c>
      <c r="N362" s="8" t="n">
        <f aca="true">NORMINV(RAND(),Assumptions!$B$14,Assumptions!$B$15)</f>
        <v>0.0426950672729323</v>
      </c>
      <c r="O362" s="8" t="n">
        <f aca="true">NORMINV(RAND(),Assumptions!$B$14,Assumptions!$B$15)</f>
        <v>0.0224789861034819</v>
      </c>
      <c r="P362" s="8" t="n">
        <f aca="true">NORMINV(RAND(),Assumptions!$B$14,Assumptions!$B$15)</f>
        <v>0.0401851083088964</v>
      </c>
      <c r="Q362" s="8" t="n">
        <f aca="true">NORMINV(RAND(),Assumptions!$B$14,Assumptions!$B$15)</f>
        <v>0.0295331562784164</v>
      </c>
      <c r="R362" s="8" t="n">
        <f aca="true">NORMINV(RAND(),Assumptions!$B$14,Assumptions!$B$15)</f>
        <v>0.0977976282912556</v>
      </c>
      <c r="S362" s="8" t="n">
        <f aca="true">NORMINV(RAND(),Assumptions!$B$14,Assumptions!$B$15)</f>
        <v>0.0171984199622965</v>
      </c>
      <c r="T362" s="8" t="n">
        <f aca="false">Assumptions!$B$19*H362+(1-Assumptions!$B$19)*N362</f>
        <v>0.148298245965955</v>
      </c>
      <c r="U362" s="8" t="n">
        <f aca="false">Assumptions!$B$20*I362+(1-Assumptions!$B$20)*O362</f>
        <v>0.0202965045401785</v>
      </c>
      <c r="V362" s="8" t="n">
        <f aca="false">Assumptions!$B$21*J362+(1-Assumptions!$B$21)*P362</f>
        <v>-0.318852419724931</v>
      </c>
      <c r="W362" s="8" t="n">
        <f aca="false">Assumptions!$B$22*K362+(1-Assumptions!$B$22)*Q362</f>
        <v>-0.160740358297479</v>
      </c>
      <c r="X362" s="8" t="n">
        <f aca="false">Assumptions!$B$23*L362+(1-Assumptions!$B$23)*R362</f>
        <v>-0.328642054323641</v>
      </c>
      <c r="Y362" s="8" t="n">
        <f aca="false">Assumptions!$B$24*M362+(1-Assumptions!$B$24)*S362</f>
        <v>0.00633795416339307</v>
      </c>
      <c r="Z362" s="6" t="n">
        <f aca="false">Assumptions!$B$27*(1+T362)</f>
        <v>344489.473789787</v>
      </c>
      <c r="AA362" s="6" t="n">
        <f aca="false">(Z362+Assumptions!$B$28)*(1+U362)</f>
        <v>504525.881639631</v>
      </c>
      <c r="AB362" s="6" t="n">
        <f aca="false">AA362*(1+V362)</f>
        <v>343656.583464981</v>
      </c>
      <c r="AC362" s="6" t="n">
        <f aca="false">AB362*(1+W362)</f>
        <v>288417.101107532</v>
      </c>
      <c r="AD362" s="6" t="n">
        <f aca="false">AC362*(1+X362)</f>
        <v>193631.112497484</v>
      </c>
      <c r="AE362" s="6" t="n">
        <f aca="false">AD362*(1+Y362)</f>
        <v>194858.337613099</v>
      </c>
      <c r="AF362" s="6" t="n">
        <f aca="false">Z362</f>
        <v>344489.473789787</v>
      </c>
      <c r="AG362" s="6" t="n">
        <f aca="false">MAX(AF362,AA362)</f>
        <v>504525.881639631</v>
      </c>
      <c r="AH362" s="6" t="n">
        <f aca="false">MAX(AG362,AB362)</f>
        <v>504525.881639631</v>
      </c>
      <c r="AI362" s="6" t="n">
        <f aca="false">MAX(AH362,AC362)</f>
        <v>504525.881639631</v>
      </c>
      <c r="AJ362" s="6" t="n">
        <f aca="false">MAX(AI362,AD362)</f>
        <v>504525.881639631</v>
      </c>
      <c r="AK362" s="6" t="n">
        <f aca="false">MAX(AJ362,AE362)</f>
        <v>504525.881639631</v>
      </c>
      <c r="AL362" s="8" t="n">
        <f aca="false">MIN(Z362/AF362-1,AA362/AG362-1,AB362/AH362-1,AC362/AI362-1,AD362/AJ362-1,AE362/AK362-1)</f>
        <v>-0.616211735524425</v>
      </c>
      <c r="AM362" s="6" t="n">
        <f aca="false">AE362-Assumptions!$B$35</f>
        <v>-246405.659049404</v>
      </c>
    </row>
    <row r="363" customFormat="false" ht="15" hidden="false" customHeight="false" outlineLevel="0" collapsed="false">
      <c r="A363" s="0" t="n">
        <f aca="false">ROW()-1</f>
        <v>362</v>
      </c>
      <c r="B363" s="0" t="str">
        <f aca="true">IF(RAND()&lt;Assumptions!$B$11,"Bull","Bear")</f>
        <v>Bear</v>
      </c>
      <c r="C363" s="0" t="str">
        <f aca="true">IF(B363="Bull",IF(RAND()&lt;Assumptions!$B$7,"Bull","Bear"),IF(RAND()&lt;Assumptions!$B$10,"Bear","Bull"))</f>
        <v>Bull</v>
      </c>
      <c r="D363" s="0" t="str">
        <f aca="true">IF(C363="Bull",IF(RAND()&lt;Assumptions!$B$7,"Bull","Bear"),IF(RAND()&lt;Assumptions!$B$10,"Bear","Bull"))</f>
        <v>Bear</v>
      </c>
      <c r="E363" s="0" t="str">
        <f aca="true">IF(D363="Bull",IF(RAND()&lt;Assumptions!$B$7,"Bull","Bear"),IF(RAND()&lt;Assumptions!$B$10,"Bear","Bull"))</f>
        <v>Bull</v>
      </c>
      <c r="F363" s="0" t="str">
        <f aca="true">IF(E363="Bull",IF(RAND()&lt;Assumptions!$B$7,"Bull","Bear"),IF(RAND()&lt;Assumptions!$B$10,"Bear","Bull"))</f>
        <v>Bull</v>
      </c>
      <c r="G363" s="0" t="str">
        <f aca="true">IF(F363="Bull",IF(RAND()&lt;Assumptions!$B$7,"Bull","Bear"),IF(RAND()&lt;Assumptions!$B$10,"Bear","Bull"))</f>
        <v>Bull</v>
      </c>
      <c r="H363" s="8" t="n">
        <f aca="true">IF(B363="Bull",NORMINV(RAND(),Assumptions!$B$5,Assumptions!$B$6),NORMINV(RAND(),Assumptions!$B$8,Assumptions!$B$9))</f>
        <v>-0.0529617548789447</v>
      </c>
      <c r="I363" s="8" t="n">
        <f aca="true">IF(C363="Bull",NORMINV(RAND(),Assumptions!$B$5,Assumptions!$B$6),NORMINV(RAND(),Assumptions!$B$8,Assumptions!$B$9))</f>
        <v>0.285867468385753</v>
      </c>
      <c r="J363" s="8" t="n">
        <f aca="true">IF(D363="Bull",NORMINV(RAND(),Assumptions!$B$5,Assumptions!$B$6),NORMINV(RAND(),Assumptions!$B$8,Assumptions!$B$9))</f>
        <v>-0.313106455564344</v>
      </c>
      <c r="K363" s="8" t="n">
        <f aca="true">IF(E363="Bull",NORMINV(RAND(),Assumptions!$B$5,Assumptions!$B$6),NORMINV(RAND(),Assumptions!$B$8,Assumptions!$B$9))</f>
        <v>0.209649883693992</v>
      </c>
      <c r="L363" s="8" t="n">
        <f aca="true">IF(F363="Bull",NORMINV(RAND(),Assumptions!$B$5,Assumptions!$B$6),NORMINV(RAND(),Assumptions!$B$8,Assumptions!$B$9))</f>
        <v>0.140322284692344</v>
      </c>
      <c r="M363" s="8" t="n">
        <f aca="true">IF(G363="Bull",NORMINV(RAND(),Assumptions!$B$5,Assumptions!$B$6),NORMINV(RAND(),Assumptions!$B$8,Assumptions!$B$9))</f>
        <v>0.122961590398114</v>
      </c>
      <c r="N363" s="8" t="n">
        <f aca="true">NORMINV(RAND(),Assumptions!$B$14,Assumptions!$B$15)</f>
        <v>0.025721915030805</v>
      </c>
      <c r="O363" s="8" t="n">
        <f aca="true">NORMINV(RAND(),Assumptions!$B$14,Assumptions!$B$15)</f>
        <v>0.0447422581472144</v>
      </c>
      <c r="P363" s="8" t="n">
        <f aca="true">NORMINV(RAND(),Assumptions!$B$14,Assumptions!$B$15)</f>
        <v>0.0909434500834127</v>
      </c>
      <c r="Q363" s="8" t="n">
        <f aca="true">NORMINV(RAND(),Assumptions!$B$14,Assumptions!$B$15)</f>
        <v>0.096209540925196</v>
      </c>
      <c r="R363" s="8" t="n">
        <f aca="true">NORMINV(RAND(),Assumptions!$B$14,Assumptions!$B$15)</f>
        <v>0.0664912651717772</v>
      </c>
      <c r="S363" s="8" t="n">
        <f aca="true">NORMINV(RAND(),Assumptions!$B$14,Assumptions!$B$15)</f>
        <v>0.0913861218763145</v>
      </c>
      <c r="T363" s="8" t="n">
        <f aca="false">Assumptions!$B$19*H363+(1-Assumptions!$B$19)*N363</f>
        <v>-0.0529617548789447</v>
      </c>
      <c r="U363" s="8" t="n">
        <f aca="false">Assumptions!$B$20*I363+(1-Assumptions!$B$20)*O363</f>
        <v>0.285867468385753</v>
      </c>
      <c r="V363" s="8" t="n">
        <f aca="false">Assumptions!$B$21*J363+(1-Assumptions!$B$21)*P363</f>
        <v>-0.313106455564344</v>
      </c>
      <c r="W363" s="8" t="n">
        <f aca="false">Assumptions!$B$22*K363+(1-Assumptions!$B$22)*Q363</f>
        <v>0.209649883693992</v>
      </c>
      <c r="X363" s="8" t="n">
        <f aca="false">Assumptions!$B$23*L363+(1-Assumptions!$B$23)*R363</f>
        <v>0.125556080788231</v>
      </c>
      <c r="Y363" s="8" t="n">
        <f aca="false">Assumptions!$B$24*M363+(1-Assumptions!$B$24)*S363</f>
        <v>0.110331402989394</v>
      </c>
      <c r="Z363" s="6" t="n">
        <f aca="false">Assumptions!$B$27*(1+T363)</f>
        <v>284111.473536317</v>
      </c>
      <c r="AA363" s="6" t="n">
        <f aca="false">(Z363+Assumptions!$B$28)*(1+U363)</f>
        <v>558209.821473352</v>
      </c>
      <c r="AB363" s="6" t="n">
        <f aca="false">AA363*(1+V363)</f>
        <v>383430.722810626</v>
      </c>
      <c r="AC363" s="6" t="n">
        <f aca="false">AB363*(1+W363)</f>
        <v>463816.929252577</v>
      </c>
      <c r="AD363" s="6" t="n">
        <f aca="false">AC363*(1+X363)</f>
        <v>522051.965092762</v>
      </c>
      <c r="AE363" s="6" t="n">
        <f aca="false">AD363*(1+Y363)</f>
        <v>579650.690834817</v>
      </c>
      <c r="AF363" s="6" t="n">
        <f aca="false">Z363</f>
        <v>284111.473536317</v>
      </c>
      <c r="AG363" s="6" t="n">
        <f aca="false">MAX(AF363,AA363)</f>
        <v>558209.821473352</v>
      </c>
      <c r="AH363" s="6" t="n">
        <f aca="false">MAX(AG363,AB363)</f>
        <v>558209.821473352</v>
      </c>
      <c r="AI363" s="6" t="n">
        <f aca="false">MAX(AH363,AC363)</f>
        <v>558209.821473352</v>
      </c>
      <c r="AJ363" s="6" t="n">
        <f aca="false">MAX(AI363,AD363)</f>
        <v>558209.821473352</v>
      </c>
      <c r="AK363" s="6" t="n">
        <f aca="false">MAX(AJ363,AE363)</f>
        <v>579650.690834817</v>
      </c>
      <c r="AL363" s="8" t="n">
        <f aca="false">MIN(Z363/AF363-1,AA363/AG363-1,AB363/AH363-1,AC363/AI363-1,AD363/AJ363-1,AE363/AK363-1)</f>
        <v>-0.313106455564344</v>
      </c>
      <c r="AM363" s="6" t="n">
        <f aca="false">AE363-Assumptions!$B$35</f>
        <v>138386.694172313</v>
      </c>
    </row>
    <row r="364" customFormat="false" ht="15" hidden="false" customHeight="false" outlineLevel="0" collapsed="false">
      <c r="A364" s="0" t="n">
        <f aca="false">ROW()-1</f>
        <v>363</v>
      </c>
      <c r="B364" s="0" t="str">
        <f aca="true">IF(RAND()&lt;Assumptions!$B$11,"Bull","Bear")</f>
        <v>Bull</v>
      </c>
      <c r="C364" s="0" t="str">
        <f aca="true">IF(B364="Bull",IF(RAND()&lt;Assumptions!$B$7,"Bull","Bear"),IF(RAND()&lt;Assumptions!$B$10,"Bear","Bull"))</f>
        <v>Bear</v>
      </c>
      <c r="D364" s="0" t="str">
        <f aca="true">IF(C364="Bull",IF(RAND()&lt;Assumptions!$B$7,"Bull","Bear"),IF(RAND()&lt;Assumptions!$B$10,"Bear","Bull"))</f>
        <v>Bull</v>
      </c>
      <c r="E364" s="0" t="str">
        <f aca="true">IF(D364="Bull",IF(RAND()&lt;Assumptions!$B$7,"Bull","Bear"),IF(RAND()&lt;Assumptions!$B$10,"Bear","Bull"))</f>
        <v>Bull</v>
      </c>
      <c r="F364" s="0" t="str">
        <f aca="true">IF(E364="Bull",IF(RAND()&lt;Assumptions!$B$7,"Bull","Bear"),IF(RAND()&lt;Assumptions!$B$10,"Bear","Bull"))</f>
        <v>Bull</v>
      </c>
      <c r="G364" s="0" t="str">
        <f aca="true">IF(F364="Bull",IF(RAND()&lt;Assumptions!$B$7,"Bull","Bear"),IF(RAND()&lt;Assumptions!$B$10,"Bear","Bull"))</f>
        <v>Bull</v>
      </c>
      <c r="H364" s="8" t="n">
        <f aca="true">IF(B364="Bull",NORMINV(RAND(),Assumptions!$B$5,Assumptions!$B$6),NORMINV(RAND(),Assumptions!$B$8,Assumptions!$B$9))</f>
        <v>0.18293674522944</v>
      </c>
      <c r="I364" s="8" t="n">
        <f aca="true">IF(C364="Bull",NORMINV(RAND(),Assumptions!$B$5,Assumptions!$B$6),NORMINV(RAND(),Assumptions!$B$8,Assumptions!$B$9))</f>
        <v>-0.319429862307496</v>
      </c>
      <c r="J364" s="8" t="n">
        <f aca="true">IF(D364="Bull",NORMINV(RAND(),Assumptions!$B$5,Assumptions!$B$6),NORMINV(RAND(),Assumptions!$B$8,Assumptions!$B$9))</f>
        <v>0.305227228723724</v>
      </c>
      <c r="K364" s="8" t="n">
        <f aca="true">IF(E364="Bull",NORMINV(RAND(),Assumptions!$B$5,Assumptions!$B$6),NORMINV(RAND(),Assumptions!$B$8,Assumptions!$B$9))</f>
        <v>0.119976086540169</v>
      </c>
      <c r="L364" s="8" t="n">
        <f aca="true">IF(F364="Bull",NORMINV(RAND(),Assumptions!$B$5,Assumptions!$B$6),NORMINV(RAND(),Assumptions!$B$8,Assumptions!$B$9))</f>
        <v>0.0411378272206061</v>
      </c>
      <c r="M364" s="8" t="n">
        <f aca="true">IF(G364="Bull",NORMINV(RAND(),Assumptions!$B$5,Assumptions!$B$6),NORMINV(RAND(),Assumptions!$B$8,Assumptions!$B$9))</f>
        <v>0.225751973814088</v>
      </c>
      <c r="N364" s="8" t="n">
        <f aca="true">NORMINV(RAND(),Assumptions!$B$14,Assumptions!$B$15)</f>
        <v>0.0382031493691984</v>
      </c>
      <c r="O364" s="8" t="n">
        <f aca="true">NORMINV(RAND(),Assumptions!$B$14,Assumptions!$B$15)</f>
        <v>0.0134808632731007</v>
      </c>
      <c r="P364" s="8" t="n">
        <f aca="true">NORMINV(RAND(),Assumptions!$B$14,Assumptions!$B$15)</f>
        <v>0.0378041771445096</v>
      </c>
      <c r="Q364" s="8" t="n">
        <f aca="true">NORMINV(RAND(),Assumptions!$B$14,Assumptions!$B$15)</f>
        <v>-0.00107982693199254</v>
      </c>
      <c r="R364" s="8" t="n">
        <f aca="true">NORMINV(RAND(),Assumptions!$B$14,Assumptions!$B$15)</f>
        <v>0.0917429666114276</v>
      </c>
      <c r="S364" s="8" t="n">
        <f aca="true">NORMINV(RAND(),Assumptions!$B$14,Assumptions!$B$15)</f>
        <v>0.0690588347992604</v>
      </c>
      <c r="T364" s="8" t="n">
        <f aca="false">Assumptions!$B$19*H364+(1-Assumptions!$B$19)*N364</f>
        <v>0.18293674522944</v>
      </c>
      <c r="U364" s="8" t="n">
        <f aca="false">Assumptions!$B$20*I364+(1-Assumptions!$B$20)*O364</f>
        <v>-0.319429862307496</v>
      </c>
      <c r="V364" s="8" t="n">
        <f aca="false">Assumptions!$B$21*J364+(1-Assumptions!$B$21)*P364</f>
        <v>0.305227228723724</v>
      </c>
      <c r="W364" s="8" t="n">
        <f aca="false">Assumptions!$B$22*K364+(1-Assumptions!$B$22)*Q364</f>
        <v>0.119976086540169</v>
      </c>
      <c r="X364" s="8" t="n">
        <f aca="false">Assumptions!$B$23*L364+(1-Assumptions!$B$23)*R364</f>
        <v>0.0512588550987704</v>
      </c>
      <c r="Y364" s="8" t="n">
        <f aca="false">Assumptions!$B$24*M364+(1-Assumptions!$B$24)*S364</f>
        <v>0.163074718208157</v>
      </c>
      <c r="Z364" s="6" t="n">
        <f aca="false">Assumptions!$B$27*(1+T364)</f>
        <v>354881.023568832</v>
      </c>
      <c r="AA364" s="6" t="n">
        <f aca="false">(Z364+Assumptions!$B$28)*(1+U364)</f>
        <v>343606.947728572</v>
      </c>
      <c r="AB364" s="6" t="n">
        <f aca="false">AA364*(1+V364)</f>
        <v>448485.144153982</v>
      </c>
      <c r="AC364" s="6" t="n">
        <f aca="false">AB364*(1+W364)</f>
        <v>502292.63662098</v>
      </c>
      <c r="AD364" s="6" t="n">
        <f aca="false">AC364*(1+X364)</f>
        <v>528039.582098715</v>
      </c>
      <c r="AE364" s="6" t="n">
        <f aca="false">AD364*(1+Y364)</f>
        <v>614149.488152215</v>
      </c>
      <c r="AF364" s="6" t="n">
        <f aca="false">Z364</f>
        <v>354881.023568832</v>
      </c>
      <c r="AG364" s="6" t="n">
        <f aca="false">MAX(AF364,AA364)</f>
        <v>354881.023568832</v>
      </c>
      <c r="AH364" s="6" t="n">
        <f aca="false">MAX(AG364,AB364)</f>
        <v>448485.144153982</v>
      </c>
      <c r="AI364" s="6" t="n">
        <f aca="false">MAX(AH364,AC364)</f>
        <v>502292.63662098</v>
      </c>
      <c r="AJ364" s="6" t="n">
        <f aca="false">MAX(AI364,AD364)</f>
        <v>528039.582098715</v>
      </c>
      <c r="AK364" s="6" t="n">
        <f aca="false">MAX(AJ364,AE364)</f>
        <v>614149.488152215</v>
      </c>
      <c r="AL364" s="8" t="n">
        <f aca="false">MIN(Z364/AF364-1,AA364/AG364-1,AB364/AH364-1,AC364/AI364-1,AD364/AJ364-1,AE364/AK364-1)</f>
        <v>-0.0317686071993452</v>
      </c>
      <c r="AM364" s="6" t="n">
        <f aca="false">AE364-Assumptions!$B$35</f>
        <v>172885.491489712</v>
      </c>
    </row>
    <row r="365" customFormat="false" ht="15" hidden="false" customHeight="false" outlineLevel="0" collapsed="false">
      <c r="A365" s="0" t="n">
        <f aca="false">ROW()-1</f>
        <v>364</v>
      </c>
      <c r="B365" s="0" t="str">
        <f aca="true">IF(RAND()&lt;Assumptions!$B$11,"Bull","Bear")</f>
        <v>Bull</v>
      </c>
      <c r="C365" s="0" t="str">
        <f aca="true">IF(B365="Bull",IF(RAND()&lt;Assumptions!$B$7,"Bull","Bear"),IF(RAND()&lt;Assumptions!$B$10,"Bear","Bull"))</f>
        <v>Bull</v>
      </c>
      <c r="D365" s="0" t="str">
        <f aca="true">IF(C365="Bull",IF(RAND()&lt;Assumptions!$B$7,"Bull","Bear"),IF(RAND()&lt;Assumptions!$B$10,"Bear","Bull"))</f>
        <v>Bear</v>
      </c>
      <c r="E365" s="0" t="str">
        <f aca="true">IF(D365="Bull",IF(RAND()&lt;Assumptions!$B$7,"Bull","Bear"),IF(RAND()&lt;Assumptions!$B$10,"Bear","Bull"))</f>
        <v>Bear</v>
      </c>
      <c r="F365" s="0" t="str">
        <f aca="true">IF(E365="Bull",IF(RAND()&lt;Assumptions!$B$7,"Bull","Bear"),IF(RAND()&lt;Assumptions!$B$10,"Bear","Bull"))</f>
        <v>Bull</v>
      </c>
      <c r="G365" s="0" t="str">
        <f aca="true">IF(F365="Bull",IF(RAND()&lt;Assumptions!$B$7,"Bull","Bear"),IF(RAND()&lt;Assumptions!$B$10,"Bear","Bull"))</f>
        <v>Bull</v>
      </c>
      <c r="H365" s="8" t="n">
        <f aca="true">IF(B365="Bull",NORMINV(RAND(),Assumptions!$B$5,Assumptions!$B$6),NORMINV(RAND(),Assumptions!$B$8,Assumptions!$B$9))</f>
        <v>0.189132518353268</v>
      </c>
      <c r="I365" s="8" t="n">
        <f aca="true">IF(C365="Bull",NORMINV(RAND(),Assumptions!$B$5,Assumptions!$B$6),NORMINV(RAND(),Assumptions!$B$8,Assumptions!$B$9))</f>
        <v>0.191096415806724</v>
      </c>
      <c r="J365" s="8" t="n">
        <f aca="true">IF(D365="Bull",NORMINV(RAND(),Assumptions!$B$5,Assumptions!$B$6),NORMINV(RAND(),Assumptions!$B$8,Assumptions!$B$9))</f>
        <v>0.105980908736406</v>
      </c>
      <c r="K365" s="8" t="n">
        <f aca="true">IF(E365="Bull",NORMINV(RAND(),Assumptions!$B$5,Assumptions!$B$6),NORMINV(RAND(),Assumptions!$B$8,Assumptions!$B$9))</f>
        <v>0.0964630356150206</v>
      </c>
      <c r="L365" s="8" t="n">
        <f aca="true">IF(F365="Bull",NORMINV(RAND(),Assumptions!$B$5,Assumptions!$B$6),NORMINV(RAND(),Assumptions!$B$8,Assumptions!$B$9))</f>
        <v>0.0510733248595657</v>
      </c>
      <c r="M365" s="8" t="n">
        <f aca="true">IF(G365="Bull",NORMINV(RAND(),Assumptions!$B$5,Assumptions!$B$6),NORMINV(RAND(),Assumptions!$B$8,Assumptions!$B$9))</f>
        <v>0.130420191716801</v>
      </c>
      <c r="N365" s="8" t="n">
        <f aca="true">NORMINV(RAND(),Assumptions!$B$14,Assumptions!$B$15)</f>
        <v>0.0647868349547112</v>
      </c>
      <c r="O365" s="8" t="n">
        <f aca="true">NORMINV(RAND(),Assumptions!$B$14,Assumptions!$B$15)</f>
        <v>0.0260016042301776</v>
      </c>
      <c r="P365" s="8" t="n">
        <f aca="true">NORMINV(RAND(),Assumptions!$B$14,Assumptions!$B$15)</f>
        <v>0.0593760483594138</v>
      </c>
      <c r="Q365" s="8" t="n">
        <f aca="true">NORMINV(RAND(),Assumptions!$B$14,Assumptions!$B$15)</f>
        <v>0.00636461159559035</v>
      </c>
      <c r="R365" s="8" t="n">
        <f aca="true">NORMINV(RAND(),Assumptions!$B$14,Assumptions!$B$15)</f>
        <v>0.0650142679768387</v>
      </c>
      <c r="S365" s="8" t="n">
        <f aca="true">NORMINV(RAND(),Assumptions!$B$14,Assumptions!$B$15)</f>
        <v>0.078682251288555</v>
      </c>
      <c r="T365" s="8" t="n">
        <f aca="false">Assumptions!$B$19*H365+(1-Assumptions!$B$19)*N365</f>
        <v>0.189132518353268</v>
      </c>
      <c r="U365" s="8" t="n">
        <f aca="false">Assumptions!$B$20*I365+(1-Assumptions!$B$20)*O365</f>
        <v>0.191096415806724</v>
      </c>
      <c r="V365" s="8" t="n">
        <f aca="false">Assumptions!$B$21*J365+(1-Assumptions!$B$21)*P365</f>
        <v>0.105980908736406</v>
      </c>
      <c r="W365" s="8" t="n">
        <f aca="false">Assumptions!$B$22*K365+(1-Assumptions!$B$22)*Q365</f>
        <v>0.0964630356150206</v>
      </c>
      <c r="X365" s="8" t="n">
        <f aca="false">Assumptions!$B$23*L365+(1-Assumptions!$B$23)*R365</f>
        <v>0.0538615134830203</v>
      </c>
      <c r="Y365" s="8" t="n">
        <f aca="false">Assumptions!$B$24*M365+(1-Assumptions!$B$24)*S365</f>
        <v>0.109725015545503</v>
      </c>
      <c r="Z365" s="6" t="n">
        <f aca="false">Assumptions!$B$27*(1+T365)</f>
        <v>356739.75550598</v>
      </c>
      <c r="AA365" s="6" t="n">
        <f aca="false">(Z365+Assumptions!$B$28)*(1+U365)</f>
        <v>603575.906529949</v>
      </c>
      <c r="AB365" s="6" t="n">
        <f aca="false">AA365*(1+V365)</f>
        <v>667543.429595393</v>
      </c>
      <c r="AC365" s="6" t="n">
        <f aca="false">AB365*(1+W365)</f>
        <v>731936.695219026</v>
      </c>
      <c r="AD365" s="6" t="n">
        <f aca="false">AC365*(1+X365)</f>
        <v>771359.913397283</v>
      </c>
      <c r="AE365" s="6" t="n">
        <f aca="false">AD365*(1+Y365)</f>
        <v>855997.391885978</v>
      </c>
      <c r="AF365" s="6" t="n">
        <f aca="false">Z365</f>
        <v>356739.75550598</v>
      </c>
      <c r="AG365" s="6" t="n">
        <f aca="false">MAX(AF365,AA365)</f>
        <v>603575.906529949</v>
      </c>
      <c r="AH365" s="6" t="n">
        <f aca="false">MAX(AG365,AB365)</f>
        <v>667543.429595393</v>
      </c>
      <c r="AI365" s="6" t="n">
        <f aca="false">MAX(AH365,AC365)</f>
        <v>731936.695219026</v>
      </c>
      <c r="AJ365" s="6" t="n">
        <f aca="false">MAX(AI365,AD365)</f>
        <v>771359.913397283</v>
      </c>
      <c r="AK365" s="6" t="n">
        <f aca="false">MAX(AJ365,AE365)</f>
        <v>855997.391885978</v>
      </c>
      <c r="AL365" s="8" t="n">
        <f aca="false">MIN(Z365/AF365-1,AA365/AG365-1,AB365/AH365-1,AC365/AI365-1,AD365/AJ365-1,AE365/AK365-1)</f>
        <v>0</v>
      </c>
      <c r="AM365" s="6" t="n">
        <f aca="false">AE365-Assumptions!$B$35</f>
        <v>414733.395223474</v>
      </c>
    </row>
    <row r="366" customFormat="false" ht="15" hidden="false" customHeight="false" outlineLevel="0" collapsed="false">
      <c r="A366" s="0" t="n">
        <f aca="false">ROW()-1</f>
        <v>365</v>
      </c>
      <c r="B366" s="0" t="str">
        <f aca="true">IF(RAND()&lt;Assumptions!$B$11,"Bull","Bear")</f>
        <v>Bull</v>
      </c>
      <c r="C366" s="0" t="str">
        <f aca="true">IF(B366="Bull",IF(RAND()&lt;Assumptions!$B$7,"Bull","Bear"),IF(RAND()&lt;Assumptions!$B$10,"Bear","Bull"))</f>
        <v>Bull</v>
      </c>
      <c r="D366" s="0" t="str">
        <f aca="true">IF(C366="Bull",IF(RAND()&lt;Assumptions!$B$7,"Bull","Bear"),IF(RAND()&lt;Assumptions!$B$10,"Bear","Bull"))</f>
        <v>Bull</v>
      </c>
      <c r="E366" s="0" t="str">
        <f aca="true">IF(D366="Bull",IF(RAND()&lt;Assumptions!$B$7,"Bull","Bear"),IF(RAND()&lt;Assumptions!$B$10,"Bear","Bull"))</f>
        <v>Bull</v>
      </c>
      <c r="F366" s="0" t="str">
        <f aca="true">IF(E366="Bull",IF(RAND()&lt;Assumptions!$B$7,"Bull","Bear"),IF(RAND()&lt;Assumptions!$B$10,"Bear","Bull"))</f>
        <v>Bull</v>
      </c>
      <c r="G366" s="0" t="str">
        <f aca="true">IF(F366="Bull",IF(RAND()&lt;Assumptions!$B$7,"Bull","Bear"),IF(RAND()&lt;Assumptions!$B$10,"Bear","Bull"))</f>
        <v>Bull</v>
      </c>
      <c r="H366" s="8" t="n">
        <f aca="true">IF(B366="Bull",NORMINV(RAND(),Assumptions!$B$5,Assumptions!$B$6),NORMINV(RAND(),Assumptions!$B$8,Assumptions!$B$9))</f>
        <v>-0.0116968608044222</v>
      </c>
      <c r="I366" s="8" t="n">
        <f aca="true">IF(C366="Bull",NORMINV(RAND(),Assumptions!$B$5,Assumptions!$B$6),NORMINV(RAND(),Assumptions!$B$8,Assumptions!$B$9))</f>
        <v>0.116555842366841</v>
      </c>
      <c r="J366" s="8" t="n">
        <f aca="true">IF(D366="Bull",NORMINV(RAND(),Assumptions!$B$5,Assumptions!$B$6),NORMINV(RAND(),Assumptions!$B$8,Assumptions!$B$9))</f>
        <v>0.122061992913621</v>
      </c>
      <c r="K366" s="8" t="n">
        <f aca="true">IF(E366="Bull",NORMINV(RAND(),Assumptions!$B$5,Assumptions!$B$6),NORMINV(RAND(),Assumptions!$B$8,Assumptions!$B$9))</f>
        <v>0.00152523701466006</v>
      </c>
      <c r="L366" s="8" t="n">
        <f aca="true">IF(F366="Bull",NORMINV(RAND(),Assumptions!$B$5,Assumptions!$B$6),NORMINV(RAND(),Assumptions!$B$8,Assumptions!$B$9))</f>
        <v>0.271778165532259</v>
      </c>
      <c r="M366" s="8" t="n">
        <f aca="true">IF(G366="Bull",NORMINV(RAND(),Assumptions!$B$5,Assumptions!$B$6),NORMINV(RAND(),Assumptions!$B$8,Assumptions!$B$9))</f>
        <v>0.169379824149942</v>
      </c>
      <c r="N366" s="8" t="n">
        <f aca="true">NORMINV(RAND(),Assumptions!$B$14,Assumptions!$B$15)</f>
        <v>0.0411300987332333</v>
      </c>
      <c r="O366" s="8" t="n">
        <f aca="true">NORMINV(RAND(),Assumptions!$B$14,Assumptions!$B$15)</f>
        <v>0.0411859054478294</v>
      </c>
      <c r="P366" s="8" t="n">
        <f aca="true">NORMINV(RAND(),Assumptions!$B$14,Assumptions!$B$15)</f>
        <v>0.0438499642500251</v>
      </c>
      <c r="Q366" s="8" t="n">
        <f aca="true">NORMINV(RAND(),Assumptions!$B$14,Assumptions!$B$15)</f>
        <v>0.0430081187463826</v>
      </c>
      <c r="R366" s="8" t="n">
        <f aca="true">NORMINV(RAND(),Assumptions!$B$14,Assumptions!$B$15)</f>
        <v>0.0374390761528062</v>
      </c>
      <c r="S366" s="8" t="n">
        <f aca="true">NORMINV(RAND(),Assumptions!$B$14,Assumptions!$B$15)</f>
        <v>0.0507742554548608</v>
      </c>
      <c r="T366" s="8" t="n">
        <f aca="false">Assumptions!$B$19*H366+(1-Assumptions!$B$19)*N366</f>
        <v>-0.0116968608044222</v>
      </c>
      <c r="U366" s="8" t="n">
        <f aca="false">Assumptions!$B$20*I366+(1-Assumptions!$B$20)*O366</f>
        <v>0.116555842366841</v>
      </c>
      <c r="V366" s="8" t="n">
        <f aca="false">Assumptions!$B$21*J366+(1-Assumptions!$B$21)*P366</f>
        <v>0.122061992913621</v>
      </c>
      <c r="W366" s="8" t="n">
        <f aca="false">Assumptions!$B$22*K366+(1-Assumptions!$B$22)*Q366</f>
        <v>0.00152523701466006</v>
      </c>
      <c r="X366" s="8" t="n">
        <f aca="false">Assumptions!$B$23*L366+(1-Assumptions!$B$23)*R366</f>
        <v>0.224910347656369</v>
      </c>
      <c r="Y366" s="8" t="n">
        <f aca="false">Assumptions!$B$24*M366+(1-Assumptions!$B$24)*S366</f>
        <v>0.12193759667191</v>
      </c>
      <c r="Z366" s="6" t="n">
        <f aca="false">Assumptions!$B$27*(1+T366)</f>
        <v>296490.941758673</v>
      </c>
      <c r="AA366" s="6" t="n">
        <f aca="false">(Z366+Assumptions!$B$28)*(1+U366)</f>
        <v>498532.06958452</v>
      </c>
      <c r="AB366" s="6" t="n">
        <f aca="false">AA366*(1+V366)</f>
        <v>559383.887529358</v>
      </c>
      <c r="AC366" s="6" t="n">
        <f aca="false">AB366*(1+W366)</f>
        <v>560237.080540023</v>
      </c>
      <c r="AD366" s="6" t="n">
        <f aca="false">AC366*(1+X366)</f>
        <v>686240.197094268</v>
      </c>
      <c r="AE366" s="6" t="n">
        <f aca="false">AD366*(1+Y366)</f>
        <v>769918.677467601</v>
      </c>
      <c r="AF366" s="6" t="n">
        <f aca="false">Z366</f>
        <v>296490.941758673</v>
      </c>
      <c r="AG366" s="6" t="n">
        <f aca="false">MAX(AF366,AA366)</f>
        <v>498532.06958452</v>
      </c>
      <c r="AH366" s="6" t="n">
        <f aca="false">MAX(AG366,AB366)</f>
        <v>559383.887529358</v>
      </c>
      <c r="AI366" s="6" t="n">
        <f aca="false">MAX(AH366,AC366)</f>
        <v>560237.080540023</v>
      </c>
      <c r="AJ366" s="6" t="n">
        <f aca="false">MAX(AI366,AD366)</f>
        <v>686240.197094268</v>
      </c>
      <c r="AK366" s="6" t="n">
        <f aca="false">MAX(AJ366,AE366)</f>
        <v>769918.677467601</v>
      </c>
      <c r="AL366" s="8" t="n">
        <f aca="false">MIN(Z366/AF366-1,AA366/AG366-1,AB366/AH366-1,AC366/AI366-1,AD366/AJ366-1,AE366/AK366-1)</f>
        <v>0</v>
      </c>
      <c r="AM366" s="6" t="n">
        <f aca="false">AE366-Assumptions!$B$35</f>
        <v>328654.680805097</v>
      </c>
    </row>
    <row r="367" customFormat="false" ht="15" hidden="false" customHeight="false" outlineLevel="0" collapsed="false">
      <c r="A367" s="0" t="n">
        <f aca="false">ROW()-1</f>
        <v>366</v>
      </c>
      <c r="B367" s="0" t="str">
        <f aca="true">IF(RAND()&lt;Assumptions!$B$11,"Bull","Bear")</f>
        <v>Bull</v>
      </c>
      <c r="C367" s="0" t="str">
        <f aca="true">IF(B367="Bull",IF(RAND()&lt;Assumptions!$B$7,"Bull","Bear"),IF(RAND()&lt;Assumptions!$B$10,"Bear","Bull"))</f>
        <v>Bull</v>
      </c>
      <c r="D367" s="0" t="str">
        <f aca="true">IF(C367="Bull",IF(RAND()&lt;Assumptions!$B$7,"Bull","Bear"),IF(RAND()&lt;Assumptions!$B$10,"Bear","Bull"))</f>
        <v>Bull</v>
      </c>
      <c r="E367" s="0" t="str">
        <f aca="true">IF(D367="Bull",IF(RAND()&lt;Assumptions!$B$7,"Bull","Bear"),IF(RAND()&lt;Assumptions!$B$10,"Bear","Bull"))</f>
        <v>Bear</v>
      </c>
      <c r="F367" s="0" t="str">
        <f aca="true">IF(E367="Bull",IF(RAND()&lt;Assumptions!$B$7,"Bull","Bear"),IF(RAND()&lt;Assumptions!$B$10,"Bear","Bull"))</f>
        <v>Bull</v>
      </c>
      <c r="G367" s="0" t="str">
        <f aca="true">IF(F367="Bull",IF(RAND()&lt;Assumptions!$B$7,"Bull","Bear"),IF(RAND()&lt;Assumptions!$B$10,"Bear","Bull"))</f>
        <v>Bull</v>
      </c>
      <c r="H367" s="8" t="n">
        <f aca="true">IF(B367="Bull",NORMINV(RAND(),Assumptions!$B$5,Assumptions!$B$6),NORMINV(RAND(),Assumptions!$B$8,Assumptions!$B$9))</f>
        <v>0.36596399464166</v>
      </c>
      <c r="I367" s="8" t="n">
        <f aca="true">IF(C367="Bull",NORMINV(RAND(),Assumptions!$B$5,Assumptions!$B$6),NORMINV(RAND(),Assumptions!$B$8,Assumptions!$B$9))</f>
        <v>0.205349931348331</v>
      </c>
      <c r="J367" s="8" t="n">
        <f aca="true">IF(D367="Bull",NORMINV(RAND(),Assumptions!$B$5,Assumptions!$B$6),NORMINV(RAND(),Assumptions!$B$8,Assumptions!$B$9))</f>
        <v>0.153487990065291</v>
      </c>
      <c r="K367" s="8" t="n">
        <f aca="true">IF(E367="Bull",NORMINV(RAND(),Assumptions!$B$5,Assumptions!$B$6),NORMINV(RAND(),Assumptions!$B$8,Assumptions!$B$9))</f>
        <v>-0.101144874212104</v>
      </c>
      <c r="L367" s="8" t="n">
        <f aca="true">IF(F367="Bull",NORMINV(RAND(),Assumptions!$B$5,Assumptions!$B$6),NORMINV(RAND(),Assumptions!$B$8,Assumptions!$B$9))</f>
        <v>0.236853519547081</v>
      </c>
      <c r="M367" s="8" t="n">
        <f aca="true">IF(G367="Bull",NORMINV(RAND(),Assumptions!$B$5,Assumptions!$B$6),NORMINV(RAND(),Assumptions!$B$8,Assumptions!$B$9))</f>
        <v>0.179224073033157</v>
      </c>
      <c r="N367" s="8" t="n">
        <f aca="true">NORMINV(RAND(),Assumptions!$B$14,Assumptions!$B$15)</f>
        <v>0.0671862031360483</v>
      </c>
      <c r="O367" s="8" t="n">
        <f aca="true">NORMINV(RAND(),Assumptions!$B$14,Assumptions!$B$15)</f>
        <v>0.0393479806088939</v>
      </c>
      <c r="P367" s="8" t="n">
        <f aca="true">NORMINV(RAND(),Assumptions!$B$14,Assumptions!$B$15)</f>
        <v>0.0737989932722313</v>
      </c>
      <c r="Q367" s="8" t="n">
        <f aca="true">NORMINV(RAND(),Assumptions!$B$14,Assumptions!$B$15)</f>
        <v>0.0443287969332776</v>
      </c>
      <c r="R367" s="8" t="n">
        <f aca="true">NORMINV(RAND(),Assumptions!$B$14,Assumptions!$B$15)</f>
        <v>0.00950389866396472</v>
      </c>
      <c r="S367" s="8" t="n">
        <f aca="true">NORMINV(RAND(),Assumptions!$B$14,Assumptions!$B$15)</f>
        <v>0.110525356942006</v>
      </c>
      <c r="T367" s="8" t="n">
        <f aca="false">Assumptions!$B$19*H367+(1-Assumptions!$B$19)*N367</f>
        <v>0.36596399464166</v>
      </c>
      <c r="U367" s="8" t="n">
        <f aca="false">Assumptions!$B$20*I367+(1-Assumptions!$B$20)*O367</f>
        <v>0.205349931348331</v>
      </c>
      <c r="V367" s="8" t="n">
        <f aca="false">Assumptions!$B$21*J367+(1-Assumptions!$B$21)*P367</f>
        <v>0.153487990065291</v>
      </c>
      <c r="W367" s="8" t="n">
        <f aca="false">Assumptions!$B$22*K367+(1-Assumptions!$B$22)*Q367</f>
        <v>-0.101144874212104</v>
      </c>
      <c r="X367" s="8" t="n">
        <f aca="false">Assumptions!$B$23*L367+(1-Assumptions!$B$23)*R367</f>
        <v>0.191383595370458</v>
      </c>
      <c r="Y367" s="8" t="n">
        <f aca="false">Assumptions!$B$24*M367+(1-Assumptions!$B$24)*S367</f>
        <v>0.151744586596697</v>
      </c>
      <c r="Z367" s="6" t="n">
        <f aca="false">Assumptions!$B$27*(1+T367)</f>
        <v>409789.198392498</v>
      </c>
      <c r="AA367" s="6" t="n">
        <f aca="false">(Z367+Assumptions!$B$28)*(1+U367)</f>
        <v>674741.871851935</v>
      </c>
      <c r="AB367" s="6" t="n">
        <f aca="false">AA367*(1+V367)</f>
        <v>778306.64557538</v>
      </c>
      <c r="AC367" s="6" t="n">
        <f aca="false">AB367*(1+W367)</f>
        <v>699584.917810214</v>
      </c>
      <c r="AD367" s="6" t="n">
        <f aca="false">AC367*(1+X367)</f>
        <v>833473.994647679</v>
      </c>
      <c r="AE367" s="6" t="n">
        <f aca="false">AD367*(1+Y367)</f>
        <v>959949.161404588</v>
      </c>
      <c r="AF367" s="6" t="n">
        <f aca="false">Z367</f>
        <v>409789.198392498</v>
      </c>
      <c r="AG367" s="6" t="n">
        <f aca="false">MAX(AF367,AA367)</f>
        <v>674741.871851935</v>
      </c>
      <c r="AH367" s="6" t="n">
        <f aca="false">MAX(AG367,AB367)</f>
        <v>778306.64557538</v>
      </c>
      <c r="AI367" s="6" t="n">
        <f aca="false">MAX(AH367,AC367)</f>
        <v>778306.64557538</v>
      </c>
      <c r="AJ367" s="6" t="n">
        <f aca="false">MAX(AI367,AD367)</f>
        <v>833473.994647679</v>
      </c>
      <c r="AK367" s="6" t="n">
        <f aca="false">MAX(AJ367,AE367)</f>
        <v>959949.161404588</v>
      </c>
      <c r="AL367" s="8" t="n">
        <f aca="false">MIN(Z367/AF367-1,AA367/AG367-1,AB367/AH367-1,AC367/AI367-1,AD367/AJ367-1,AE367/AK367-1)</f>
        <v>-0.101144874212104</v>
      </c>
      <c r="AM367" s="6" t="n">
        <f aca="false">AE367-Assumptions!$B$35</f>
        <v>518685.164742084</v>
      </c>
    </row>
    <row r="368" customFormat="false" ht="15" hidden="false" customHeight="false" outlineLevel="0" collapsed="false">
      <c r="A368" s="0" t="n">
        <f aca="false">ROW()-1</f>
        <v>367</v>
      </c>
      <c r="B368" s="0" t="str">
        <f aca="true">IF(RAND()&lt;Assumptions!$B$11,"Bull","Bear")</f>
        <v>Bull</v>
      </c>
      <c r="C368" s="0" t="str">
        <f aca="true">IF(B368="Bull",IF(RAND()&lt;Assumptions!$B$7,"Bull","Bear"),IF(RAND()&lt;Assumptions!$B$10,"Bear","Bull"))</f>
        <v>Bull</v>
      </c>
      <c r="D368" s="0" t="str">
        <f aca="true">IF(C368="Bull",IF(RAND()&lt;Assumptions!$B$7,"Bull","Bear"),IF(RAND()&lt;Assumptions!$B$10,"Bear","Bull"))</f>
        <v>Bull</v>
      </c>
      <c r="E368" s="0" t="str">
        <f aca="true">IF(D368="Bull",IF(RAND()&lt;Assumptions!$B$7,"Bull","Bear"),IF(RAND()&lt;Assumptions!$B$10,"Bear","Bull"))</f>
        <v>Bull</v>
      </c>
      <c r="F368" s="0" t="str">
        <f aca="true">IF(E368="Bull",IF(RAND()&lt;Assumptions!$B$7,"Bull","Bear"),IF(RAND()&lt;Assumptions!$B$10,"Bear","Bull"))</f>
        <v>Bull</v>
      </c>
      <c r="G368" s="0" t="str">
        <f aca="true">IF(F368="Bull",IF(RAND()&lt;Assumptions!$B$7,"Bull","Bear"),IF(RAND()&lt;Assumptions!$B$10,"Bear","Bull"))</f>
        <v>Bull</v>
      </c>
      <c r="H368" s="8" t="n">
        <f aca="true">IF(B368="Bull",NORMINV(RAND(),Assumptions!$B$5,Assumptions!$B$6),NORMINV(RAND(),Assumptions!$B$8,Assumptions!$B$9))</f>
        <v>0.223446583113781</v>
      </c>
      <c r="I368" s="8" t="n">
        <f aca="true">IF(C368="Bull",NORMINV(RAND(),Assumptions!$B$5,Assumptions!$B$6),NORMINV(RAND(),Assumptions!$B$8,Assumptions!$B$9))</f>
        <v>0.0938798544776705</v>
      </c>
      <c r="J368" s="8" t="n">
        <f aca="true">IF(D368="Bull",NORMINV(RAND(),Assumptions!$B$5,Assumptions!$B$6),NORMINV(RAND(),Assumptions!$B$8,Assumptions!$B$9))</f>
        <v>0.132337446680039</v>
      </c>
      <c r="K368" s="8" t="n">
        <f aca="true">IF(E368="Bull",NORMINV(RAND(),Assumptions!$B$5,Assumptions!$B$6),NORMINV(RAND(),Assumptions!$B$8,Assumptions!$B$9))</f>
        <v>0.435475569397525</v>
      </c>
      <c r="L368" s="8" t="n">
        <f aca="true">IF(F368="Bull",NORMINV(RAND(),Assumptions!$B$5,Assumptions!$B$6),NORMINV(RAND(),Assumptions!$B$8,Assumptions!$B$9))</f>
        <v>0.329007104055642</v>
      </c>
      <c r="M368" s="8" t="n">
        <f aca="true">IF(G368="Bull",NORMINV(RAND(),Assumptions!$B$5,Assumptions!$B$6),NORMINV(RAND(),Assumptions!$B$8,Assumptions!$B$9))</f>
        <v>0.100296337694681</v>
      </c>
      <c r="N368" s="8" t="n">
        <f aca="true">NORMINV(RAND(),Assumptions!$B$14,Assumptions!$B$15)</f>
        <v>0.0347969863901141</v>
      </c>
      <c r="O368" s="8" t="n">
        <f aca="true">NORMINV(RAND(),Assumptions!$B$14,Assumptions!$B$15)</f>
        <v>0.0019526436606486</v>
      </c>
      <c r="P368" s="8" t="n">
        <f aca="true">NORMINV(RAND(),Assumptions!$B$14,Assumptions!$B$15)</f>
        <v>0.0345779105568</v>
      </c>
      <c r="Q368" s="8" t="n">
        <f aca="true">NORMINV(RAND(),Assumptions!$B$14,Assumptions!$B$15)</f>
        <v>0.0977147325416941</v>
      </c>
      <c r="R368" s="8" t="n">
        <f aca="true">NORMINV(RAND(),Assumptions!$B$14,Assumptions!$B$15)</f>
        <v>0.0215796255242056</v>
      </c>
      <c r="S368" s="8" t="n">
        <f aca="true">NORMINV(RAND(),Assumptions!$B$14,Assumptions!$B$15)</f>
        <v>0.10620022555903</v>
      </c>
      <c r="T368" s="8" t="n">
        <f aca="false">Assumptions!$B$19*H368+(1-Assumptions!$B$19)*N368</f>
        <v>0.223446583113781</v>
      </c>
      <c r="U368" s="8" t="n">
        <f aca="false">Assumptions!$B$20*I368+(1-Assumptions!$B$20)*O368</f>
        <v>0.0938798544776705</v>
      </c>
      <c r="V368" s="8" t="n">
        <f aca="false">Assumptions!$B$21*J368+(1-Assumptions!$B$21)*P368</f>
        <v>0.132337446680039</v>
      </c>
      <c r="W368" s="8" t="n">
        <f aca="false">Assumptions!$B$22*K368+(1-Assumptions!$B$22)*Q368</f>
        <v>0.435475569397525</v>
      </c>
      <c r="X368" s="8" t="n">
        <f aca="false">Assumptions!$B$23*L368+(1-Assumptions!$B$23)*R368</f>
        <v>0.267521608349354</v>
      </c>
      <c r="Y368" s="8" t="n">
        <f aca="false">Assumptions!$B$24*M368+(1-Assumptions!$B$24)*S368</f>
        <v>0.102657892840421</v>
      </c>
      <c r="Z368" s="6" t="n">
        <f aca="false">Assumptions!$B$27*(1+T368)</f>
        <v>367033.974934134</v>
      </c>
      <c r="AA368" s="6" t="n">
        <f aca="false">(Z368+Assumptions!$B$28)*(1+U368)</f>
        <v>565573.049260962</v>
      </c>
      <c r="AB368" s="6" t="n">
        <f aca="false">AA368*(1+V368)</f>
        <v>640419.542511202</v>
      </c>
      <c r="AC368" s="6" t="n">
        <f aca="false">AB368*(1+W368)</f>
        <v>919306.60743957</v>
      </c>
      <c r="AD368" s="6" t="n">
        <f aca="false">AC368*(1+X368)</f>
        <v>1165240.98962799</v>
      </c>
      <c r="AE368" s="6" t="n">
        <f aca="false">AD368*(1+Y368)</f>
        <v>1284862.17427449</v>
      </c>
      <c r="AF368" s="6" t="n">
        <f aca="false">Z368</f>
        <v>367033.974934134</v>
      </c>
      <c r="AG368" s="6" t="n">
        <f aca="false">MAX(AF368,AA368)</f>
        <v>565573.049260962</v>
      </c>
      <c r="AH368" s="6" t="n">
        <f aca="false">MAX(AG368,AB368)</f>
        <v>640419.542511202</v>
      </c>
      <c r="AI368" s="6" t="n">
        <f aca="false">MAX(AH368,AC368)</f>
        <v>919306.60743957</v>
      </c>
      <c r="AJ368" s="6" t="n">
        <f aca="false">MAX(AI368,AD368)</f>
        <v>1165240.98962799</v>
      </c>
      <c r="AK368" s="6" t="n">
        <f aca="false">MAX(AJ368,AE368)</f>
        <v>1284862.17427449</v>
      </c>
      <c r="AL368" s="8" t="n">
        <f aca="false">MIN(Z368/AF368-1,AA368/AG368-1,AB368/AH368-1,AC368/AI368-1,AD368/AJ368-1,AE368/AK368-1)</f>
        <v>0</v>
      </c>
      <c r="AM368" s="6" t="n">
        <f aca="false">AE368-Assumptions!$B$35</f>
        <v>843598.177611986</v>
      </c>
    </row>
    <row r="369" customFormat="false" ht="15" hidden="false" customHeight="false" outlineLevel="0" collapsed="false">
      <c r="A369" s="0" t="n">
        <f aca="false">ROW()-1</f>
        <v>368</v>
      </c>
      <c r="B369" s="0" t="str">
        <f aca="true">IF(RAND()&lt;Assumptions!$B$11,"Bull","Bear")</f>
        <v>Bull</v>
      </c>
      <c r="C369" s="0" t="str">
        <f aca="true">IF(B369="Bull",IF(RAND()&lt;Assumptions!$B$7,"Bull","Bear"),IF(RAND()&lt;Assumptions!$B$10,"Bear","Bull"))</f>
        <v>Bull</v>
      </c>
      <c r="D369" s="0" t="str">
        <f aca="true">IF(C369="Bull",IF(RAND()&lt;Assumptions!$B$7,"Bull","Bear"),IF(RAND()&lt;Assumptions!$B$10,"Bear","Bull"))</f>
        <v>Bull</v>
      </c>
      <c r="E369" s="0" t="str">
        <f aca="true">IF(D369="Bull",IF(RAND()&lt;Assumptions!$B$7,"Bull","Bear"),IF(RAND()&lt;Assumptions!$B$10,"Bear","Bull"))</f>
        <v>Bull</v>
      </c>
      <c r="F369" s="0" t="str">
        <f aca="true">IF(E369="Bull",IF(RAND()&lt;Assumptions!$B$7,"Bull","Bear"),IF(RAND()&lt;Assumptions!$B$10,"Bear","Bull"))</f>
        <v>Bull</v>
      </c>
      <c r="G369" s="0" t="str">
        <f aca="true">IF(F369="Bull",IF(RAND()&lt;Assumptions!$B$7,"Bull","Bear"),IF(RAND()&lt;Assumptions!$B$10,"Bear","Bull"))</f>
        <v>Bear</v>
      </c>
      <c r="H369" s="8" t="n">
        <f aca="true">IF(B369="Bull",NORMINV(RAND(),Assumptions!$B$5,Assumptions!$B$6),NORMINV(RAND(),Assumptions!$B$8,Assumptions!$B$9))</f>
        <v>0.233786980526578</v>
      </c>
      <c r="I369" s="8" t="n">
        <f aca="true">IF(C369="Bull",NORMINV(RAND(),Assumptions!$B$5,Assumptions!$B$6),NORMINV(RAND(),Assumptions!$B$8,Assumptions!$B$9))</f>
        <v>0.187853426906483</v>
      </c>
      <c r="J369" s="8" t="n">
        <f aca="true">IF(D369="Bull",NORMINV(RAND(),Assumptions!$B$5,Assumptions!$B$6),NORMINV(RAND(),Assumptions!$B$8,Assumptions!$B$9))</f>
        <v>0.233187369425754</v>
      </c>
      <c r="K369" s="8" t="n">
        <f aca="true">IF(E369="Bull",NORMINV(RAND(),Assumptions!$B$5,Assumptions!$B$6),NORMINV(RAND(),Assumptions!$B$8,Assumptions!$B$9))</f>
        <v>0.0719095087737805</v>
      </c>
      <c r="L369" s="8" t="n">
        <f aca="true">IF(F369="Bull",NORMINV(RAND(),Assumptions!$B$5,Assumptions!$B$6),NORMINV(RAND(),Assumptions!$B$8,Assumptions!$B$9))</f>
        <v>0.17962027186229</v>
      </c>
      <c r="M369" s="8" t="n">
        <f aca="true">IF(G369="Bull",NORMINV(RAND(),Assumptions!$B$5,Assumptions!$B$6),NORMINV(RAND(),Assumptions!$B$8,Assumptions!$B$9))</f>
        <v>-0.148570051136766</v>
      </c>
      <c r="N369" s="8" t="n">
        <f aca="true">NORMINV(RAND(),Assumptions!$B$14,Assumptions!$B$15)</f>
        <v>0.0781671161690973</v>
      </c>
      <c r="O369" s="8" t="n">
        <f aca="true">NORMINV(RAND(),Assumptions!$B$14,Assumptions!$B$15)</f>
        <v>0.0187674443266177</v>
      </c>
      <c r="P369" s="8" t="n">
        <f aca="true">NORMINV(RAND(),Assumptions!$B$14,Assumptions!$B$15)</f>
        <v>0.0554686209381083</v>
      </c>
      <c r="Q369" s="8" t="n">
        <f aca="true">NORMINV(RAND(),Assumptions!$B$14,Assumptions!$B$15)</f>
        <v>0.0724889257124636</v>
      </c>
      <c r="R369" s="8" t="n">
        <f aca="true">NORMINV(RAND(),Assumptions!$B$14,Assumptions!$B$15)</f>
        <v>0.042911757965306</v>
      </c>
      <c r="S369" s="8" t="n">
        <f aca="true">NORMINV(RAND(),Assumptions!$B$14,Assumptions!$B$15)</f>
        <v>0.0138771922712052</v>
      </c>
      <c r="T369" s="8" t="n">
        <f aca="false">Assumptions!$B$19*H369+(1-Assumptions!$B$19)*N369</f>
        <v>0.233786980526578</v>
      </c>
      <c r="U369" s="8" t="n">
        <f aca="false">Assumptions!$B$20*I369+(1-Assumptions!$B$20)*O369</f>
        <v>0.187853426906483</v>
      </c>
      <c r="V369" s="8" t="n">
        <f aca="false">Assumptions!$B$21*J369+(1-Assumptions!$B$21)*P369</f>
        <v>0.233187369425754</v>
      </c>
      <c r="W369" s="8" t="n">
        <f aca="false">Assumptions!$B$22*K369+(1-Assumptions!$B$22)*Q369</f>
        <v>0.0719095087737805</v>
      </c>
      <c r="X369" s="8" t="n">
        <f aca="false">Assumptions!$B$23*L369+(1-Assumptions!$B$23)*R369</f>
        <v>0.152278569082893</v>
      </c>
      <c r="Y369" s="8" t="n">
        <f aca="false">Assumptions!$B$24*M369+(1-Assumptions!$B$24)*S369</f>
        <v>-0.0835911537735772</v>
      </c>
      <c r="Z369" s="6" t="n">
        <f aca="false">Assumptions!$B$27*(1+T369)</f>
        <v>370136.094157973</v>
      </c>
      <c r="AA369" s="6" t="n">
        <f aca="false">(Z369+Assumptions!$B$28)*(1+U369)</f>
        <v>617845.441903302</v>
      </c>
      <c r="AB369" s="6" t="n">
        <f aca="false">AA369*(1+V369)</f>
        <v>761919.195212425</v>
      </c>
      <c r="AC369" s="6" t="n">
        <f aca="false">AB369*(1+W369)</f>
        <v>816708.430265465</v>
      </c>
      <c r="AD369" s="6" t="n">
        <f aca="false">AC369*(1+X369)</f>
        <v>941075.621384225</v>
      </c>
      <c r="AE369" s="6" t="n">
        <f aca="false">AD369*(1+Y369)</f>
        <v>862410.024404532</v>
      </c>
      <c r="AF369" s="6" t="n">
        <f aca="false">Z369</f>
        <v>370136.094157973</v>
      </c>
      <c r="AG369" s="6" t="n">
        <f aca="false">MAX(AF369,AA369)</f>
        <v>617845.441903302</v>
      </c>
      <c r="AH369" s="6" t="n">
        <f aca="false">MAX(AG369,AB369)</f>
        <v>761919.195212425</v>
      </c>
      <c r="AI369" s="6" t="n">
        <f aca="false">MAX(AH369,AC369)</f>
        <v>816708.430265465</v>
      </c>
      <c r="AJ369" s="6" t="n">
        <f aca="false">MAX(AI369,AD369)</f>
        <v>941075.621384225</v>
      </c>
      <c r="AK369" s="6" t="n">
        <f aca="false">MAX(AJ369,AE369)</f>
        <v>941075.621384225</v>
      </c>
      <c r="AL369" s="8" t="n">
        <f aca="false">MIN(Z369/AF369-1,AA369/AG369-1,AB369/AH369-1,AC369/AI369-1,AD369/AJ369-1,AE369/AK369-1)</f>
        <v>-0.0835911537735772</v>
      </c>
      <c r="AM369" s="6" t="n">
        <f aca="false">AE369-Assumptions!$B$35</f>
        <v>421146.027742028</v>
      </c>
    </row>
    <row r="370" customFormat="false" ht="15" hidden="false" customHeight="false" outlineLevel="0" collapsed="false">
      <c r="A370" s="0" t="n">
        <f aca="false">ROW()-1</f>
        <v>369</v>
      </c>
      <c r="B370" s="0" t="str">
        <f aca="true">IF(RAND()&lt;Assumptions!$B$11,"Bull","Bear")</f>
        <v>Bear</v>
      </c>
      <c r="C370" s="0" t="str">
        <f aca="true">IF(B370="Bull",IF(RAND()&lt;Assumptions!$B$7,"Bull","Bear"),IF(RAND()&lt;Assumptions!$B$10,"Bear","Bull"))</f>
        <v>Bull</v>
      </c>
      <c r="D370" s="0" t="str">
        <f aca="true">IF(C370="Bull",IF(RAND()&lt;Assumptions!$B$7,"Bull","Bear"),IF(RAND()&lt;Assumptions!$B$10,"Bear","Bull"))</f>
        <v>Bull</v>
      </c>
      <c r="E370" s="0" t="str">
        <f aca="true">IF(D370="Bull",IF(RAND()&lt;Assumptions!$B$7,"Bull","Bear"),IF(RAND()&lt;Assumptions!$B$10,"Bear","Bull"))</f>
        <v>Bull</v>
      </c>
      <c r="F370" s="0" t="str">
        <f aca="true">IF(E370="Bull",IF(RAND()&lt;Assumptions!$B$7,"Bull","Bear"),IF(RAND()&lt;Assumptions!$B$10,"Bear","Bull"))</f>
        <v>Bull</v>
      </c>
      <c r="G370" s="0" t="str">
        <f aca="true">IF(F370="Bull",IF(RAND()&lt;Assumptions!$B$7,"Bull","Bear"),IF(RAND()&lt;Assumptions!$B$10,"Bear","Bull"))</f>
        <v>Bull</v>
      </c>
      <c r="H370" s="8" t="n">
        <f aca="true">IF(B370="Bull",NORMINV(RAND(),Assumptions!$B$5,Assumptions!$B$6),NORMINV(RAND(),Assumptions!$B$8,Assumptions!$B$9))</f>
        <v>-0.276355237308655</v>
      </c>
      <c r="I370" s="8" t="n">
        <f aca="true">IF(C370="Bull",NORMINV(RAND(),Assumptions!$B$5,Assumptions!$B$6),NORMINV(RAND(),Assumptions!$B$8,Assumptions!$B$9))</f>
        <v>-0.0039211814437041</v>
      </c>
      <c r="J370" s="8" t="n">
        <f aca="true">IF(D370="Bull",NORMINV(RAND(),Assumptions!$B$5,Assumptions!$B$6),NORMINV(RAND(),Assumptions!$B$8,Assumptions!$B$9))</f>
        <v>0.184451126383681</v>
      </c>
      <c r="K370" s="8" t="n">
        <f aca="true">IF(E370="Bull",NORMINV(RAND(),Assumptions!$B$5,Assumptions!$B$6),NORMINV(RAND(),Assumptions!$B$8,Assumptions!$B$9))</f>
        <v>0.181611705766901</v>
      </c>
      <c r="L370" s="8" t="n">
        <f aca="true">IF(F370="Bull",NORMINV(RAND(),Assumptions!$B$5,Assumptions!$B$6),NORMINV(RAND(),Assumptions!$B$8,Assumptions!$B$9))</f>
        <v>0.109265789229584</v>
      </c>
      <c r="M370" s="8" t="n">
        <f aca="true">IF(G370="Bull",NORMINV(RAND(),Assumptions!$B$5,Assumptions!$B$6),NORMINV(RAND(),Assumptions!$B$8,Assumptions!$B$9))</f>
        <v>0.0929389159329735</v>
      </c>
      <c r="N370" s="8" t="n">
        <f aca="true">NORMINV(RAND(),Assumptions!$B$14,Assumptions!$B$15)</f>
        <v>0.00437385736397845</v>
      </c>
      <c r="O370" s="8" t="n">
        <f aca="true">NORMINV(RAND(),Assumptions!$B$14,Assumptions!$B$15)</f>
        <v>0.079040539470261</v>
      </c>
      <c r="P370" s="8" t="n">
        <f aca="true">NORMINV(RAND(),Assumptions!$B$14,Assumptions!$B$15)</f>
        <v>0.0283991996684188</v>
      </c>
      <c r="Q370" s="8" t="n">
        <f aca="true">NORMINV(RAND(),Assumptions!$B$14,Assumptions!$B$15)</f>
        <v>0.0158895754217485</v>
      </c>
      <c r="R370" s="8" t="n">
        <f aca="true">NORMINV(RAND(),Assumptions!$B$14,Assumptions!$B$15)</f>
        <v>0.0205624654324131</v>
      </c>
      <c r="S370" s="8" t="n">
        <f aca="true">NORMINV(RAND(),Assumptions!$B$14,Assumptions!$B$15)</f>
        <v>0.0634518743280239</v>
      </c>
      <c r="T370" s="8" t="n">
        <f aca="false">Assumptions!$B$19*H370+(1-Assumptions!$B$19)*N370</f>
        <v>-0.276355237308655</v>
      </c>
      <c r="U370" s="8" t="n">
        <f aca="false">Assumptions!$B$20*I370+(1-Assumptions!$B$20)*O370</f>
        <v>-0.0039211814437041</v>
      </c>
      <c r="V370" s="8" t="n">
        <f aca="false">Assumptions!$B$21*J370+(1-Assumptions!$B$21)*P370</f>
        <v>0.184451126383681</v>
      </c>
      <c r="W370" s="8" t="n">
        <f aca="false">Assumptions!$B$22*K370+(1-Assumptions!$B$22)*Q370</f>
        <v>0.181611705766901</v>
      </c>
      <c r="X370" s="8" t="n">
        <f aca="false">Assumptions!$B$23*L370+(1-Assumptions!$B$23)*R370</f>
        <v>0.0915251244701496</v>
      </c>
      <c r="Y370" s="8" t="n">
        <f aca="false">Assumptions!$B$24*M370+(1-Assumptions!$B$24)*S370</f>
        <v>0.0811440992909936</v>
      </c>
      <c r="Z370" s="6" t="n">
        <f aca="false">Assumptions!$B$27*(1+T370)</f>
        <v>217093.428807404</v>
      </c>
      <c r="AA370" s="6" t="n">
        <f aca="false">(Z370+Assumptions!$B$28)*(1+U370)</f>
        <v>365653.988866258</v>
      </c>
      <c r="AB370" s="6" t="n">
        <f aca="false">AA370*(1+V370)</f>
        <v>433099.278979326</v>
      </c>
      <c r="AC370" s="6" t="n">
        <f aca="false">AB370*(1+W370)</f>
        <v>511755.177801176</v>
      </c>
      <c r="AD370" s="6" t="n">
        <f aca="false">AC370*(1+X370)</f>
        <v>558593.634147672</v>
      </c>
      <c r="AE370" s="6" t="n">
        <f aca="false">AD370*(1+Y370)</f>
        <v>603920.211460268</v>
      </c>
      <c r="AF370" s="6" t="n">
        <f aca="false">Z370</f>
        <v>217093.428807404</v>
      </c>
      <c r="AG370" s="6" t="n">
        <f aca="false">MAX(AF370,AA370)</f>
        <v>365653.988866258</v>
      </c>
      <c r="AH370" s="6" t="n">
        <f aca="false">MAX(AG370,AB370)</f>
        <v>433099.278979326</v>
      </c>
      <c r="AI370" s="6" t="n">
        <f aca="false">MAX(AH370,AC370)</f>
        <v>511755.177801176</v>
      </c>
      <c r="AJ370" s="6" t="n">
        <f aca="false">MAX(AI370,AD370)</f>
        <v>558593.634147672</v>
      </c>
      <c r="AK370" s="6" t="n">
        <f aca="false">MAX(AJ370,AE370)</f>
        <v>603920.211460268</v>
      </c>
      <c r="AL370" s="8" t="n">
        <f aca="false">MIN(Z370/AF370-1,AA370/AG370-1,AB370/AH370-1,AC370/AI370-1,AD370/AJ370-1,AE370/AK370-1)</f>
        <v>0</v>
      </c>
      <c r="AM370" s="6" t="n">
        <f aca="false">AE370-Assumptions!$B$35</f>
        <v>162656.214797764</v>
      </c>
    </row>
    <row r="371" customFormat="false" ht="15" hidden="false" customHeight="false" outlineLevel="0" collapsed="false">
      <c r="A371" s="0" t="n">
        <f aca="false">ROW()-1</f>
        <v>370</v>
      </c>
      <c r="B371" s="0" t="str">
        <f aca="true">IF(RAND()&lt;Assumptions!$B$11,"Bull","Bear")</f>
        <v>Bear</v>
      </c>
      <c r="C371" s="0" t="str">
        <f aca="true">IF(B371="Bull",IF(RAND()&lt;Assumptions!$B$7,"Bull","Bear"),IF(RAND()&lt;Assumptions!$B$10,"Bear","Bull"))</f>
        <v>Bear</v>
      </c>
      <c r="D371" s="0" t="str">
        <f aca="true">IF(C371="Bull",IF(RAND()&lt;Assumptions!$B$7,"Bull","Bear"),IF(RAND()&lt;Assumptions!$B$10,"Bear","Bull"))</f>
        <v>Bull</v>
      </c>
      <c r="E371" s="0" t="str">
        <f aca="true">IF(D371="Bull",IF(RAND()&lt;Assumptions!$B$7,"Bull","Bear"),IF(RAND()&lt;Assumptions!$B$10,"Bear","Bull"))</f>
        <v>Bull</v>
      </c>
      <c r="F371" s="0" t="str">
        <f aca="true">IF(E371="Bull",IF(RAND()&lt;Assumptions!$B$7,"Bull","Bear"),IF(RAND()&lt;Assumptions!$B$10,"Bear","Bull"))</f>
        <v>Bull</v>
      </c>
      <c r="G371" s="0" t="str">
        <f aca="true">IF(F371="Bull",IF(RAND()&lt;Assumptions!$B$7,"Bull","Bear"),IF(RAND()&lt;Assumptions!$B$10,"Bear","Bull"))</f>
        <v>Bull</v>
      </c>
      <c r="H371" s="8" t="n">
        <f aca="true">IF(B371="Bull",NORMINV(RAND(),Assumptions!$B$5,Assumptions!$B$6),NORMINV(RAND(),Assumptions!$B$8,Assumptions!$B$9))</f>
        <v>-0.160351164733614</v>
      </c>
      <c r="I371" s="8" t="n">
        <f aca="true">IF(C371="Bull",NORMINV(RAND(),Assumptions!$B$5,Assumptions!$B$6),NORMINV(RAND(),Assumptions!$B$8,Assumptions!$B$9))</f>
        <v>0.171526944325325</v>
      </c>
      <c r="J371" s="8" t="n">
        <f aca="true">IF(D371="Bull",NORMINV(RAND(),Assumptions!$B$5,Assumptions!$B$6),NORMINV(RAND(),Assumptions!$B$8,Assumptions!$B$9))</f>
        <v>0.122908344822924</v>
      </c>
      <c r="K371" s="8" t="n">
        <f aca="true">IF(E371="Bull",NORMINV(RAND(),Assumptions!$B$5,Assumptions!$B$6),NORMINV(RAND(),Assumptions!$B$8,Assumptions!$B$9))</f>
        <v>0.242345219313494</v>
      </c>
      <c r="L371" s="8" t="n">
        <f aca="true">IF(F371="Bull",NORMINV(RAND(),Assumptions!$B$5,Assumptions!$B$6),NORMINV(RAND(),Assumptions!$B$8,Assumptions!$B$9))</f>
        <v>0.271302388216674</v>
      </c>
      <c r="M371" s="8" t="n">
        <f aca="true">IF(G371="Bull",NORMINV(RAND(),Assumptions!$B$5,Assumptions!$B$6),NORMINV(RAND(),Assumptions!$B$8,Assumptions!$B$9))</f>
        <v>0.280350355254671</v>
      </c>
      <c r="N371" s="8" t="n">
        <f aca="true">NORMINV(RAND(),Assumptions!$B$14,Assumptions!$B$15)</f>
        <v>0.0609070173095473</v>
      </c>
      <c r="O371" s="8" t="n">
        <f aca="true">NORMINV(RAND(),Assumptions!$B$14,Assumptions!$B$15)</f>
        <v>0.078162387990731</v>
      </c>
      <c r="P371" s="8" t="n">
        <f aca="true">NORMINV(RAND(),Assumptions!$B$14,Assumptions!$B$15)</f>
        <v>0.0642208579011617</v>
      </c>
      <c r="Q371" s="8" t="n">
        <f aca="true">NORMINV(RAND(),Assumptions!$B$14,Assumptions!$B$15)</f>
        <v>0.0577114942674756</v>
      </c>
      <c r="R371" s="8" t="n">
        <f aca="true">NORMINV(RAND(),Assumptions!$B$14,Assumptions!$B$15)</f>
        <v>0.0616998524721903</v>
      </c>
      <c r="S371" s="8" t="n">
        <f aca="true">NORMINV(RAND(),Assumptions!$B$14,Assumptions!$B$15)</f>
        <v>0.0223681576046968</v>
      </c>
      <c r="T371" s="8" t="n">
        <f aca="false">Assumptions!$B$19*H371+(1-Assumptions!$B$19)*N371</f>
        <v>-0.160351164733614</v>
      </c>
      <c r="U371" s="8" t="n">
        <f aca="false">Assumptions!$B$20*I371+(1-Assumptions!$B$20)*O371</f>
        <v>0.171526944325325</v>
      </c>
      <c r="V371" s="8" t="n">
        <f aca="false">Assumptions!$B$21*J371+(1-Assumptions!$B$21)*P371</f>
        <v>0.122908344822924</v>
      </c>
      <c r="W371" s="8" t="n">
        <f aca="false">Assumptions!$B$22*K371+(1-Assumptions!$B$22)*Q371</f>
        <v>0.242345219313494</v>
      </c>
      <c r="X371" s="8" t="n">
        <f aca="false">Assumptions!$B$23*L371+(1-Assumptions!$B$23)*R371</f>
        <v>0.229381881067778</v>
      </c>
      <c r="Y371" s="8" t="n">
        <f aca="false">Assumptions!$B$24*M371+(1-Assumptions!$B$24)*S371</f>
        <v>0.177157476194681</v>
      </c>
      <c r="Z371" s="6" t="n">
        <f aca="false">Assumptions!$B$27*(1+T371)</f>
        <v>251894.650579916</v>
      </c>
      <c r="AA371" s="6" t="n">
        <f aca="false">(Z371+Assumptions!$B$28)*(1+U371)</f>
        <v>470830.411934583</v>
      </c>
      <c r="AB371" s="6" t="n">
        <f aca="false">AA371*(1+V371)</f>
        <v>528699.398557758</v>
      </c>
      <c r="AC371" s="6" t="n">
        <f aca="false">AB371*(1+W371)</f>
        <v>656827.17025215</v>
      </c>
      <c r="AD371" s="6" t="n">
        <f aca="false">AC371*(1+X371)</f>
        <v>807491.422101014</v>
      </c>
      <c r="AE371" s="6" t="n">
        <f aca="false">AD371*(1+Y371)</f>
        <v>950544.564489284</v>
      </c>
      <c r="AF371" s="6" t="n">
        <f aca="false">Z371</f>
        <v>251894.650579916</v>
      </c>
      <c r="AG371" s="6" t="n">
        <f aca="false">MAX(AF371,AA371)</f>
        <v>470830.411934583</v>
      </c>
      <c r="AH371" s="6" t="n">
        <f aca="false">MAX(AG371,AB371)</f>
        <v>528699.398557758</v>
      </c>
      <c r="AI371" s="6" t="n">
        <f aca="false">MAX(AH371,AC371)</f>
        <v>656827.17025215</v>
      </c>
      <c r="AJ371" s="6" t="n">
        <f aca="false">MAX(AI371,AD371)</f>
        <v>807491.422101014</v>
      </c>
      <c r="AK371" s="6" t="n">
        <f aca="false">MAX(AJ371,AE371)</f>
        <v>950544.564489284</v>
      </c>
      <c r="AL371" s="8" t="n">
        <f aca="false">MIN(Z371/AF371-1,AA371/AG371-1,AB371/AH371-1,AC371/AI371-1,AD371/AJ371-1,AE371/AK371-1)</f>
        <v>0</v>
      </c>
      <c r="AM371" s="6" t="n">
        <f aca="false">AE371-Assumptions!$B$35</f>
        <v>509280.56782678</v>
      </c>
    </row>
    <row r="372" customFormat="false" ht="15" hidden="false" customHeight="false" outlineLevel="0" collapsed="false">
      <c r="A372" s="0" t="n">
        <f aca="false">ROW()-1</f>
        <v>371</v>
      </c>
      <c r="B372" s="0" t="str">
        <f aca="true">IF(RAND()&lt;Assumptions!$B$11,"Bull","Bear")</f>
        <v>Bull</v>
      </c>
      <c r="C372" s="0" t="str">
        <f aca="true">IF(B372="Bull",IF(RAND()&lt;Assumptions!$B$7,"Bull","Bear"),IF(RAND()&lt;Assumptions!$B$10,"Bear","Bull"))</f>
        <v>Bull</v>
      </c>
      <c r="D372" s="0" t="str">
        <f aca="true">IF(C372="Bull",IF(RAND()&lt;Assumptions!$B$7,"Bull","Bear"),IF(RAND()&lt;Assumptions!$B$10,"Bear","Bull"))</f>
        <v>Bull</v>
      </c>
      <c r="E372" s="0" t="str">
        <f aca="true">IF(D372="Bull",IF(RAND()&lt;Assumptions!$B$7,"Bull","Bear"),IF(RAND()&lt;Assumptions!$B$10,"Bear","Bull"))</f>
        <v>Bull</v>
      </c>
      <c r="F372" s="0" t="str">
        <f aca="true">IF(E372="Bull",IF(RAND()&lt;Assumptions!$B$7,"Bull","Bear"),IF(RAND()&lt;Assumptions!$B$10,"Bear","Bull"))</f>
        <v>Bull</v>
      </c>
      <c r="G372" s="0" t="str">
        <f aca="true">IF(F372="Bull",IF(RAND()&lt;Assumptions!$B$7,"Bull","Bear"),IF(RAND()&lt;Assumptions!$B$10,"Bear","Bull"))</f>
        <v>Bull</v>
      </c>
      <c r="H372" s="8" t="n">
        <f aca="true">IF(B372="Bull",NORMINV(RAND(),Assumptions!$B$5,Assumptions!$B$6),NORMINV(RAND(),Assumptions!$B$8,Assumptions!$B$9))</f>
        <v>0.177601100001887</v>
      </c>
      <c r="I372" s="8" t="n">
        <f aca="true">IF(C372="Bull",NORMINV(RAND(),Assumptions!$B$5,Assumptions!$B$6),NORMINV(RAND(),Assumptions!$B$8,Assumptions!$B$9))</f>
        <v>0.118886834589708</v>
      </c>
      <c r="J372" s="8" t="n">
        <f aca="true">IF(D372="Bull",NORMINV(RAND(),Assumptions!$B$5,Assumptions!$B$6),NORMINV(RAND(),Assumptions!$B$8,Assumptions!$B$9))</f>
        <v>0.103368847756832</v>
      </c>
      <c r="K372" s="8" t="n">
        <f aca="true">IF(E372="Bull",NORMINV(RAND(),Assumptions!$B$5,Assumptions!$B$6),NORMINV(RAND(),Assumptions!$B$8,Assumptions!$B$9))</f>
        <v>0.137421274140118</v>
      </c>
      <c r="L372" s="8" t="n">
        <f aca="true">IF(F372="Bull",NORMINV(RAND(),Assumptions!$B$5,Assumptions!$B$6),NORMINV(RAND(),Assumptions!$B$8,Assumptions!$B$9))</f>
        <v>0.229035841453327</v>
      </c>
      <c r="M372" s="8" t="n">
        <f aca="true">IF(G372="Bull",NORMINV(RAND(),Assumptions!$B$5,Assumptions!$B$6),NORMINV(RAND(),Assumptions!$B$8,Assumptions!$B$9))</f>
        <v>0.104900401438027</v>
      </c>
      <c r="N372" s="8" t="n">
        <f aca="true">NORMINV(RAND(),Assumptions!$B$14,Assumptions!$B$15)</f>
        <v>0.0674228972142335</v>
      </c>
      <c r="O372" s="8" t="n">
        <f aca="true">NORMINV(RAND(),Assumptions!$B$14,Assumptions!$B$15)</f>
        <v>0.0744043864037329</v>
      </c>
      <c r="P372" s="8" t="n">
        <f aca="true">NORMINV(RAND(),Assumptions!$B$14,Assumptions!$B$15)</f>
        <v>0.012438657022099</v>
      </c>
      <c r="Q372" s="8" t="n">
        <f aca="true">NORMINV(RAND(),Assumptions!$B$14,Assumptions!$B$15)</f>
        <v>0.0226304371328294</v>
      </c>
      <c r="R372" s="8" t="n">
        <f aca="true">NORMINV(RAND(),Assumptions!$B$14,Assumptions!$B$15)</f>
        <v>0.0430416336306618</v>
      </c>
      <c r="S372" s="8" t="n">
        <f aca="true">NORMINV(RAND(),Assumptions!$B$14,Assumptions!$B$15)</f>
        <v>0.051039065326879</v>
      </c>
      <c r="T372" s="8" t="n">
        <f aca="false">Assumptions!$B$19*H372+(1-Assumptions!$B$19)*N372</f>
        <v>0.177601100001887</v>
      </c>
      <c r="U372" s="8" t="n">
        <f aca="false">Assumptions!$B$20*I372+(1-Assumptions!$B$20)*O372</f>
        <v>0.118886834589708</v>
      </c>
      <c r="V372" s="8" t="n">
        <f aca="false">Assumptions!$B$21*J372+(1-Assumptions!$B$21)*P372</f>
        <v>0.103368847756832</v>
      </c>
      <c r="W372" s="8" t="n">
        <f aca="false">Assumptions!$B$22*K372+(1-Assumptions!$B$22)*Q372</f>
        <v>0.137421274140118</v>
      </c>
      <c r="X372" s="8" t="n">
        <f aca="false">Assumptions!$B$23*L372+(1-Assumptions!$B$23)*R372</f>
        <v>0.191836999888794</v>
      </c>
      <c r="Y372" s="8" t="n">
        <f aca="false">Assumptions!$B$24*M372+(1-Assumptions!$B$24)*S372</f>
        <v>0.083355866993568</v>
      </c>
      <c r="Z372" s="6" t="n">
        <f aca="false">Assumptions!$B$27*(1+T372)</f>
        <v>353280.330000566</v>
      </c>
      <c r="AA372" s="6" t="n">
        <f aca="false">(Z372+Assumptions!$B$28)*(1+U372)</f>
        <v>563113.735345597</v>
      </c>
      <c r="AB372" s="6" t="n">
        <f aca="false">AA372*(1+V372)</f>
        <v>621322.153324317</v>
      </c>
      <c r="AC372" s="6" t="n">
        <f aca="false">AB372*(1+W372)</f>
        <v>706705.035285626</v>
      </c>
      <c r="AD372" s="6" t="n">
        <f aca="false">AC372*(1+X372)</f>
        <v>842277.209061124</v>
      </c>
      <c r="AE372" s="6" t="n">
        <f aca="false">AD372*(1+Y372)</f>
        <v>912485.956071337</v>
      </c>
      <c r="AF372" s="6" t="n">
        <f aca="false">Z372</f>
        <v>353280.330000566</v>
      </c>
      <c r="AG372" s="6" t="n">
        <f aca="false">MAX(AF372,AA372)</f>
        <v>563113.735345597</v>
      </c>
      <c r="AH372" s="6" t="n">
        <f aca="false">MAX(AG372,AB372)</f>
        <v>621322.153324317</v>
      </c>
      <c r="AI372" s="6" t="n">
        <f aca="false">MAX(AH372,AC372)</f>
        <v>706705.035285626</v>
      </c>
      <c r="AJ372" s="6" t="n">
        <f aca="false">MAX(AI372,AD372)</f>
        <v>842277.209061124</v>
      </c>
      <c r="AK372" s="6" t="n">
        <f aca="false">MAX(AJ372,AE372)</f>
        <v>912485.956071337</v>
      </c>
      <c r="AL372" s="8" t="n">
        <f aca="false">MIN(Z372/AF372-1,AA372/AG372-1,AB372/AH372-1,AC372/AI372-1,AD372/AJ372-1,AE372/AK372-1)</f>
        <v>0</v>
      </c>
      <c r="AM372" s="6" t="n">
        <f aca="false">AE372-Assumptions!$B$35</f>
        <v>471221.959408834</v>
      </c>
    </row>
    <row r="373" customFormat="false" ht="15" hidden="false" customHeight="false" outlineLevel="0" collapsed="false">
      <c r="A373" s="0" t="n">
        <f aca="false">ROW()-1</f>
        <v>372</v>
      </c>
      <c r="B373" s="0" t="str">
        <f aca="true">IF(RAND()&lt;Assumptions!$B$11,"Bull","Bear")</f>
        <v>Bull</v>
      </c>
      <c r="C373" s="0" t="str">
        <f aca="true">IF(B373="Bull",IF(RAND()&lt;Assumptions!$B$7,"Bull","Bear"),IF(RAND()&lt;Assumptions!$B$10,"Bear","Bull"))</f>
        <v>Bull</v>
      </c>
      <c r="D373" s="0" t="str">
        <f aca="true">IF(C373="Bull",IF(RAND()&lt;Assumptions!$B$7,"Bull","Bear"),IF(RAND()&lt;Assumptions!$B$10,"Bear","Bull"))</f>
        <v>Bull</v>
      </c>
      <c r="E373" s="0" t="str">
        <f aca="true">IF(D373="Bull",IF(RAND()&lt;Assumptions!$B$7,"Bull","Bear"),IF(RAND()&lt;Assumptions!$B$10,"Bear","Bull"))</f>
        <v>Bull</v>
      </c>
      <c r="F373" s="0" t="str">
        <f aca="true">IF(E373="Bull",IF(RAND()&lt;Assumptions!$B$7,"Bull","Bear"),IF(RAND()&lt;Assumptions!$B$10,"Bear","Bull"))</f>
        <v>Bear</v>
      </c>
      <c r="G373" s="0" t="str">
        <f aca="true">IF(F373="Bull",IF(RAND()&lt;Assumptions!$B$7,"Bull","Bear"),IF(RAND()&lt;Assumptions!$B$10,"Bear","Bull"))</f>
        <v>Bear</v>
      </c>
      <c r="H373" s="8" t="n">
        <f aca="true">IF(B373="Bull",NORMINV(RAND(),Assumptions!$B$5,Assumptions!$B$6),NORMINV(RAND(),Assumptions!$B$8,Assumptions!$B$9))</f>
        <v>0.208758768140241</v>
      </c>
      <c r="I373" s="8" t="n">
        <f aca="true">IF(C373="Bull",NORMINV(RAND(),Assumptions!$B$5,Assumptions!$B$6),NORMINV(RAND(),Assumptions!$B$8,Assumptions!$B$9))</f>
        <v>0.157274304259266</v>
      </c>
      <c r="J373" s="8" t="n">
        <f aca="true">IF(D373="Bull",NORMINV(RAND(),Assumptions!$B$5,Assumptions!$B$6),NORMINV(RAND(),Assumptions!$B$8,Assumptions!$B$9))</f>
        <v>0.0986810124917021</v>
      </c>
      <c r="K373" s="8" t="n">
        <f aca="true">IF(E373="Bull",NORMINV(RAND(),Assumptions!$B$5,Assumptions!$B$6),NORMINV(RAND(),Assumptions!$B$8,Assumptions!$B$9))</f>
        <v>0.14644788430003</v>
      </c>
      <c r="L373" s="8" t="n">
        <f aca="true">IF(F373="Bull",NORMINV(RAND(),Assumptions!$B$5,Assumptions!$B$6),NORMINV(RAND(),Assumptions!$B$8,Assumptions!$B$9))</f>
        <v>0.0197016232942808</v>
      </c>
      <c r="M373" s="8" t="n">
        <f aca="true">IF(G373="Bull",NORMINV(RAND(),Assumptions!$B$5,Assumptions!$B$6),NORMINV(RAND(),Assumptions!$B$8,Assumptions!$B$9))</f>
        <v>-0.290397774986191</v>
      </c>
      <c r="N373" s="8" t="n">
        <f aca="true">NORMINV(RAND(),Assumptions!$B$14,Assumptions!$B$15)</f>
        <v>0.0516700070070581</v>
      </c>
      <c r="O373" s="8" t="n">
        <f aca="true">NORMINV(RAND(),Assumptions!$B$14,Assumptions!$B$15)</f>
        <v>0.036228370018767</v>
      </c>
      <c r="P373" s="8" t="n">
        <f aca="true">NORMINV(RAND(),Assumptions!$B$14,Assumptions!$B$15)</f>
        <v>0.0941172478853549</v>
      </c>
      <c r="Q373" s="8" t="n">
        <f aca="true">NORMINV(RAND(),Assumptions!$B$14,Assumptions!$B$15)</f>
        <v>0.0561229164602433</v>
      </c>
      <c r="R373" s="8" t="n">
        <f aca="true">NORMINV(RAND(),Assumptions!$B$14,Assumptions!$B$15)</f>
        <v>0.010192433148327</v>
      </c>
      <c r="S373" s="8" t="n">
        <f aca="true">NORMINV(RAND(),Assumptions!$B$14,Assumptions!$B$15)</f>
        <v>0.0671052832529686</v>
      </c>
      <c r="T373" s="8" t="n">
        <f aca="false">Assumptions!$B$19*H373+(1-Assumptions!$B$19)*N373</f>
        <v>0.208758768140241</v>
      </c>
      <c r="U373" s="8" t="n">
        <f aca="false">Assumptions!$B$20*I373+(1-Assumptions!$B$20)*O373</f>
        <v>0.157274304259266</v>
      </c>
      <c r="V373" s="8" t="n">
        <f aca="false">Assumptions!$B$21*J373+(1-Assumptions!$B$21)*P373</f>
        <v>0.0986810124917021</v>
      </c>
      <c r="W373" s="8" t="n">
        <f aca="false">Assumptions!$B$22*K373+(1-Assumptions!$B$22)*Q373</f>
        <v>0.14644788430003</v>
      </c>
      <c r="X373" s="8" t="n">
        <f aca="false">Assumptions!$B$23*L373+(1-Assumptions!$B$23)*R373</f>
        <v>0.01779978526509</v>
      </c>
      <c r="Y373" s="8" t="n">
        <f aca="false">Assumptions!$B$24*M373+(1-Assumptions!$B$24)*S373</f>
        <v>-0.147396551690527</v>
      </c>
      <c r="Z373" s="6" t="n">
        <f aca="false">Assumptions!$B$27*(1+T373)</f>
        <v>362627.630442072</v>
      </c>
      <c r="AA373" s="6" t="n">
        <f aca="false">(Z373+Assumptions!$B$28)*(1+U373)</f>
        <v>593250.784363926</v>
      </c>
      <c r="AB373" s="6" t="n">
        <f aca="false">AA373*(1+V373)</f>
        <v>651793.372426454</v>
      </c>
      <c r="AC373" s="6" t="n">
        <f aca="false">AB373*(1+W373)</f>
        <v>747247.13281909</v>
      </c>
      <c r="AD373" s="6" t="n">
        <f aca="false">AC373*(1+X373)</f>
        <v>760547.971323223</v>
      </c>
      <c r="AE373" s="6" t="n">
        <f aca="false">AD373*(1+Y373)</f>
        <v>648445.822954955</v>
      </c>
      <c r="AF373" s="6" t="n">
        <f aca="false">Z373</f>
        <v>362627.630442072</v>
      </c>
      <c r="AG373" s="6" t="n">
        <f aca="false">MAX(AF373,AA373)</f>
        <v>593250.784363926</v>
      </c>
      <c r="AH373" s="6" t="n">
        <f aca="false">MAX(AG373,AB373)</f>
        <v>651793.372426454</v>
      </c>
      <c r="AI373" s="6" t="n">
        <f aca="false">MAX(AH373,AC373)</f>
        <v>747247.13281909</v>
      </c>
      <c r="AJ373" s="6" t="n">
        <f aca="false">MAX(AI373,AD373)</f>
        <v>760547.971323223</v>
      </c>
      <c r="AK373" s="6" t="n">
        <f aca="false">MAX(AJ373,AE373)</f>
        <v>760547.971323223</v>
      </c>
      <c r="AL373" s="8" t="n">
        <f aca="false">MIN(Z373/AF373-1,AA373/AG373-1,AB373/AH373-1,AC373/AI373-1,AD373/AJ373-1,AE373/AK373-1)</f>
        <v>-0.147396551690527</v>
      </c>
      <c r="AM373" s="6" t="n">
        <f aca="false">AE373-Assumptions!$B$35</f>
        <v>207181.826292451</v>
      </c>
    </row>
    <row r="374" customFormat="false" ht="15" hidden="false" customHeight="false" outlineLevel="0" collapsed="false">
      <c r="A374" s="0" t="n">
        <f aca="false">ROW()-1</f>
        <v>373</v>
      </c>
      <c r="B374" s="0" t="str">
        <f aca="true">IF(RAND()&lt;Assumptions!$B$11,"Bull","Bear")</f>
        <v>Bull</v>
      </c>
      <c r="C374" s="0" t="str">
        <f aca="true">IF(B374="Bull",IF(RAND()&lt;Assumptions!$B$7,"Bull","Bear"),IF(RAND()&lt;Assumptions!$B$10,"Bear","Bull"))</f>
        <v>Bull</v>
      </c>
      <c r="D374" s="0" t="str">
        <f aca="true">IF(C374="Bull",IF(RAND()&lt;Assumptions!$B$7,"Bull","Bear"),IF(RAND()&lt;Assumptions!$B$10,"Bear","Bull"))</f>
        <v>Bear</v>
      </c>
      <c r="E374" s="0" t="str">
        <f aca="true">IF(D374="Bull",IF(RAND()&lt;Assumptions!$B$7,"Bull","Bear"),IF(RAND()&lt;Assumptions!$B$10,"Bear","Bull"))</f>
        <v>Bull</v>
      </c>
      <c r="F374" s="0" t="str">
        <f aca="true">IF(E374="Bull",IF(RAND()&lt;Assumptions!$B$7,"Bull","Bear"),IF(RAND()&lt;Assumptions!$B$10,"Bear","Bull"))</f>
        <v>Bull</v>
      </c>
      <c r="G374" s="0" t="str">
        <f aca="true">IF(F374="Bull",IF(RAND()&lt;Assumptions!$B$7,"Bull","Bear"),IF(RAND()&lt;Assumptions!$B$10,"Bear","Bull"))</f>
        <v>Bull</v>
      </c>
      <c r="H374" s="8" t="n">
        <f aca="true">IF(B374="Bull",NORMINV(RAND(),Assumptions!$B$5,Assumptions!$B$6),NORMINV(RAND(),Assumptions!$B$8,Assumptions!$B$9))</f>
        <v>0.25969223218502</v>
      </c>
      <c r="I374" s="8" t="n">
        <f aca="true">IF(C374="Bull",NORMINV(RAND(),Assumptions!$B$5,Assumptions!$B$6),NORMINV(RAND(),Assumptions!$B$8,Assumptions!$B$9))</f>
        <v>0.255269221354959</v>
      </c>
      <c r="J374" s="8" t="n">
        <f aca="true">IF(D374="Bull",NORMINV(RAND(),Assumptions!$B$5,Assumptions!$B$6),NORMINV(RAND(),Assumptions!$B$8,Assumptions!$B$9))</f>
        <v>-0.185713585296406</v>
      </c>
      <c r="K374" s="8" t="n">
        <f aca="true">IF(E374="Bull",NORMINV(RAND(),Assumptions!$B$5,Assumptions!$B$6),NORMINV(RAND(),Assumptions!$B$8,Assumptions!$B$9))</f>
        <v>0.293577965504864</v>
      </c>
      <c r="L374" s="8" t="n">
        <f aca="true">IF(F374="Bull",NORMINV(RAND(),Assumptions!$B$5,Assumptions!$B$6),NORMINV(RAND(),Assumptions!$B$8,Assumptions!$B$9))</f>
        <v>0.25038189243798</v>
      </c>
      <c r="M374" s="8" t="n">
        <f aca="true">IF(G374="Bull",NORMINV(RAND(),Assumptions!$B$5,Assumptions!$B$6),NORMINV(RAND(),Assumptions!$B$8,Assumptions!$B$9))</f>
        <v>0.0656989935910196</v>
      </c>
      <c r="N374" s="8" t="n">
        <f aca="true">NORMINV(RAND(),Assumptions!$B$14,Assumptions!$B$15)</f>
        <v>0.079685359983498</v>
      </c>
      <c r="O374" s="8" t="n">
        <f aca="true">NORMINV(RAND(),Assumptions!$B$14,Assumptions!$B$15)</f>
        <v>-0.00370750517422918</v>
      </c>
      <c r="P374" s="8" t="n">
        <f aca="true">NORMINV(RAND(),Assumptions!$B$14,Assumptions!$B$15)</f>
        <v>-0.00117657164538706</v>
      </c>
      <c r="Q374" s="8" t="n">
        <f aca="true">NORMINV(RAND(),Assumptions!$B$14,Assumptions!$B$15)</f>
        <v>0.0610405070881569</v>
      </c>
      <c r="R374" s="8" t="n">
        <f aca="true">NORMINV(RAND(),Assumptions!$B$14,Assumptions!$B$15)</f>
        <v>0.0603459487887974</v>
      </c>
      <c r="S374" s="8" t="n">
        <f aca="true">NORMINV(RAND(),Assumptions!$B$14,Assumptions!$B$15)</f>
        <v>0.0417679673090381</v>
      </c>
      <c r="T374" s="8" t="n">
        <f aca="false">Assumptions!$B$19*H374+(1-Assumptions!$B$19)*N374</f>
        <v>0.25969223218502</v>
      </c>
      <c r="U374" s="8" t="n">
        <f aca="false">Assumptions!$B$20*I374+(1-Assumptions!$B$20)*O374</f>
        <v>0.255269221354959</v>
      </c>
      <c r="V374" s="8" t="n">
        <f aca="false">Assumptions!$B$21*J374+(1-Assumptions!$B$21)*P374</f>
        <v>-0.185713585296406</v>
      </c>
      <c r="W374" s="8" t="n">
        <f aca="false">Assumptions!$B$22*K374+(1-Assumptions!$B$22)*Q374</f>
        <v>0.293577965504864</v>
      </c>
      <c r="X374" s="8" t="n">
        <f aca="false">Assumptions!$B$23*L374+(1-Assumptions!$B$23)*R374</f>
        <v>0.212374703708143</v>
      </c>
      <c r="Y374" s="8" t="n">
        <f aca="false">Assumptions!$B$24*M374+(1-Assumptions!$B$24)*S374</f>
        <v>0.056126583078227</v>
      </c>
      <c r="Z374" s="6" t="n">
        <f aca="false">Assumptions!$B$27*(1+T374)</f>
        <v>377907.669655506</v>
      </c>
      <c r="AA374" s="6" t="n">
        <f aca="false">(Z374+Assumptions!$B$28)*(1+U374)</f>
        <v>662666.249435778</v>
      </c>
      <c r="AB374" s="6" t="n">
        <f aca="false">AA374*(1+V374)</f>
        <v>539600.124398138</v>
      </c>
      <c r="AC374" s="6" t="n">
        <f aca="false">AB374*(1+W374)</f>
        <v>698014.831105114</v>
      </c>
      <c r="AD374" s="6" t="n">
        <f aca="false">AC374*(1+X374)</f>
        <v>846255.524044952</v>
      </c>
      <c r="AE374" s="6" t="n">
        <f aca="false">AD374*(1+Y374)</f>
        <v>893752.95502067</v>
      </c>
      <c r="AF374" s="6" t="n">
        <f aca="false">Z374</f>
        <v>377907.669655506</v>
      </c>
      <c r="AG374" s="6" t="n">
        <f aca="false">MAX(AF374,AA374)</f>
        <v>662666.249435778</v>
      </c>
      <c r="AH374" s="6" t="n">
        <f aca="false">MAX(AG374,AB374)</f>
        <v>662666.249435778</v>
      </c>
      <c r="AI374" s="6" t="n">
        <f aca="false">MAX(AH374,AC374)</f>
        <v>698014.831105114</v>
      </c>
      <c r="AJ374" s="6" t="n">
        <f aca="false">MAX(AI374,AD374)</f>
        <v>846255.524044952</v>
      </c>
      <c r="AK374" s="6" t="n">
        <f aca="false">MAX(AJ374,AE374)</f>
        <v>893752.95502067</v>
      </c>
      <c r="AL374" s="8" t="n">
        <f aca="false">MIN(Z374/AF374-1,AA374/AG374-1,AB374/AH374-1,AC374/AI374-1,AD374/AJ374-1,AE374/AK374-1)</f>
        <v>-0.185713585296406</v>
      </c>
      <c r="AM374" s="6" t="n">
        <f aca="false">AE374-Assumptions!$B$35</f>
        <v>452488.958358166</v>
      </c>
    </row>
    <row r="375" customFormat="false" ht="15" hidden="false" customHeight="false" outlineLevel="0" collapsed="false">
      <c r="A375" s="0" t="n">
        <f aca="false">ROW()-1</f>
        <v>374</v>
      </c>
      <c r="B375" s="0" t="str">
        <f aca="true">IF(RAND()&lt;Assumptions!$B$11,"Bull","Bear")</f>
        <v>Bull</v>
      </c>
      <c r="C375" s="0" t="str">
        <f aca="true">IF(B375="Bull",IF(RAND()&lt;Assumptions!$B$7,"Bull","Bear"),IF(RAND()&lt;Assumptions!$B$10,"Bear","Bull"))</f>
        <v>Bull</v>
      </c>
      <c r="D375" s="0" t="str">
        <f aca="true">IF(C375="Bull",IF(RAND()&lt;Assumptions!$B$7,"Bull","Bear"),IF(RAND()&lt;Assumptions!$B$10,"Bear","Bull"))</f>
        <v>Bull</v>
      </c>
      <c r="E375" s="0" t="str">
        <f aca="true">IF(D375="Bull",IF(RAND()&lt;Assumptions!$B$7,"Bull","Bear"),IF(RAND()&lt;Assumptions!$B$10,"Bear","Bull"))</f>
        <v>Bull</v>
      </c>
      <c r="F375" s="0" t="str">
        <f aca="true">IF(E375="Bull",IF(RAND()&lt;Assumptions!$B$7,"Bull","Bear"),IF(RAND()&lt;Assumptions!$B$10,"Bear","Bull"))</f>
        <v>Bull</v>
      </c>
      <c r="G375" s="0" t="str">
        <f aca="true">IF(F375="Bull",IF(RAND()&lt;Assumptions!$B$7,"Bull","Bear"),IF(RAND()&lt;Assumptions!$B$10,"Bear","Bull"))</f>
        <v>Bull</v>
      </c>
      <c r="H375" s="8" t="n">
        <f aca="true">IF(B375="Bull",NORMINV(RAND(),Assumptions!$B$5,Assumptions!$B$6),NORMINV(RAND(),Assumptions!$B$8,Assumptions!$B$9))</f>
        <v>0.169027077983886</v>
      </c>
      <c r="I375" s="8" t="n">
        <f aca="true">IF(C375="Bull",NORMINV(RAND(),Assumptions!$B$5,Assumptions!$B$6),NORMINV(RAND(),Assumptions!$B$8,Assumptions!$B$9))</f>
        <v>0.0676314542849989</v>
      </c>
      <c r="J375" s="8" t="n">
        <f aca="true">IF(D375="Bull",NORMINV(RAND(),Assumptions!$B$5,Assumptions!$B$6),NORMINV(RAND(),Assumptions!$B$8,Assumptions!$B$9))</f>
        <v>0.182349087135945</v>
      </c>
      <c r="K375" s="8" t="n">
        <f aca="true">IF(E375="Bull",NORMINV(RAND(),Assumptions!$B$5,Assumptions!$B$6),NORMINV(RAND(),Assumptions!$B$8,Assumptions!$B$9))</f>
        <v>0.0347716001427863</v>
      </c>
      <c r="L375" s="8" t="n">
        <f aca="true">IF(F375="Bull",NORMINV(RAND(),Assumptions!$B$5,Assumptions!$B$6),NORMINV(RAND(),Assumptions!$B$8,Assumptions!$B$9))</f>
        <v>0.349239077417081</v>
      </c>
      <c r="M375" s="8" t="n">
        <f aca="true">IF(G375="Bull",NORMINV(RAND(),Assumptions!$B$5,Assumptions!$B$6),NORMINV(RAND(),Assumptions!$B$8,Assumptions!$B$9))</f>
        <v>0.226104132685157</v>
      </c>
      <c r="N375" s="8" t="n">
        <f aca="true">NORMINV(RAND(),Assumptions!$B$14,Assumptions!$B$15)</f>
        <v>0.0289405877407997</v>
      </c>
      <c r="O375" s="8" t="n">
        <f aca="true">NORMINV(RAND(),Assumptions!$B$14,Assumptions!$B$15)</f>
        <v>0.0428390497064493</v>
      </c>
      <c r="P375" s="8" t="n">
        <f aca="true">NORMINV(RAND(),Assumptions!$B$14,Assumptions!$B$15)</f>
        <v>0.0906799528683487</v>
      </c>
      <c r="Q375" s="8" t="n">
        <f aca="true">NORMINV(RAND(),Assumptions!$B$14,Assumptions!$B$15)</f>
        <v>0.0806686372066765</v>
      </c>
      <c r="R375" s="8" t="n">
        <f aca="true">NORMINV(RAND(),Assumptions!$B$14,Assumptions!$B$15)</f>
        <v>0.0468256799199755</v>
      </c>
      <c r="S375" s="8" t="n">
        <f aca="true">NORMINV(RAND(),Assumptions!$B$14,Assumptions!$B$15)</f>
        <v>0.0745315049055408</v>
      </c>
      <c r="T375" s="8" t="n">
        <f aca="false">Assumptions!$B$19*H375+(1-Assumptions!$B$19)*N375</f>
        <v>0.169027077983886</v>
      </c>
      <c r="U375" s="8" t="n">
        <f aca="false">Assumptions!$B$20*I375+(1-Assumptions!$B$20)*O375</f>
        <v>0.0676314542849989</v>
      </c>
      <c r="V375" s="8" t="n">
        <f aca="false">Assumptions!$B$21*J375+(1-Assumptions!$B$21)*P375</f>
        <v>0.182349087135945</v>
      </c>
      <c r="W375" s="8" t="n">
        <f aca="false">Assumptions!$B$22*K375+(1-Assumptions!$B$22)*Q375</f>
        <v>0.0347716001427863</v>
      </c>
      <c r="X375" s="8" t="n">
        <f aca="false">Assumptions!$B$23*L375+(1-Assumptions!$B$23)*R375</f>
        <v>0.28875639791766</v>
      </c>
      <c r="Y375" s="8" t="n">
        <f aca="false">Assumptions!$B$24*M375+(1-Assumptions!$B$24)*S375</f>
        <v>0.165475081573311</v>
      </c>
      <c r="Z375" s="6" t="n">
        <f aca="false">Assumptions!$B$27*(1+T375)</f>
        <v>350708.123395166</v>
      </c>
      <c r="AA375" s="6" t="n">
        <f aca="false">(Z375+Assumptions!$B$28)*(1+U375)</f>
        <v>534571.741952694</v>
      </c>
      <c r="AB375" s="6" t="n">
        <f aca="false">AA375*(1+V375)</f>
        <v>632050.411106439</v>
      </c>
      <c r="AC375" s="6" t="n">
        <f aca="false">AB375*(1+W375)</f>
        <v>654027.815271516</v>
      </c>
      <c r="AD375" s="6" t="n">
        <f aca="false">AC375*(1+X375)</f>
        <v>842882.531347275</v>
      </c>
      <c r="AE375" s="6" t="n">
        <f aca="false">AD375*(1+Y375)</f>
        <v>982358.586978684</v>
      </c>
      <c r="AF375" s="6" t="n">
        <f aca="false">Z375</f>
        <v>350708.123395166</v>
      </c>
      <c r="AG375" s="6" t="n">
        <f aca="false">MAX(AF375,AA375)</f>
        <v>534571.741952694</v>
      </c>
      <c r="AH375" s="6" t="n">
        <f aca="false">MAX(AG375,AB375)</f>
        <v>632050.411106439</v>
      </c>
      <c r="AI375" s="6" t="n">
        <f aca="false">MAX(AH375,AC375)</f>
        <v>654027.815271516</v>
      </c>
      <c r="AJ375" s="6" t="n">
        <f aca="false">MAX(AI375,AD375)</f>
        <v>842882.531347275</v>
      </c>
      <c r="AK375" s="6" t="n">
        <f aca="false">MAX(AJ375,AE375)</f>
        <v>982358.586978684</v>
      </c>
      <c r="AL375" s="8" t="n">
        <f aca="false">MIN(Z375/AF375-1,AA375/AG375-1,AB375/AH375-1,AC375/AI375-1,AD375/AJ375-1,AE375/AK375-1)</f>
        <v>0</v>
      </c>
      <c r="AM375" s="6" t="n">
        <f aca="false">AE375-Assumptions!$B$35</f>
        <v>541094.590316181</v>
      </c>
    </row>
    <row r="376" customFormat="false" ht="15" hidden="false" customHeight="false" outlineLevel="0" collapsed="false">
      <c r="A376" s="0" t="n">
        <f aca="false">ROW()-1</f>
        <v>375</v>
      </c>
      <c r="B376" s="0" t="str">
        <f aca="true">IF(RAND()&lt;Assumptions!$B$11,"Bull","Bear")</f>
        <v>Bear</v>
      </c>
      <c r="C376" s="0" t="str">
        <f aca="true">IF(B376="Bull",IF(RAND()&lt;Assumptions!$B$7,"Bull","Bear"),IF(RAND()&lt;Assumptions!$B$10,"Bear","Bull"))</f>
        <v>Bear</v>
      </c>
      <c r="D376" s="0" t="str">
        <f aca="true">IF(C376="Bull",IF(RAND()&lt;Assumptions!$B$7,"Bull","Bear"),IF(RAND()&lt;Assumptions!$B$10,"Bear","Bull"))</f>
        <v>Bull</v>
      </c>
      <c r="E376" s="0" t="str">
        <f aca="true">IF(D376="Bull",IF(RAND()&lt;Assumptions!$B$7,"Bull","Bear"),IF(RAND()&lt;Assumptions!$B$10,"Bear","Bull"))</f>
        <v>Bull</v>
      </c>
      <c r="F376" s="0" t="str">
        <f aca="true">IF(E376="Bull",IF(RAND()&lt;Assumptions!$B$7,"Bull","Bear"),IF(RAND()&lt;Assumptions!$B$10,"Bear","Bull"))</f>
        <v>Bull</v>
      </c>
      <c r="G376" s="0" t="str">
        <f aca="true">IF(F376="Bull",IF(RAND()&lt;Assumptions!$B$7,"Bull","Bear"),IF(RAND()&lt;Assumptions!$B$10,"Bear","Bull"))</f>
        <v>Bull</v>
      </c>
      <c r="H376" s="8" t="n">
        <f aca="true">IF(B376="Bull",NORMINV(RAND(),Assumptions!$B$5,Assumptions!$B$6),NORMINV(RAND(),Assumptions!$B$8,Assumptions!$B$9))</f>
        <v>-0.147202464251388</v>
      </c>
      <c r="I376" s="8" t="n">
        <f aca="true">IF(C376="Bull",NORMINV(RAND(),Assumptions!$B$5,Assumptions!$B$6),NORMINV(RAND(),Assumptions!$B$8,Assumptions!$B$9))</f>
        <v>-0.510067701772315</v>
      </c>
      <c r="J376" s="8" t="n">
        <f aca="true">IF(D376="Bull",NORMINV(RAND(),Assumptions!$B$5,Assumptions!$B$6),NORMINV(RAND(),Assumptions!$B$8,Assumptions!$B$9))</f>
        <v>0.229677819238397</v>
      </c>
      <c r="K376" s="8" t="n">
        <f aca="true">IF(E376="Bull",NORMINV(RAND(),Assumptions!$B$5,Assumptions!$B$6),NORMINV(RAND(),Assumptions!$B$8,Assumptions!$B$9))</f>
        <v>0.246462671934847</v>
      </c>
      <c r="L376" s="8" t="n">
        <f aca="true">IF(F376="Bull",NORMINV(RAND(),Assumptions!$B$5,Assumptions!$B$6),NORMINV(RAND(),Assumptions!$B$8,Assumptions!$B$9))</f>
        <v>0.177400292986065</v>
      </c>
      <c r="M376" s="8" t="n">
        <f aca="true">IF(G376="Bull",NORMINV(RAND(),Assumptions!$B$5,Assumptions!$B$6),NORMINV(RAND(),Assumptions!$B$8,Assumptions!$B$9))</f>
        <v>0.323781349073647</v>
      </c>
      <c r="N376" s="8" t="n">
        <f aca="true">NORMINV(RAND(),Assumptions!$B$14,Assumptions!$B$15)</f>
        <v>-0.0285977904526219</v>
      </c>
      <c r="O376" s="8" t="n">
        <f aca="true">NORMINV(RAND(),Assumptions!$B$14,Assumptions!$B$15)</f>
        <v>0.0834266820144199</v>
      </c>
      <c r="P376" s="8" t="n">
        <f aca="true">NORMINV(RAND(),Assumptions!$B$14,Assumptions!$B$15)</f>
        <v>0.0435751733535379</v>
      </c>
      <c r="Q376" s="8" t="n">
        <f aca="true">NORMINV(RAND(),Assumptions!$B$14,Assumptions!$B$15)</f>
        <v>0.0537040972163718</v>
      </c>
      <c r="R376" s="8" t="n">
        <f aca="true">NORMINV(RAND(),Assumptions!$B$14,Assumptions!$B$15)</f>
        <v>0.00803068252588203</v>
      </c>
      <c r="S376" s="8" t="n">
        <f aca="true">NORMINV(RAND(),Assumptions!$B$14,Assumptions!$B$15)</f>
        <v>0.0692830563116214</v>
      </c>
      <c r="T376" s="8" t="n">
        <f aca="false">Assumptions!$B$19*H376+(1-Assumptions!$B$19)*N376</f>
        <v>-0.147202464251388</v>
      </c>
      <c r="U376" s="8" t="n">
        <f aca="false">Assumptions!$B$20*I376+(1-Assumptions!$B$20)*O376</f>
        <v>-0.510067701772315</v>
      </c>
      <c r="V376" s="8" t="n">
        <f aca="false">Assumptions!$B$21*J376+(1-Assumptions!$B$21)*P376</f>
        <v>0.229677819238397</v>
      </c>
      <c r="W376" s="8" t="n">
        <f aca="false">Assumptions!$B$22*K376+(1-Assumptions!$B$22)*Q376</f>
        <v>0.246462671934847</v>
      </c>
      <c r="X376" s="8" t="n">
        <f aca="false">Assumptions!$B$23*L376+(1-Assumptions!$B$23)*R376</f>
        <v>0.143526370894029</v>
      </c>
      <c r="Y376" s="8" t="n">
        <f aca="false">Assumptions!$B$24*M376+(1-Assumptions!$B$24)*S376</f>
        <v>0.221982031968836</v>
      </c>
      <c r="Z376" s="6" t="n">
        <f aca="false">Assumptions!$B$27*(1+T376)</f>
        <v>255839.260724584</v>
      </c>
      <c r="AA376" s="6" t="n">
        <f aca="false">(Z376+Assumptions!$B$28)*(1+U376)</f>
        <v>198833.76171782</v>
      </c>
      <c r="AB376" s="6" t="n">
        <f aca="false">AA376*(1+V376)</f>
        <v>244501.466500136</v>
      </c>
      <c r="AC376" s="6" t="n">
        <f aca="false">AB376*(1+W376)</f>
        <v>304761.951225748</v>
      </c>
      <c r="AD376" s="6" t="n">
        <f aca="false">AC376*(1+X376)</f>
        <v>348503.328071763</v>
      </c>
      <c r="AE376" s="6" t="n">
        <f aca="false">AD376*(1+Y376)</f>
        <v>425864.804985035</v>
      </c>
      <c r="AF376" s="6" t="n">
        <f aca="false">Z376</f>
        <v>255839.260724584</v>
      </c>
      <c r="AG376" s="6" t="n">
        <f aca="false">MAX(AF376,AA376)</f>
        <v>255839.260724584</v>
      </c>
      <c r="AH376" s="6" t="n">
        <f aca="false">MAX(AG376,AB376)</f>
        <v>255839.260724584</v>
      </c>
      <c r="AI376" s="6" t="n">
        <f aca="false">MAX(AH376,AC376)</f>
        <v>304761.951225748</v>
      </c>
      <c r="AJ376" s="6" t="n">
        <f aca="false">MAX(AI376,AD376)</f>
        <v>348503.328071763</v>
      </c>
      <c r="AK376" s="6" t="n">
        <f aca="false">MAX(AJ376,AE376)</f>
        <v>425864.804985035</v>
      </c>
      <c r="AL376" s="8" t="n">
        <f aca="false">MIN(Z376/AF376-1,AA376/AG376-1,AB376/AH376-1,AC376/AI376-1,AD376/AJ376-1,AE376/AK376-1)</f>
        <v>-0.222817634968588</v>
      </c>
      <c r="AM376" s="6" t="n">
        <f aca="false">AE376-Assumptions!$B$35</f>
        <v>-15399.191677469</v>
      </c>
    </row>
    <row r="377" customFormat="false" ht="15" hidden="false" customHeight="false" outlineLevel="0" collapsed="false">
      <c r="A377" s="0" t="n">
        <f aca="false">ROW()-1</f>
        <v>376</v>
      </c>
      <c r="B377" s="0" t="str">
        <f aca="true">IF(RAND()&lt;Assumptions!$B$11,"Bull","Bear")</f>
        <v>Bull</v>
      </c>
      <c r="C377" s="0" t="str">
        <f aca="true">IF(B377="Bull",IF(RAND()&lt;Assumptions!$B$7,"Bull","Bear"),IF(RAND()&lt;Assumptions!$B$10,"Bear","Bull"))</f>
        <v>Bear</v>
      </c>
      <c r="D377" s="0" t="str">
        <f aca="true">IF(C377="Bull",IF(RAND()&lt;Assumptions!$B$7,"Bull","Bear"),IF(RAND()&lt;Assumptions!$B$10,"Bear","Bull"))</f>
        <v>Bull</v>
      </c>
      <c r="E377" s="0" t="str">
        <f aca="true">IF(D377="Bull",IF(RAND()&lt;Assumptions!$B$7,"Bull","Bear"),IF(RAND()&lt;Assumptions!$B$10,"Bear","Bull"))</f>
        <v>Bull</v>
      </c>
      <c r="F377" s="0" t="str">
        <f aca="true">IF(E377="Bull",IF(RAND()&lt;Assumptions!$B$7,"Bull","Bear"),IF(RAND()&lt;Assumptions!$B$10,"Bear","Bull"))</f>
        <v>Bull</v>
      </c>
      <c r="G377" s="0" t="str">
        <f aca="true">IF(F377="Bull",IF(RAND()&lt;Assumptions!$B$7,"Bull","Bear"),IF(RAND()&lt;Assumptions!$B$10,"Bear","Bull"))</f>
        <v>Bull</v>
      </c>
      <c r="H377" s="8" t="n">
        <f aca="true">IF(B377="Bull",NORMINV(RAND(),Assumptions!$B$5,Assumptions!$B$6),NORMINV(RAND(),Assumptions!$B$8,Assumptions!$B$9))</f>
        <v>0.112164015056058</v>
      </c>
      <c r="I377" s="8" t="n">
        <f aca="true">IF(C377="Bull",NORMINV(RAND(),Assumptions!$B$5,Assumptions!$B$6),NORMINV(RAND(),Assumptions!$B$8,Assumptions!$B$9))</f>
        <v>0.340647744801542</v>
      </c>
      <c r="J377" s="8" t="n">
        <f aca="true">IF(D377="Bull",NORMINV(RAND(),Assumptions!$B$5,Assumptions!$B$6),NORMINV(RAND(),Assumptions!$B$8,Assumptions!$B$9))</f>
        <v>0.045024398747544</v>
      </c>
      <c r="K377" s="8" t="n">
        <f aca="true">IF(E377="Bull",NORMINV(RAND(),Assumptions!$B$5,Assumptions!$B$6),NORMINV(RAND(),Assumptions!$B$8,Assumptions!$B$9))</f>
        <v>0.177547685605157</v>
      </c>
      <c r="L377" s="8" t="n">
        <f aca="true">IF(F377="Bull",NORMINV(RAND(),Assumptions!$B$5,Assumptions!$B$6),NORMINV(RAND(),Assumptions!$B$8,Assumptions!$B$9))</f>
        <v>0.0193775718760746</v>
      </c>
      <c r="M377" s="8" t="n">
        <f aca="true">IF(G377="Bull",NORMINV(RAND(),Assumptions!$B$5,Assumptions!$B$6),NORMINV(RAND(),Assumptions!$B$8,Assumptions!$B$9))</f>
        <v>0.198103445205245</v>
      </c>
      <c r="N377" s="8" t="n">
        <f aca="true">NORMINV(RAND(),Assumptions!$B$14,Assumptions!$B$15)</f>
        <v>0.00198187067235079</v>
      </c>
      <c r="O377" s="8" t="n">
        <f aca="true">NORMINV(RAND(),Assumptions!$B$14,Assumptions!$B$15)</f>
        <v>0.0268519608618998</v>
      </c>
      <c r="P377" s="8" t="n">
        <f aca="true">NORMINV(RAND(),Assumptions!$B$14,Assumptions!$B$15)</f>
        <v>-0.000824575207063097</v>
      </c>
      <c r="Q377" s="8" t="n">
        <f aca="true">NORMINV(RAND(),Assumptions!$B$14,Assumptions!$B$15)</f>
        <v>0.0375877700214343</v>
      </c>
      <c r="R377" s="8" t="n">
        <f aca="true">NORMINV(RAND(),Assumptions!$B$14,Assumptions!$B$15)</f>
        <v>0.00385186130806704</v>
      </c>
      <c r="S377" s="8" t="n">
        <f aca="true">NORMINV(RAND(),Assumptions!$B$14,Assumptions!$B$15)</f>
        <v>0.0261127444628625</v>
      </c>
      <c r="T377" s="8" t="n">
        <f aca="false">Assumptions!$B$19*H377+(1-Assumptions!$B$19)*N377</f>
        <v>0.112164015056058</v>
      </c>
      <c r="U377" s="8" t="n">
        <f aca="false">Assumptions!$B$20*I377+(1-Assumptions!$B$20)*O377</f>
        <v>0.340647744801542</v>
      </c>
      <c r="V377" s="8" t="n">
        <f aca="false">Assumptions!$B$21*J377+(1-Assumptions!$B$21)*P377</f>
        <v>0.045024398747544</v>
      </c>
      <c r="W377" s="8" t="n">
        <f aca="false">Assumptions!$B$22*K377+(1-Assumptions!$B$22)*Q377</f>
        <v>0.177547685605157</v>
      </c>
      <c r="X377" s="8" t="n">
        <f aca="false">Assumptions!$B$23*L377+(1-Assumptions!$B$23)*R377</f>
        <v>0.0162724297624731</v>
      </c>
      <c r="Y377" s="8" t="n">
        <f aca="false">Assumptions!$B$24*M377+(1-Assumptions!$B$24)*S377</f>
        <v>0.129307164908292</v>
      </c>
      <c r="Z377" s="6" t="n">
        <f aca="false">Assumptions!$B$27*(1+T377)</f>
        <v>333649.204516817</v>
      </c>
      <c r="AA377" s="6" t="n">
        <f aca="false">(Z377+Assumptions!$B$28)*(1+U377)</f>
        <v>648403.215310531</v>
      </c>
      <c r="AB377" s="6" t="n">
        <f aca="false">AA377*(1+V377)</f>
        <v>677597.180225862</v>
      </c>
      <c r="AC377" s="6" t="n">
        <f aca="false">AB377*(1+W377)</f>
        <v>797902.991347544</v>
      </c>
      <c r="AD377" s="6" t="n">
        <f aca="false">AC377*(1+X377)</f>
        <v>810886.811731514</v>
      </c>
      <c r="AE377" s="6" t="n">
        <f aca="false">AD377*(1+Y377)</f>
        <v>915740.28641804</v>
      </c>
      <c r="AF377" s="6" t="n">
        <f aca="false">Z377</f>
        <v>333649.204516817</v>
      </c>
      <c r="AG377" s="6" t="n">
        <f aca="false">MAX(AF377,AA377)</f>
        <v>648403.215310531</v>
      </c>
      <c r="AH377" s="6" t="n">
        <f aca="false">MAX(AG377,AB377)</f>
        <v>677597.180225862</v>
      </c>
      <c r="AI377" s="6" t="n">
        <f aca="false">MAX(AH377,AC377)</f>
        <v>797902.991347544</v>
      </c>
      <c r="AJ377" s="6" t="n">
        <f aca="false">MAX(AI377,AD377)</f>
        <v>810886.811731514</v>
      </c>
      <c r="AK377" s="6" t="n">
        <f aca="false">MAX(AJ377,AE377)</f>
        <v>915740.28641804</v>
      </c>
      <c r="AL377" s="8" t="n">
        <f aca="false">MIN(Z377/AF377-1,AA377/AG377-1,AB377/AH377-1,AC377/AI377-1,AD377/AJ377-1,AE377/AK377-1)</f>
        <v>0</v>
      </c>
      <c r="AM377" s="6" t="n">
        <f aca="false">AE377-Assumptions!$B$35</f>
        <v>474476.289755536</v>
      </c>
    </row>
    <row r="378" customFormat="false" ht="15" hidden="false" customHeight="false" outlineLevel="0" collapsed="false">
      <c r="A378" s="0" t="n">
        <f aca="false">ROW()-1</f>
        <v>377</v>
      </c>
      <c r="B378" s="0" t="str">
        <f aca="true">IF(RAND()&lt;Assumptions!$B$11,"Bull","Bear")</f>
        <v>Bull</v>
      </c>
      <c r="C378" s="0" t="str">
        <f aca="true">IF(B378="Bull",IF(RAND()&lt;Assumptions!$B$7,"Bull","Bear"),IF(RAND()&lt;Assumptions!$B$10,"Bear","Bull"))</f>
        <v>Bear</v>
      </c>
      <c r="D378" s="0" t="str">
        <f aca="true">IF(C378="Bull",IF(RAND()&lt;Assumptions!$B$7,"Bull","Bear"),IF(RAND()&lt;Assumptions!$B$10,"Bear","Bull"))</f>
        <v>Bull</v>
      </c>
      <c r="E378" s="0" t="str">
        <f aca="true">IF(D378="Bull",IF(RAND()&lt;Assumptions!$B$7,"Bull","Bear"),IF(RAND()&lt;Assumptions!$B$10,"Bear","Bull"))</f>
        <v>Bull</v>
      </c>
      <c r="F378" s="0" t="str">
        <f aca="true">IF(E378="Bull",IF(RAND()&lt;Assumptions!$B$7,"Bull","Bear"),IF(RAND()&lt;Assumptions!$B$10,"Bear","Bull"))</f>
        <v>Bull</v>
      </c>
      <c r="G378" s="0" t="str">
        <f aca="true">IF(F378="Bull",IF(RAND()&lt;Assumptions!$B$7,"Bull","Bear"),IF(RAND()&lt;Assumptions!$B$10,"Bear","Bull"))</f>
        <v>Bull</v>
      </c>
      <c r="H378" s="8" t="n">
        <f aca="true">IF(B378="Bull",NORMINV(RAND(),Assumptions!$B$5,Assumptions!$B$6),NORMINV(RAND(),Assumptions!$B$8,Assumptions!$B$9))</f>
        <v>0.226663864855712</v>
      </c>
      <c r="I378" s="8" t="n">
        <f aca="true">IF(C378="Bull",NORMINV(RAND(),Assumptions!$B$5,Assumptions!$B$6),NORMINV(RAND(),Assumptions!$B$8,Assumptions!$B$9))</f>
        <v>0.0616056629899885</v>
      </c>
      <c r="J378" s="8" t="n">
        <f aca="true">IF(D378="Bull",NORMINV(RAND(),Assumptions!$B$5,Assumptions!$B$6),NORMINV(RAND(),Assumptions!$B$8,Assumptions!$B$9))</f>
        <v>0.0605868301780428</v>
      </c>
      <c r="K378" s="8" t="n">
        <f aca="true">IF(E378="Bull",NORMINV(RAND(),Assumptions!$B$5,Assumptions!$B$6),NORMINV(RAND(),Assumptions!$B$8,Assumptions!$B$9))</f>
        <v>0.273421032262157</v>
      </c>
      <c r="L378" s="8" t="n">
        <f aca="true">IF(F378="Bull",NORMINV(RAND(),Assumptions!$B$5,Assumptions!$B$6),NORMINV(RAND(),Assumptions!$B$8,Assumptions!$B$9))</f>
        <v>0.15636386942149</v>
      </c>
      <c r="M378" s="8" t="n">
        <f aca="true">IF(G378="Bull",NORMINV(RAND(),Assumptions!$B$5,Assumptions!$B$6),NORMINV(RAND(),Assumptions!$B$8,Assumptions!$B$9))</f>
        <v>0.0149251535442434</v>
      </c>
      <c r="N378" s="8" t="n">
        <f aca="true">NORMINV(RAND(),Assumptions!$B$14,Assumptions!$B$15)</f>
        <v>0.0461350800983358</v>
      </c>
      <c r="O378" s="8" t="n">
        <f aca="true">NORMINV(RAND(),Assumptions!$B$14,Assumptions!$B$15)</f>
        <v>0.0260111363752584</v>
      </c>
      <c r="P378" s="8" t="n">
        <f aca="true">NORMINV(RAND(),Assumptions!$B$14,Assumptions!$B$15)</f>
        <v>0.0653320604813048</v>
      </c>
      <c r="Q378" s="8" t="n">
        <f aca="true">NORMINV(RAND(),Assumptions!$B$14,Assumptions!$B$15)</f>
        <v>0.0575017839459591</v>
      </c>
      <c r="R378" s="8" t="n">
        <f aca="true">NORMINV(RAND(),Assumptions!$B$14,Assumptions!$B$15)</f>
        <v>0.0104866861727165</v>
      </c>
      <c r="S378" s="8" t="n">
        <f aca="true">NORMINV(RAND(),Assumptions!$B$14,Assumptions!$B$15)</f>
        <v>0.101812642436562</v>
      </c>
      <c r="T378" s="8" t="n">
        <f aca="false">Assumptions!$B$19*H378+(1-Assumptions!$B$19)*N378</f>
        <v>0.226663864855712</v>
      </c>
      <c r="U378" s="8" t="n">
        <f aca="false">Assumptions!$B$20*I378+(1-Assumptions!$B$20)*O378</f>
        <v>0.0616056629899885</v>
      </c>
      <c r="V378" s="8" t="n">
        <f aca="false">Assumptions!$B$21*J378+(1-Assumptions!$B$21)*P378</f>
        <v>0.0605868301780428</v>
      </c>
      <c r="W378" s="8" t="n">
        <f aca="false">Assumptions!$B$22*K378+(1-Assumptions!$B$22)*Q378</f>
        <v>0.273421032262157</v>
      </c>
      <c r="X378" s="8" t="n">
        <f aca="false">Assumptions!$B$23*L378+(1-Assumptions!$B$23)*R378</f>
        <v>0.127188432771736</v>
      </c>
      <c r="Y378" s="8" t="n">
        <f aca="false">Assumptions!$B$24*M378+(1-Assumptions!$B$24)*S378</f>
        <v>0.0496801491011708</v>
      </c>
      <c r="Z378" s="6" t="n">
        <f aca="false">Assumptions!$B$27*(1+T378)</f>
        <v>367999.159456714</v>
      </c>
      <c r="AA378" s="6" t="n">
        <f aca="false">(Z378+Assumptions!$B$28)*(1+U378)</f>
        <v>549910.841103301</v>
      </c>
      <c r="AB378" s="6" t="n">
        <f aca="false">AA378*(1+V378)</f>
        <v>583228.195846291</v>
      </c>
      <c r="AC378" s="6" t="n">
        <f aca="false">AB378*(1+W378)</f>
        <v>742695.05119898</v>
      </c>
      <c r="AD378" s="6" t="n">
        <f aca="false">AC378*(1+X378)</f>
        <v>837157.270788302</v>
      </c>
      <c r="AE378" s="6" t="n">
        <f aca="false">AD378*(1+Y378)</f>
        <v>878747.368822194</v>
      </c>
      <c r="AF378" s="6" t="n">
        <f aca="false">Z378</f>
        <v>367999.159456714</v>
      </c>
      <c r="AG378" s="6" t="n">
        <f aca="false">MAX(AF378,AA378)</f>
        <v>549910.841103301</v>
      </c>
      <c r="AH378" s="6" t="n">
        <f aca="false">MAX(AG378,AB378)</f>
        <v>583228.195846291</v>
      </c>
      <c r="AI378" s="6" t="n">
        <f aca="false">MAX(AH378,AC378)</f>
        <v>742695.05119898</v>
      </c>
      <c r="AJ378" s="6" t="n">
        <f aca="false">MAX(AI378,AD378)</f>
        <v>837157.270788302</v>
      </c>
      <c r="AK378" s="6" t="n">
        <f aca="false">MAX(AJ378,AE378)</f>
        <v>878747.368822194</v>
      </c>
      <c r="AL378" s="8" t="n">
        <f aca="false">MIN(Z378/AF378-1,AA378/AG378-1,AB378/AH378-1,AC378/AI378-1,AD378/AJ378-1,AE378/AK378-1)</f>
        <v>0</v>
      </c>
      <c r="AM378" s="6" t="n">
        <f aca="false">AE378-Assumptions!$B$35</f>
        <v>437483.37215969</v>
      </c>
    </row>
    <row r="379" customFormat="false" ht="15" hidden="false" customHeight="false" outlineLevel="0" collapsed="false">
      <c r="A379" s="0" t="n">
        <f aca="false">ROW()-1</f>
        <v>378</v>
      </c>
      <c r="B379" s="0" t="str">
        <f aca="true">IF(RAND()&lt;Assumptions!$B$11,"Bull","Bear")</f>
        <v>Bull</v>
      </c>
      <c r="C379" s="0" t="str">
        <f aca="true">IF(B379="Bull",IF(RAND()&lt;Assumptions!$B$7,"Bull","Bear"),IF(RAND()&lt;Assumptions!$B$10,"Bear","Bull"))</f>
        <v>Bear</v>
      </c>
      <c r="D379" s="0" t="str">
        <f aca="true">IF(C379="Bull",IF(RAND()&lt;Assumptions!$B$7,"Bull","Bear"),IF(RAND()&lt;Assumptions!$B$10,"Bear","Bull"))</f>
        <v>Bear</v>
      </c>
      <c r="E379" s="0" t="str">
        <f aca="true">IF(D379="Bull",IF(RAND()&lt;Assumptions!$B$7,"Bull","Bear"),IF(RAND()&lt;Assumptions!$B$10,"Bear","Bull"))</f>
        <v>Bull</v>
      </c>
      <c r="F379" s="0" t="str">
        <f aca="true">IF(E379="Bull",IF(RAND()&lt;Assumptions!$B$7,"Bull","Bear"),IF(RAND()&lt;Assumptions!$B$10,"Bear","Bull"))</f>
        <v>Bull</v>
      </c>
      <c r="G379" s="0" t="str">
        <f aca="true">IF(F379="Bull",IF(RAND()&lt;Assumptions!$B$7,"Bull","Bear"),IF(RAND()&lt;Assumptions!$B$10,"Bear","Bull"))</f>
        <v>Bull</v>
      </c>
      <c r="H379" s="8" t="n">
        <f aca="true">IF(B379="Bull",NORMINV(RAND(),Assumptions!$B$5,Assumptions!$B$6),NORMINV(RAND(),Assumptions!$B$8,Assumptions!$B$9))</f>
        <v>0.25392527417106</v>
      </c>
      <c r="I379" s="8" t="n">
        <f aca="true">IF(C379="Bull",NORMINV(RAND(),Assumptions!$B$5,Assumptions!$B$6),NORMINV(RAND(),Assumptions!$B$8,Assumptions!$B$9))</f>
        <v>0.442519128628013</v>
      </c>
      <c r="J379" s="8" t="n">
        <f aca="true">IF(D379="Bull",NORMINV(RAND(),Assumptions!$B$5,Assumptions!$B$6),NORMINV(RAND(),Assumptions!$B$8,Assumptions!$B$9))</f>
        <v>-0.162072298339655</v>
      </c>
      <c r="K379" s="8" t="n">
        <f aca="true">IF(E379="Bull",NORMINV(RAND(),Assumptions!$B$5,Assumptions!$B$6),NORMINV(RAND(),Assumptions!$B$8,Assumptions!$B$9))</f>
        <v>0.0688593883603385</v>
      </c>
      <c r="L379" s="8" t="n">
        <f aca="true">IF(F379="Bull",NORMINV(RAND(),Assumptions!$B$5,Assumptions!$B$6),NORMINV(RAND(),Assumptions!$B$8,Assumptions!$B$9))</f>
        <v>0.0654603072010923</v>
      </c>
      <c r="M379" s="8" t="n">
        <f aca="true">IF(G379="Bull",NORMINV(RAND(),Assumptions!$B$5,Assumptions!$B$6),NORMINV(RAND(),Assumptions!$B$8,Assumptions!$B$9))</f>
        <v>0.153318003580166</v>
      </c>
      <c r="N379" s="8" t="n">
        <f aca="true">NORMINV(RAND(),Assumptions!$B$14,Assumptions!$B$15)</f>
        <v>0.0646374208860797</v>
      </c>
      <c r="O379" s="8" t="n">
        <f aca="true">NORMINV(RAND(),Assumptions!$B$14,Assumptions!$B$15)</f>
        <v>0.0851820156272765</v>
      </c>
      <c r="P379" s="8" t="n">
        <f aca="true">NORMINV(RAND(),Assumptions!$B$14,Assumptions!$B$15)</f>
        <v>0.104001502401217</v>
      </c>
      <c r="Q379" s="8" t="n">
        <f aca="true">NORMINV(RAND(),Assumptions!$B$14,Assumptions!$B$15)</f>
        <v>0.0344849830108191</v>
      </c>
      <c r="R379" s="8" t="n">
        <f aca="true">NORMINV(RAND(),Assumptions!$B$14,Assumptions!$B$15)</f>
        <v>0.0580301898415521</v>
      </c>
      <c r="S379" s="8" t="n">
        <f aca="true">NORMINV(RAND(),Assumptions!$B$14,Assumptions!$B$15)</f>
        <v>0.0684523048218316</v>
      </c>
      <c r="T379" s="8" t="n">
        <f aca="false">Assumptions!$B$19*H379+(1-Assumptions!$B$19)*N379</f>
        <v>0.25392527417106</v>
      </c>
      <c r="U379" s="8" t="n">
        <f aca="false">Assumptions!$B$20*I379+(1-Assumptions!$B$20)*O379</f>
        <v>0.442519128628013</v>
      </c>
      <c r="V379" s="8" t="n">
        <f aca="false">Assumptions!$B$21*J379+(1-Assumptions!$B$21)*P379</f>
        <v>-0.162072298339655</v>
      </c>
      <c r="W379" s="8" t="n">
        <f aca="false">Assumptions!$B$22*K379+(1-Assumptions!$B$22)*Q379</f>
        <v>0.0688593883603385</v>
      </c>
      <c r="X379" s="8" t="n">
        <f aca="false">Assumptions!$B$23*L379+(1-Assumptions!$B$23)*R379</f>
        <v>0.0639742837291843</v>
      </c>
      <c r="Y379" s="8" t="n">
        <f aca="false">Assumptions!$B$24*M379+(1-Assumptions!$B$24)*S379</f>
        <v>0.119371724076833</v>
      </c>
      <c r="Z379" s="6" t="n">
        <f aca="false">Assumptions!$B$27*(1+T379)</f>
        <v>376177.582251318</v>
      </c>
      <c r="AA379" s="6" t="n">
        <f aca="false">(Z379+Assumptions!$B$28)*(1+U379)</f>
        <v>759021.227452765</v>
      </c>
      <c r="AB379" s="6" t="n">
        <f aca="false">AA379*(1+V379)</f>
        <v>636004.912630909</v>
      </c>
      <c r="AC379" s="6" t="n">
        <f aca="false">AB379*(1+W379)</f>
        <v>679799.821908844</v>
      </c>
      <c r="AD379" s="6" t="n">
        <f aca="false">AC379*(1+X379)</f>
        <v>723289.52859469</v>
      </c>
      <c r="AE379" s="6" t="n">
        <f aca="false">AD379*(1+Y379)</f>
        <v>809629.846629757</v>
      </c>
      <c r="AF379" s="6" t="n">
        <f aca="false">Z379</f>
        <v>376177.582251318</v>
      </c>
      <c r="AG379" s="6" t="n">
        <f aca="false">MAX(AF379,AA379)</f>
        <v>759021.227452765</v>
      </c>
      <c r="AH379" s="6" t="n">
        <f aca="false">MAX(AG379,AB379)</f>
        <v>759021.227452765</v>
      </c>
      <c r="AI379" s="6" t="n">
        <f aca="false">MAX(AH379,AC379)</f>
        <v>759021.227452765</v>
      </c>
      <c r="AJ379" s="6" t="n">
        <f aca="false">MAX(AI379,AD379)</f>
        <v>759021.227452765</v>
      </c>
      <c r="AK379" s="6" t="n">
        <f aca="false">MAX(AJ379,AE379)</f>
        <v>809629.846629757</v>
      </c>
      <c r="AL379" s="8" t="n">
        <f aca="false">MIN(Z379/AF379-1,AA379/AG379-1,AB379/AH379-1,AC379/AI379-1,AD379/AJ379-1,AE379/AK379-1)</f>
        <v>-0.162072298339655</v>
      </c>
      <c r="AM379" s="6" t="n">
        <f aca="false">AE379-Assumptions!$B$35</f>
        <v>368365.849967254</v>
      </c>
    </row>
    <row r="380" customFormat="false" ht="15" hidden="false" customHeight="false" outlineLevel="0" collapsed="false">
      <c r="A380" s="0" t="n">
        <f aca="false">ROW()-1</f>
        <v>379</v>
      </c>
      <c r="B380" s="0" t="str">
        <f aca="true">IF(RAND()&lt;Assumptions!$B$11,"Bull","Bear")</f>
        <v>Bull</v>
      </c>
      <c r="C380" s="0" t="str">
        <f aca="true">IF(B380="Bull",IF(RAND()&lt;Assumptions!$B$7,"Bull","Bear"),IF(RAND()&lt;Assumptions!$B$10,"Bear","Bull"))</f>
        <v>Bull</v>
      </c>
      <c r="D380" s="0" t="str">
        <f aca="true">IF(C380="Bull",IF(RAND()&lt;Assumptions!$B$7,"Bull","Bear"),IF(RAND()&lt;Assumptions!$B$10,"Bear","Bull"))</f>
        <v>Bull</v>
      </c>
      <c r="E380" s="0" t="str">
        <f aca="true">IF(D380="Bull",IF(RAND()&lt;Assumptions!$B$7,"Bull","Bear"),IF(RAND()&lt;Assumptions!$B$10,"Bear","Bull"))</f>
        <v>Bull</v>
      </c>
      <c r="F380" s="0" t="str">
        <f aca="true">IF(E380="Bull",IF(RAND()&lt;Assumptions!$B$7,"Bull","Bear"),IF(RAND()&lt;Assumptions!$B$10,"Bear","Bull"))</f>
        <v>Bull</v>
      </c>
      <c r="G380" s="0" t="str">
        <f aca="true">IF(F380="Bull",IF(RAND()&lt;Assumptions!$B$7,"Bull","Bear"),IF(RAND()&lt;Assumptions!$B$10,"Bear","Bull"))</f>
        <v>Bear</v>
      </c>
      <c r="H380" s="8" t="n">
        <f aca="true">IF(B380="Bull",NORMINV(RAND(),Assumptions!$B$5,Assumptions!$B$6),NORMINV(RAND(),Assumptions!$B$8,Assumptions!$B$9))</f>
        <v>0.327505448669543</v>
      </c>
      <c r="I380" s="8" t="n">
        <f aca="true">IF(C380="Bull",NORMINV(RAND(),Assumptions!$B$5,Assumptions!$B$6),NORMINV(RAND(),Assumptions!$B$8,Assumptions!$B$9))</f>
        <v>-0.0021948958494652</v>
      </c>
      <c r="J380" s="8" t="n">
        <f aca="true">IF(D380="Bull",NORMINV(RAND(),Assumptions!$B$5,Assumptions!$B$6),NORMINV(RAND(),Assumptions!$B$8,Assumptions!$B$9))</f>
        <v>-0.00286348894754079</v>
      </c>
      <c r="K380" s="8" t="n">
        <f aca="true">IF(E380="Bull",NORMINV(RAND(),Assumptions!$B$5,Assumptions!$B$6),NORMINV(RAND(),Assumptions!$B$8,Assumptions!$B$9))</f>
        <v>0.170078692379107</v>
      </c>
      <c r="L380" s="8" t="n">
        <f aca="true">IF(F380="Bull",NORMINV(RAND(),Assumptions!$B$5,Assumptions!$B$6),NORMINV(RAND(),Assumptions!$B$8,Assumptions!$B$9))</f>
        <v>0.161842345472157</v>
      </c>
      <c r="M380" s="8" t="n">
        <f aca="true">IF(G380="Bull",NORMINV(RAND(),Assumptions!$B$5,Assumptions!$B$6),NORMINV(RAND(),Assumptions!$B$8,Assumptions!$B$9))</f>
        <v>-0.0792612044171531</v>
      </c>
      <c r="N380" s="8" t="n">
        <f aca="true">NORMINV(RAND(),Assumptions!$B$14,Assumptions!$B$15)</f>
        <v>0.0287545064072106</v>
      </c>
      <c r="O380" s="8" t="n">
        <f aca="true">NORMINV(RAND(),Assumptions!$B$14,Assumptions!$B$15)</f>
        <v>0.0289949216703788</v>
      </c>
      <c r="P380" s="8" t="n">
        <f aca="true">NORMINV(RAND(),Assumptions!$B$14,Assumptions!$B$15)</f>
        <v>0.0337969213098995</v>
      </c>
      <c r="Q380" s="8" t="n">
        <f aca="true">NORMINV(RAND(),Assumptions!$B$14,Assumptions!$B$15)</f>
        <v>0.0374528979656267</v>
      </c>
      <c r="R380" s="8" t="n">
        <f aca="true">NORMINV(RAND(),Assumptions!$B$14,Assumptions!$B$15)</f>
        <v>0.0406342190153236</v>
      </c>
      <c r="S380" s="8" t="n">
        <f aca="true">NORMINV(RAND(),Assumptions!$B$14,Assumptions!$B$15)</f>
        <v>0.0231966525690626</v>
      </c>
      <c r="T380" s="8" t="n">
        <f aca="false">Assumptions!$B$19*H380+(1-Assumptions!$B$19)*N380</f>
        <v>0.327505448669543</v>
      </c>
      <c r="U380" s="8" t="n">
        <f aca="false">Assumptions!$B$20*I380+(1-Assumptions!$B$20)*O380</f>
        <v>-0.0021948958494652</v>
      </c>
      <c r="V380" s="8" t="n">
        <f aca="false">Assumptions!$B$21*J380+(1-Assumptions!$B$21)*P380</f>
        <v>-0.00286348894754079</v>
      </c>
      <c r="W380" s="8" t="n">
        <f aca="false">Assumptions!$B$22*K380+(1-Assumptions!$B$22)*Q380</f>
        <v>0.170078692379107</v>
      </c>
      <c r="X380" s="8" t="n">
        <f aca="false">Assumptions!$B$23*L380+(1-Assumptions!$B$23)*R380</f>
        <v>0.13760072018079</v>
      </c>
      <c r="Y380" s="8" t="n">
        <f aca="false">Assumptions!$B$24*M380+(1-Assumptions!$B$24)*S380</f>
        <v>-0.0382780616226668</v>
      </c>
      <c r="Z380" s="6" t="n">
        <f aca="false">Assumptions!$B$27*(1+T380)</f>
        <v>398251.634600863</v>
      </c>
      <c r="AA380" s="6" t="n">
        <f aca="false">(Z380+Assumptions!$B$28)*(1+U380)</f>
        <v>547048.279363615</v>
      </c>
      <c r="AB380" s="6" t="n">
        <f aca="false">AA380*(1+V380)</f>
        <v>545481.812661886</v>
      </c>
      <c r="AC380" s="6" t="n">
        <f aca="false">AB380*(1+W380)</f>
        <v>638256.646076005</v>
      </c>
      <c r="AD380" s="6" t="n">
        <f aca="false">AC380*(1+X380)</f>
        <v>726081.220236239</v>
      </c>
      <c r="AE380" s="6" t="n">
        <f aca="false">AD380*(1+Y380)</f>
        <v>698288.238544975</v>
      </c>
      <c r="AF380" s="6" t="n">
        <f aca="false">Z380</f>
        <v>398251.634600863</v>
      </c>
      <c r="AG380" s="6" t="n">
        <f aca="false">MAX(AF380,AA380)</f>
        <v>547048.279363615</v>
      </c>
      <c r="AH380" s="6" t="n">
        <f aca="false">MAX(AG380,AB380)</f>
        <v>547048.279363615</v>
      </c>
      <c r="AI380" s="6" t="n">
        <f aca="false">MAX(AH380,AC380)</f>
        <v>638256.646076005</v>
      </c>
      <c r="AJ380" s="6" t="n">
        <f aca="false">MAX(AI380,AD380)</f>
        <v>726081.220236239</v>
      </c>
      <c r="AK380" s="6" t="n">
        <f aca="false">MAX(AJ380,AE380)</f>
        <v>726081.220236239</v>
      </c>
      <c r="AL380" s="8" t="n">
        <f aca="false">MIN(Z380/AF380-1,AA380/AG380-1,AB380/AH380-1,AC380/AI380-1,AD380/AJ380-1,AE380/AK380-1)</f>
        <v>-0.0382780616226668</v>
      </c>
      <c r="AM380" s="6" t="n">
        <f aca="false">AE380-Assumptions!$B$35</f>
        <v>257024.241882472</v>
      </c>
    </row>
    <row r="381" customFormat="false" ht="15" hidden="false" customHeight="false" outlineLevel="0" collapsed="false">
      <c r="A381" s="0" t="n">
        <f aca="false">ROW()-1</f>
        <v>380</v>
      </c>
      <c r="B381" s="0" t="str">
        <f aca="true">IF(RAND()&lt;Assumptions!$B$11,"Bull","Bear")</f>
        <v>Bull</v>
      </c>
      <c r="C381" s="0" t="str">
        <f aca="true">IF(B381="Bull",IF(RAND()&lt;Assumptions!$B$7,"Bull","Bear"),IF(RAND()&lt;Assumptions!$B$10,"Bear","Bull"))</f>
        <v>Bear</v>
      </c>
      <c r="D381" s="0" t="str">
        <f aca="true">IF(C381="Bull",IF(RAND()&lt;Assumptions!$B$7,"Bull","Bear"),IF(RAND()&lt;Assumptions!$B$10,"Bear","Bull"))</f>
        <v>Bear</v>
      </c>
      <c r="E381" s="0" t="str">
        <f aca="true">IF(D381="Bull",IF(RAND()&lt;Assumptions!$B$7,"Bull","Bear"),IF(RAND()&lt;Assumptions!$B$10,"Bear","Bull"))</f>
        <v>Bear</v>
      </c>
      <c r="F381" s="0" t="str">
        <f aca="true">IF(E381="Bull",IF(RAND()&lt;Assumptions!$B$7,"Bull","Bear"),IF(RAND()&lt;Assumptions!$B$10,"Bear","Bull"))</f>
        <v>Bull</v>
      </c>
      <c r="G381" s="0" t="str">
        <f aca="true">IF(F381="Bull",IF(RAND()&lt;Assumptions!$B$7,"Bull","Bear"),IF(RAND()&lt;Assumptions!$B$10,"Bear","Bull"))</f>
        <v>Bull</v>
      </c>
      <c r="H381" s="8" t="n">
        <f aca="true">IF(B381="Bull",NORMINV(RAND(),Assumptions!$B$5,Assumptions!$B$6),NORMINV(RAND(),Assumptions!$B$8,Assumptions!$B$9))</f>
        <v>0.325580457464278</v>
      </c>
      <c r="I381" s="8" t="n">
        <f aca="true">IF(C381="Bull",NORMINV(RAND(),Assumptions!$B$5,Assumptions!$B$6),NORMINV(RAND(),Assumptions!$B$8,Assumptions!$B$9))</f>
        <v>0.0375503477258856</v>
      </c>
      <c r="J381" s="8" t="n">
        <f aca="true">IF(D381="Bull",NORMINV(RAND(),Assumptions!$B$5,Assumptions!$B$6),NORMINV(RAND(),Assumptions!$B$8,Assumptions!$B$9))</f>
        <v>-0.0901044465226149</v>
      </c>
      <c r="K381" s="8" t="n">
        <f aca="true">IF(E381="Bull",NORMINV(RAND(),Assumptions!$B$5,Assumptions!$B$6),NORMINV(RAND(),Assumptions!$B$8,Assumptions!$B$9))</f>
        <v>0.233566692499992</v>
      </c>
      <c r="L381" s="8" t="n">
        <f aca="true">IF(F381="Bull",NORMINV(RAND(),Assumptions!$B$5,Assumptions!$B$6),NORMINV(RAND(),Assumptions!$B$8,Assumptions!$B$9))</f>
        <v>0.141759466152617</v>
      </c>
      <c r="M381" s="8" t="n">
        <f aca="true">IF(G381="Bull",NORMINV(RAND(),Assumptions!$B$5,Assumptions!$B$6),NORMINV(RAND(),Assumptions!$B$8,Assumptions!$B$9))</f>
        <v>0.144471128043646</v>
      </c>
      <c r="N381" s="8" t="n">
        <f aca="true">NORMINV(RAND(),Assumptions!$B$14,Assumptions!$B$15)</f>
        <v>0.0916954624444995</v>
      </c>
      <c r="O381" s="8" t="n">
        <f aca="true">NORMINV(RAND(),Assumptions!$B$14,Assumptions!$B$15)</f>
        <v>0.0487342175760733</v>
      </c>
      <c r="P381" s="8" t="n">
        <f aca="true">NORMINV(RAND(),Assumptions!$B$14,Assumptions!$B$15)</f>
        <v>0.057584432618946</v>
      </c>
      <c r="Q381" s="8" t="n">
        <f aca="true">NORMINV(RAND(),Assumptions!$B$14,Assumptions!$B$15)</f>
        <v>0.0924740944069213</v>
      </c>
      <c r="R381" s="8" t="n">
        <f aca="true">NORMINV(RAND(),Assumptions!$B$14,Assumptions!$B$15)</f>
        <v>0.0614042969109824</v>
      </c>
      <c r="S381" s="8" t="n">
        <f aca="true">NORMINV(RAND(),Assumptions!$B$14,Assumptions!$B$15)</f>
        <v>0.00726652011908868</v>
      </c>
      <c r="T381" s="8" t="n">
        <f aca="false">Assumptions!$B$19*H381+(1-Assumptions!$B$19)*N381</f>
        <v>0.325580457464278</v>
      </c>
      <c r="U381" s="8" t="n">
        <f aca="false">Assumptions!$B$20*I381+(1-Assumptions!$B$20)*O381</f>
        <v>0.0375503477258856</v>
      </c>
      <c r="V381" s="8" t="n">
        <f aca="false">Assumptions!$B$21*J381+(1-Assumptions!$B$21)*P381</f>
        <v>-0.0901044465226149</v>
      </c>
      <c r="W381" s="8" t="n">
        <f aca="false">Assumptions!$B$22*K381+(1-Assumptions!$B$22)*Q381</f>
        <v>0.233566692499992</v>
      </c>
      <c r="X381" s="8" t="n">
        <f aca="false">Assumptions!$B$23*L381+(1-Assumptions!$B$23)*R381</f>
        <v>0.12568843230429</v>
      </c>
      <c r="Y381" s="8" t="n">
        <f aca="false">Assumptions!$B$24*M381+(1-Assumptions!$B$24)*S381</f>
        <v>0.0895892848738232</v>
      </c>
      <c r="Z381" s="6" t="n">
        <f aca="false">Assumptions!$B$27*(1+T381)</f>
        <v>397674.137239283</v>
      </c>
      <c r="AA381" s="6" t="n">
        <f aca="false">(Z381+Assumptions!$B$28)*(1+U381)</f>
        <v>568239.491533093</v>
      </c>
      <c r="AB381" s="6" t="n">
        <f aca="false">AA381*(1+V381)</f>
        <v>517038.586656211</v>
      </c>
      <c r="AC381" s="6" t="n">
        <f aca="false">AB381*(1+W381)</f>
        <v>637801.579236373</v>
      </c>
      <c r="AD381" s="6" t="n">
        <f aca="false">AC381*(1+X381)</f>
        <v>717965.859851793</v>
      </c>
      <c r="AE381" s="6" t="n">
        <f aca="false">AD381*(1+Y381)</f>
        <v>782287.907799735</v>
      </c>
      <c r="AF381" s="6" t="n">
        <f aca="false">Z381</f>
        <v>397674.137239283</v>
      </c>
      <c r="AG381" s="6" t="n">
        <f aca="false">MAX(AF381,AA381)</f>
        <v>568239.491533093</v>
      </c>
      <c r="AH381" s="6" t="n">
        <f aca="false">MAX(AG381,AB381)</f>
        <v>568239.491533093</v>
      </c>
      <c r="AI381" s="6" t="n">
        <f aca="false">MAX(AH381,AC381)</f>
        <v>637801.579236373</v>
      </c>
      <c r="AJ381" s="6" t="n">
        <f aca="false">MAX(AI381,AD381)</f>
        <v>717965.859851793</v>
      </c>
      <c r="AK381" s="6" t="n">
        <f aca="false">MAX(AJ381,AE381)</f>
        <v>782287.907799735</v>
      </c>
      <c r="AL381" s="8" t="n">
        <f aca="false">MIN(Z381/AF381-1,AA381/AG381-1,AB381/AH381-1,AC381/AI381-1,AD381/AJ381-1,AE381/AK381-1)</f>
        <v>-0.090104446522615</v>
      </c>
      <c r="AM381" s="6" t="n">
        <f aca="false">AE381-Assumptions!$B$35</f>
        <v>341023.911137231</v>
      </c>
    </row>
    <row r="382" customFormat="false" ht="15" hidden="false" customHeight="false" outlineLevel="0" collapsed="false">
      <c r="A382" s="0" t="n">
        <f aca="false">ROW()-1</f>
        <v>381</v>
      </c>
      <c r="B382" s="0" t="str">
        <f aca="true">IF(RAND()&lt;Assumptions!$B$11,"Bull","Bear")</f>
        <v>Bull</v>
      </c>
      <c r="C382" s="0" t="str">
        <f aca="true">IF(B382="Bull",IF(RAND()&lt;Assumptions!$B$7,"Bull","Bear"),IF(RAND()&lt;Assumptions!$B$10,"Bear","Bull"))</f>
        <v>Bull</v>
      </c>
      <c r="D382" s="0" t="str">
        <f aca="true">IF(C382="Bull",IF(RAND()&lt;Assumptions!$B$7,"Bull","Bear"),IF(RAND()&lt;Assumptions!$B$10,"Bear","Bull"))</f>
        <v>Bull</v>
      </c>
      <c r="E382" s="0" t="str">
        <f aca="true">IF(D382="Bull",IF(RAND()&lt;Assumptions!$B$7,"Bull","Bear"),IF(RAND()&lt;Assumptions!$B$10,"Bear","Bull"))</f>
        <v>Bull</v>
      </c>
      <c r="F382" s="0" t="str">
        <f aca="true">IF(E382="Bull",IF(RAND()&lt;Assumptions!$B$7,"Bull","Bear"),IF(RAND()&lt;Assumptions!$B$10,"Bear","Bull"))</f>
        <v>Bear</v>
      </c>
      <c r="G382" s="0" t="str">
        <f aca="true">IF(F382="Bull",IF(RAND()&lt;Assumptions!$B$7,"Bull","Bear"),IF(RAND()&lt;Assumptions!$B$10,"Bear","Bull"))</f>
        <v>Bear</v>
      </c>
      <c r="H382" s="8" t="n">
        <f aca="true">IF(B382="Bull",NORMINV(RAND(),Assumptions!$B$5,Assumptions!$B$6),NORMINV(RAND(),Assumptions!$B$8,Assumptions!$B$9))</f>
        <v>0.0739334026450596</v>
      </c>
      <c r="I382" s="8" t="n">
        <f aca="true">IF(C382="Bull",NORMINV(RAND(),Assumptions!$B$5,Assumptions!$B$6),NORMINV(RAND(),Assumptions!$B$8,Assumptions!$B$9))</f>
        <v>-0.0618367107530126</v>
      </c>
      <c r="J382" s="8" t="n">
        <f aca="true">IF(D382="Bull",NORMINV(RAND(),Assumptions!$B$5,Assumptions!$B$6),NORMINV(RAND(),Assumptions!$B$8,Assumptions!$B$9))</f>
        <v>0.183376098878709</v>
      </c>
      <c r="K382" s="8" t="n">
        <f aca="true">IF(E382="Bull",NORMINV(RAND(),Assumptions!$B$5,Assumptions!$B$6),NORMINV(RAND(),Assumptions!$B$8,Assumptions!$B$9))</f>
        <v>0.12083991734987</v>
      </c>
      <c r="L382" s="8" t="n">
        <f aca="true">IF(F382="Bull",NORMINV(RAND(),Assumptions!$B$5,Assumptions!$B$6),NORMINV(RAND(),Assumptions!$B$8,Assumptions!$B$9))</f>
        <v>0.0300982583646913</v>
      </c>
      <c r="M382" s="8" t="n">
        <f aca="true">IF(G382="Bull",NORMINV(RAND(),Assumptions!$B$5,Assumptions!$B$6),NORMINV(RAND(),Assumptions!$B$8,Assumptions!$B$9))</f>
        <v>0.0330350122613697</v>
      </c>
      <c r="N382" s="8" t="n">
        <f aca="true">NORMINV(RAND(),Assumptions!$B$14,Assumptions!$B$15)</f>
        <v>0.05871729154813</v>
      </c>
      <c r="O382" s="8" t="n">
        <f aca="true">NORMINV(RAND(),Assumptions!$B$14,Assumptions!$B$15)</f>
        <v>-0.0597802726889571</v>
      </c>
      <c r="P382" s="8" t="n">
        <f aca="true">NORMINV(RAND(),Assumptions!$B$14,Assumptions!$B$15)</f>
        <v>0.0288809770921092</v>
      </c>
      <c r="Q382" s="8" t="n">
        <f aca="true">NORMINV(RAND(),Assumptions!$B$14,Assumptions!$B$15)</f>
        <v>0.0290723280362357</v>
      </c>
      <c r="R382" s="8" t="n">
        <f aca="true">NORMINV(RAND(),Assumptions!$B$14,Assumptions!$B$15)</f>
        <v>0.0580169270733418</v>
      </c>
      <c r="S382" s="8" t="n">
        <f aca="true">NORMINV(RAND(),Assumptions!$B$14,Assumptions!$B$15)</f>
        <v>0.0203167739507097</v>
      </c>
      <c r="T382" s="8" t="n">
        <f aca="false">Assumptions!$B$19*H382+(1-Assumptions!$B$19)*N382</f>
        <v>0.0739334026450596</v>
      </c>
      <c r="U382" s="8" t="n">
        <f aca="false">Assumptions!$B$20*I382+(1-Assumptions!$B$20)*O382</f>
        <v>-0.0618367107530126</v>
      </c>
      <c r="V382" s="8" t="n">
        <f aca="false">Assumptions!$B$21*J382+(1-Assumptions!$B$21)*P382</f>
        <v>0.183376098878709</v>
      </c>
      <c r="W382" s="8" t="n">
        <f aca="false">Assumptions!$B$22*K382+(1-Assumptions!$B$22)*Q382</f>
        <v>0.12083991734987</v>
      </c>
      <c r="X382" s="8" t="n">
        <f aca="false">Assumptions!$B$23*L382+(1-Assumptions!$B$23)*R382</f>
        <v>0.0356819921064214</v>
      </c>
      <c r="Y382" s="8" t="n">
        <f aca="false">Assumptions!$B$24*M382+(1-Assumptions!$B$24)*S382</f>
        <v>0.0279477169371057</v>
      </c>
      <c r="Z382" s="6" t="n">
        <f aca="false">Assumptions!$B$27*(1+T382)</f>
        <v>322180.020793518</v>
      </c>
      <c r="AA382" s="6" t="n">
        <f aca="false">(Z382+Assumptions!$B$28)*(1+U382)</f>
        <v>442981.961424358</v>
      </c>
      <c r="AB382" s="6" t="n">
        <f aca="false">AA382*(1+V382)</f>
        <v>524214.265383995</v>
      </c>
      <c r="AC382" s="6" t="n">
        <f aca="false">AB382*(1+W382)</f>
        <v>587560.27388662</v>
      </c>
      <c r="AD382" s="6" t="n">
        <f aca="false">AC382*(1+X382)</f>
        <v>608525.594941489</v>
      </c>
      <c r="AE382" s="6" t="n">
        <f aca="false">AD382*(1+Y382)</f>
        <v>625532.496017898</v>
      </c>
      <c r="AF382" s="6" t="n">
        <f aca="false">Z382</f>
        <v>322180.020793518</v>
      </c>
      <c r="AG382" s="6" t="n">
        <f aca="false">MAX(AF382,AA382)</f>
        <v>442981.961424358</v>
      </c>
      <c r="AH382" s="6" t="n">
        <f aca="false">MAX(AG382,AB382)</f>
        <v>524214.265383995</v>
      </c>
      <c r="AI382" s="6" t="n">
        <f aca="false">MAX(AH382,AC382)</f>
        <v>587560.27388662</v>
      </c>
      <c r="AJ382" s="6" t="n">
        <f aca="false">MAX(AI382,AD382)</f>
        <v>608525.594941489</v>
      </c>
      <c r="AK382" s="6" t="n">
        <f aca="false">MAX(AJ382,AE382)</f>
        <v>625532.496017898</v>
      </c>
      <c r="AL382" s="8" t="n">
        <f aca="false">MIN(Z382/AF382-1,AA382/AG382-1,AB382/AH382-1,AC382/AI382-1,AD382/AJ382-1,AE382/AK382-1)</f>
        <v>0</v>
      </c>
      <c r="AM382" s="6" t="n">
        <f aca="false">AE382-Assumptions!$B$35</f>
        <v>184268.499355394</v>
      </c>
    </row>
    <row r="383" customFormat="false" ht="15" hidden="false" customHeight="false" outlineLevel="0" collapsed="false">
      <c r="A383" s="0" t="n">
        <f aca="false">ROW()-1</f>
        <v>382</v>
      </c>
      <c r="B383" s="0" t="str">
        <f aca="true">IF(RAND()&lt;Assumptions!$B$11,"Bull","Bear")</f>
        <v>Bull</v>
      </c>
      <c r="C383" s="0" t="str">
        <f aca="true">IF(B383="Bull",IF(RAND()&lt;Assumptions!$B$7,"Bull","Bear"),IF(RAND()&lt;Assumptions!$B$10,"Bear","Bull"))</f>
        <v>Bull</v>
      </c>
      <c r="D383" s="0" t="str">
        <f aca="true">IF(C383="Bull",IF(RAND()&lt;Assumptions!$B$7,"Bull","Bear"),IF(RAND()&lt;Assumptions!$B$10,"Bear","Bull"))</f>
        <v>Bull</v>
      </c>
      <c r="E383" s="0" t="str">
        <f aca="true">IF(D383="Bull",IF(RAND()&lt;Assumptions!$B$7,"Bull","Bear"),IF(RAND()&lt;Assumptions!$B$10,"Bear","Bull"))</f>
        <v>Bull</v>
      </c>
      <c r="F383" s="0" t="str">
        <f aca="true">IF(E383="Bull",IF(RAND()&lt;Assumptions!$B$7,"Bull","Bear"),IF(RAND()&lt;Assumptions!$B$10,"Bear","Bull"))</f>
        <v>Bull</v>
      </c>
      <c r="G383" s="0" t="str">
        <f aca="true">IF(F383="Bull",IF(RAND()&lt;Assumptions!$B$7,"Bull","Bear"),IF(RAND()&lt;Assumptions!$B$10,"Bear","Bull"))</f>
        <v>Bull</v>
      </c>
      <c r="H383" s="8" t="n">
        <f aca="true">IF(B383="Bull",NORMINV(RAND(),Assumptions!$B$5,Assumptions!$B$6),NORMINV(RAND(),Assumptions!$B$8,Assumptions!$B$9))</f>
        <v>0.235857124158974</v>
      </c>
      <c r="I383" s="8" t="n">
        <f aca="true">IF(C383="Bull",NORMINV(RAND(),Assumptions!$B$5,Assumptions!$B$6),NORMINV(RAND(),Assumptions!$B$8,Assumptions!$B$9))</f>
        <v>0.1462921236625</v>
      </c>
      <c r="J383" s="8" t="n">
        <f aca="true">IF(D383="Bull",NORMINV(RAND(),Assumptions!$B$5,Assumptions!$B$6),NORMINV(RAND(),Assumptions!$B$8,Assumptions!$B$9))</f>
        <v>0.180299994887363</v>
      </c>
      <c r="K383" s="8" t="n">
        <f aca="true">IF(E383="Bull",NORMINV(RAND(),Assumptions!$B$5,Assumptions!$B$6),NORMINV(RAND(),Assumptions!$B$8,Assumptions!$B$9))</f>
        <v>0.179473532059349</v>
      </c>
      <c r="L383" s="8" t="n">
        <f aca="true">IF(F383="Bull",NORMINV(RAND(),Assumptions!$B$5,Assumptions!$B$6),NORMINV(RAND(),Assumptions!$B$8,Assumptions!$B$9))</f>
        <v>0.0691668953296495</v>
      </c>
      <c r="M383" s="8" t="n">
        <f aca="true">IF(G383="Bull",NORMINV(RAND(),Assumptions!$B$5,Assumptions!$B$6),NORMINV(RAND(),Assumptions!$B$8,Assumptions!$B$9))</f>
        <v>0.192169957839663</v>
      </c>
      <c r="N383" s="8" t="n">
        <f aca="true">NORMINV(RAND(),Assumptions!$B$14,Assumptions!$B$15)</f>
        <v>0.0902346921365149</v>
      </c>
      <c r="O383" s="8" t="n">
        <f aca="true">NORMINV(RAND(),Assumptions!$B$14,Assumptions!$B$15)</f>
        <v>0.0292998555104089</v>
      </c>
      <c r="P383" s="8" t="n">
        <f aca="true">NORMINV(RAND(),Assumptions!$B$14,Assumptions!$B$15)</f>
        <v>0.0326266188515813</v>
      </c>
      <c r="Q383" s="8" t="n">
        <f aca="true">NORMINV(RAND(),Assumptions!$B$14,Assumptions!$B$15)</f>
        <v>0.0191804176989681</v>
      </c>
      <c r="R383" s="8" t="n">
        <f aca="true">NORMINV(RAND(),Assumptions!$B$14,Assumptions!$B$15)</f>
        <v>0.0414506391636168</v>
      </c>
      <c r="S383" s="8" t="n">
        <f aca="true">NORMINV(RAND(),Assumptions!$B$14,Assumptions!$B$15)</f>
        <v>0.0922507458435052</v>
      </c>
      <c r="T383" s="8" t="n">
        <f aca="false">Assumptions!$B$19*H383+(1-Assumptions!$B$19)*N383</f>
        <v>0.235857124158974</v>
      </c>
      <c r="U383" s="8" t="n">
        <f aca="false">Assumptions!$B$20*I383+(1-Assumptions!$B$20)*O383</f>
        <v>0.1462921236625</v>
      </c>
      <c r="V383" s="8" t="n">
        <f aca="false">Assumptions!$B$21*J383+(1-Assumptions!$B$21)*P383</f>
        <v>0.180299994887363</v>
      </c>
      <c r="W383" s="8" t="n">
        <f aca="false">Assumptions!$B$22*K383+(1-Assumptions!$B$22)*Q383</f>
        <v>0.179473532059349</v>
      </c>
      <c r="X383" s="8" t="n">
        <f aca="false">Assumptions!$B$23*L383+(1-Assumptions!$B$23)*R383</f>
        <v>0.063623644096443</v>
      </c>
      <c r="Y383" s="8" t="n">
        <f aca="false">Assumptions!$B$24*M383+(1-Assumptions!$B$24)*S383</f>
        <v>0.1522022730412</v>
      </c>
      <c r="Z383" s="6" t="n">
        <f aca="false">Assumptions!$B$27*(1+T383)</f>
        <v>370757.137247692</v>
      </c>
      <c r="AA383" s="6" t="n">
        <f aca="false">(Z383+Assumptions!$B$28)*(1+U383)</f>
        <v>596939.804768061</v>
      </c>
      <c r="AB383" s="6" t="n">
        <f aca="false">AA383*(1+V383)</f>
        <v>704568.048515806</v>
      </c>
      <c r="AC383" s="6" t="n">
        <f aca="false">AB383*(1+W383)</f>
        <v>831019.3647591</v>
      </c>
      <c r="AD383" s="6" t="n">
        <f aca="false">AC383*(1+X383)</f>
        <v>883891.845059785</v>
      </c>
      <c r="AE383" s="6" t="n">
        <f aca="false">AD383*(1+Y383)</f>
        <v>1018422.19300046</v>
      </c>
      <c r="AF383" s="6" t="n">
        <f aca="false">Z383</f>
        <v>370757.137247692</v>
      </c>
      <c r="AG383" s="6" t="n">
        <f aca="false">MAX(AF383,AA383)</f>
        <v>596939.804768061</v>
      </c>
      <c r="AH383" s="6" t="n">
        <f aca="false">MAX(AG383,AB383)</f>
        <v>704568.048515806</v>
      </c>
      <c r="AI383" s="6" t="n">
        <f aca="false">MAX(AH383,AC383)</f>
        <v>831019.3647591</v>
      </c>
      <c r="AJ383" s="6" t="n">
        <f aca="false">MAX(AI383,AD383)</f>
        <v>883891.845059785</v>
      </c>
      <c r="AK383" s="6" t="n">
        <f aca="false">MAX(AJ383,AE383)</f>
        <v>1018422.19300046</v>
      </c>
      <c r="AL383" s="8" t="n">
        <f aca="false">MIN(Z383/AF383-1,AA383/AG383-1,AB383/AH383-1,AC383/AI383-1,AD383/AJ383-1,AE383/AK383-1)</f>
        <v>0</v>
      </c>
      <c r="AM383" s="6" t="n">
        <f aca="false">AE383-Assumptions!$B$35</f>
        <v>577158.196337961</v>
      </c>
    </row>
    <row r="384" customFormat="false" ht="15" hidden="false" customHeight="false" outlineLevel="0" collapsed="false">
      <c r="A384" s="0" t="n">
        <f aca="false">ROW()-1</f>
        <v>383</v>
      </c>
      <c r="B384" s="0" t="str">
        <f aca="true">IF(RAND()&lt;Assumptions!$B$11,"Bull","Bear")</f>
        <v>Bull</v>
      </c>
      <c r="C384" s="0" t="str">
        <f aca="true">IF(B384="Bull",IF(RAND()&lt;Assumptions!$B$7,"Bull","Bear"),IF(RAND()&lt;Assumptions!$B$10,"Bear","Bull"))</f>
        <v>Bull</v>
      </c>
      <c r="D384" s="0" t="str">
        <f aca="true">IF(C384="Bull",IF(RAND()&lt;Assumptions!$B$7,"Bull","Bear"),IF(RAND()&lt;Assumptions!$B$10,"Bear","Bull"))</f>
        <v>Bear</v>
      </c>
      <c r="E384" s="0" t="str">
        <f aca="true">IF(D384="Bull",IF(RAND()&lt;Assumptions!$B$7,"Bull","Bear"),IF(RAND()&lt;Assumptions!$B$10,"Bear","Bull"))</f>
        <v>Bull</v>
      </c>
      <c r="F384" s="0" t="str">
        <f aca="true">IF(E384="Bull",IF(RAND()&lt;Assumptions!$B$7,"Bull","Bear"),IF(RAND()&lt;Assumptions!$B$10,"Bear","Bull"))</f>
        <v>Bull</v>
      </c>
      <c r="G384" s="0" t="str">
        <f aca="true">IF(F384="Bull",IF(RAND()&lt;Assumptions!$B$7,"Bull","Bear"),IF(RAND()&lt;Assumptions!$B$10,"Bear","Bull"))</f>
        <v>Bull</v>
      </c>
      <c r="H384" s="8" t="n">
        <f aca="true">IF(B384="Bull",NORMINV(RAND(),Assumptions!$B$5,Assumptions!$B$6),NORMINV(RAND(),Assumptions!$B$8,Assumptions!$B$9))</f>
        <v>0.226250759555685</v>
      </c>
      <c r="I384" s="8" t="n">
        <f aca="true">IF(C384="Bull",NORMINV(RAND(),Assumptions!$B$5,Assumptions!$B$6),NORMINV(RAND(),Assumptions!$B$8,Assumptions!$B$9))</f>
        <v>0.222631191023204</v>
      </c>
      <c r="J384" s="8" t="n">
        <f aca="true">IF(D384="Bull",NORMINV(RAND(),Assumptions!$B$5,Assumptions!$B$6),NORMINV(RAND(),Assumptions!$B$8,Assumptions!$B$9))</f>
        <v>-0.0687935260044214</v>
      </c>
      <c r="K384" s="8" t="n">
        <f aca="true">IF(E384="Bull",NORMINV(RAND(),Assumptions!$B$5,Assumptions!$B$6),NORMINV(RAND(),Assumptions!$B$8,Assumptions!$B$9))</f>
        <v>0.299008679757387</v>
      </c>
      <c r="L384" s="8" t="n">
        <f aca="true">IF(F384="Bull",NORMINV(RAND(),Assumptions!$B$5,Assumptions!$B$6),NORMINV(RAND(),Assumptions!$B$8,Assumptions!$B$9))</f>
        <v>0.42164865561609</v>
      </c>
      <c r="M384" s="8" t="n">
        <f aca="true">IF(G384="Bull",NORMINV(RAND(),Assumptions!$B$5,Assumptions!$B$6),NORMINV(RAND(),Assumptions!$B$8,Assumptions!$B$9))</f>
        <v>0.228365515830836</v>
      </c>
      <c r="N384" s="8" t="n">
        <f aca="true">NORMINV(RAND(),Assumptions!$B$14,Assumptions!$B$15)</f>
        <v>0.00500056251702635</v>
      </c>
      <c r="O384" s="8" t="n">
        <f aca="true">NORMINV(RAND(),Assumptions!$B$14,Assumptions!$B$15)</f>
        <v>0.0379258609779625</v>
      </c>
      <c r="P384" s="8" t="n">
        <f aca="true">NORMINV(RAND(),Assumptions!$B$14,Assumptions!$B$15)</f>
        <v>0.0333722016100496</v>
      </c>
      <c r="Q384" s="8" t="n">
        <f aca="true">NORMINV(RAND(),Assumptions!$B$14,Assumptions!$B$15)</f>
        <v>0.0844601896261479</v>
      </c>
      <c r="R384" s="8" t="n">
        <f aca="true">NORMINV(RAND(),Assumptions!$B$14,Assumptions!$B$15)</f>
        <v>0.0934064357741901</v>
      </c>
      <c r="S384" s="8" t="n">
        <f aca="true">NORMINV(RAND(),Assumptions!$B$14,Assumptions!$B$15)</f>
        <v>0.0306288775044016</v>
      </c>
      <c r="T384" s="8" t="n">
        <f aca="false">Assumptions!$B$19*H384+(1-Assumptions!$B$19)*N384</f>
        <v>0.226250759555685</v>
      </c>
      <c r="U384" s="8" t="n">
        <f aca="false">Assumptions!$B$20*I384+(1-Assumptions!$B$20)*O384</f>
        <v>0.222631191023204</v>
      </c>
      <c r="V384" s="8" t="n">
        <f aca="false">Assumptions!$B$21*J384+(1-Assumptions!$B$21)*P384</f>
        <v>-0.0687935260044214</v>
      </c>
      <c r="W384" s="8" t="n">
        <f aca="false">Assumptions!$B$22*K384+(1-Assumptions!$B$22)*Q384</f>
        <v>0.299008679757387</v>
      </c>
      <c r="X384" s="8" t="n">
        <f aca="false">Assumptions!$B$23*L384+(1-Assumptions!$B$23)*R384</f>
        <v>0.35600021164771</v>
      </c>
      <c r="Y384" s="8" t="n">
        <f aca="false">Assumptions!$B$24*M384+(1-Assumptions!$B$24)*S384</f>
        <v>0.149270860500262</v>
      </c>
      <c r="Z384" s="6" t="n">
        <f aca="false">Assumptions!$B$27*(1+T384)</f>
        <v>367875.227866706</v>
      </c>
      <c r="AA384" s="6" t="n">
        <f aca="false">(Z384+Assumptions!$B$28)*(1+U384)</f>
        <v>633170.406648084</v>
      </c>
      <c r="AB384" s="6" t="n">
        <f aca="false">AA384*(1+V384)</f>
        <v>589612.381813109</v>
      </c>
      <c r="AC384" s="6" t="n">
        <f aca="false">AB384*(1+W384)</f>
        <v>765911.601667655</v>
      </c>
      <c r="AD384" s="6" t="n">
        <f aca="false">AC384*(1+X384)</f>
        <v>1038576.29396478</v>
      </c>
      <c r="AE384" s="6" t="n">
        <f aca="false">AD384*(1+Y384)</f>
        <v>1193605.47106007</v>
      </c>
      <c r="AF384" s="6" t="n">
        <f aca="false">Z384</f>
        <v>367875.227866706</v>
      </c>
      <c r="AG384" s="6" t="n">
        <f aca="false">MAX(AF384,AA384)</f>
        <v>633170.406648084</v>
      </c>
      <c r="AH384" s="6" t="n">
        <f aca="false">MAX(AG384,AB384)</f>
        <v>633170.406648084</v>
      </c>
      <c r="AI384" s="6" t="n">
        <f aca="false">MAX(AH384,AC384)</f>
        <v>765911.601667655</v>
      </c>
      <c r="AJ384" s="6" t="n">
        <f aca="false">MAX(AI384,AD384)</f>
        <v>1038576.29396478</v>
      </c>
      <c r="AK384" s="6" t="n">
        <f aca="false">MAX(AJ384,AE384)</f>
        <v>1193605.47106007</v>
      </c>
      <c r="AL384" s="8" t="n">
        <f aca="false">MIN(Z384/AF384-1,AA384/AG384-1,AB384/AH384-1,AC384/AI384-1,AD384/AJ384-1,AE384/AK384-1)</f>
        <v>-0.0687935260044215</v>
      </c>
      <c r="AM384" s="6" t="n">
        <f aca="false">AE384-Assumptions!$B$35</f>
        <v>752341.474397568</v>
      </c>
    </row>
    <row r="385" customFormat="false" ht="15" hidden="false" customHeight="false" outlineLevel="0" collapsed="false">
      <c r="A385" s="0" t="n">
        <f aca="false">ROW()-1</f>
        <v>384</v>
      </c>
      <c r="B385" s="0" t="str">
        <f aca="true">IF(RAND()&lt;Assumptions!$B$11,"Bull","Bear")</f>
        <v>Bull</v>
      </c>
      <c r="C385" s="0" t="str">
        <f aca="true">IF(B385="Bull",IF(RAND()&lt;Assumptions!$B$7,"Bull","Bear"),IF(RAND()&lt;Assumptions!$B$10,"Bear","Bull"))</f>
        <v>Bull</v>
      </c>
      <c r="D385" s="0" t="str">
        <f aca="true">IF(C385="Bull",IF(RAND()&lt;Assumptions!$B$7,"Bull","Bear"),IF(RAND()&lt;Assumptions!$B$10,"Bear","Bull"))</f>
        <v>Bear</v>
      </c>
      <c r="E385" s="0" t="str">
        <f aca="true">IF(D385="Bull",IF(RAND()&lt;Assumptions!$B$7,"Bull","Bear"),IF(RAND()&lt;Assumptions!$B$10,"Bear","Bull"))</f>
        <v>Bear</v>
      </c>
      <c r="F385" s="0" t="str">
        <f aca="true">IF(E385="Bull",IF(RAND()&lt;Assumptions!$B$7,"Bull","Bear"),IF(RAND()&lt;Assumptions!$B$10,"Bear","Bull"))</f>
        <v>Bear</v>
      </c>
      <c r="G385" s="0" t="str">
        <f aca="true">IF(F385="Bull",IF(RAND()&lt;Assumptions!$B$7,"Bull","Bear"),IF(RAND()&lt;Assumptions!$B$10,"Bear","Bull"))</f>
        <v>Bull</v>
      </c>
      <c r="H385" s="8" t="n">
        <f aca="true">IF(B385="Bull",NORMINV(RAND(),Assumptions!$B$5,Assumptions!$B$6),NORMINV(RAND(),Assumptions!$B$8,Assumptions!$B$9))</f>
        <v>0.0954988995245017</v>
      </c>
      <c r="I385" s="8" t="n">
        <f aca="true">IF(C385="Bull",NORMINV(RAND(),Assumptions!$B$5,Assumptions!$B$6),NORMINV(RAND(),Assumptions!$B$8,Assumptions!$B$9))</f>
        <v>0.051357766530185</v>
      </c>
      <c r="J385" s="8" t="n">
        <f aca="true">IF(D385="Bull",NORMINV(RAND(),Assumptions!$B$5,Assumptions!$B$6),NORMINV(RAND(),Assumptions!$B$8,Assumptions!$B$9))</f>
        <v>-0.0994907774104065</v>
      </c>
      <c r="K385" s="8" t="n">
        <f aca="true">IF(E385="Bull",NORMINV(RAND(),Assumptions!$B$5,Assumptions!$B$6),NORMINV(RAND(),Assumptions!$B$8,Assumptions!$B$9))</f>
        <v>-0.05166861999117</v>
      </c>
      <c r="L385" s="8" t="n">
        <f aca="true">IF(F385="Bull",NORMINV(RAND(),Assumptions!$B$5,Assumptions!$B$6),NORMINV(RAND(),Assumptions!$B$8,Assumptions!$B$9))</f>
        <v>-0.238019361260547</v>
      </c>
      <c r="M385" s="8" t="n">
        <f aca="true">IF(G385="Bull",NORMINV(RAND(),Assumptions!$B$5,Assumptions!$B$6),NORMINV(RAND(),Assumptions!$B$8,Assumptions!$B$9))</f>
        <v>0.202772126733576</v>
      </c>
      <c r="N385" s="8" t="n">
        <f aca="true">NORMINV(RAND(),Assumptions!$B$14,Assumptions!$B$15)</f>
        <v>0.0918155735922233</v>
      </c>
      <c r="O385" s="8" t="n">
        <f aca="true">NORMINV(RAND(),Assumptions!$B$14,Assumptions!$B$15)</f>
        <v>0.0211207702298363</v>
      </c>
      <c r="P385" s="8" t="n">
        <f aca="true">NORMINV(RAND(),Assumptions!$B$14,Assumptions!$B$15)</f>
        <v>0.0655745047347806</v>
      </c>
      <c r="Q385" s="8" t="n">
        <f aca="true">NORMINV(RAND(),Assumptions!$B$14,Assumptions!$B$15)</f>
        <v>0.0136436050906785</v>
      </c>
      <c r="R385" s="8" t="n">
        <f aca="true">NORMINV(RAND(),Assumptions!$B$14,Assumptions!$B$15)</f>
        <v>0.0267918532377048</v>
      </c>
      <c r="S385" s="8" t="n">
        <f aca="true">NORMINV(RAND(),Assumptions!$B$14,Assumptions!$B$15)</f>
        <v>0.0536094246399638</v>
      </c>
      <c r="T385" s="8" t="n">
        <f aca="false">Assumptions!$B$19*H385+(1-Assumptions!$B$19)*N385</f>
        <v>0.0954988995245017</v>
      </c>
      <c r="U385" s="8" t="n">
        <f aca="false">Assumptions!$B$20*I385+(1-Assumptions!$B$20)*O385</f>
        <v>0.051357766530185</v>
      </c>
      <c r="V385" s="8" t="n">
        <f aca="false">Assumptions!$B$21*J385+(1-Assumptions!$B$21)*P385</f>
        <v>-0.0994907774104065</v>
      </c>
      <c r="W385" s="8" t="n">
        <f aca="false">Assumptions!$B$22*K385+(1-Assumptions!$B$22)*Q385</f>
        <v>-0.05166861999117</v>
      </c>
      <c r="X385" s="8" t="n">
        <f aca="false">Assumptions!$B$23*L385+(1-Assumptions!$B$23)*R385</f>
        <v>-0.185057118360897</v>
      </c>
      <c r="Y385" s="8" t="n">
        <f aca="false">Assumptions!$B$24*M385+(1-Assumptions!$B$24)*S385</f>
        <v>0.143107045896131</v>
      </c>
      <c r="Z385" s="6" t="n">
        <f aca="false">Assumptions!$B$27*(1+T385)</f>
        <v>328649.66985735</v>
      </c>
      <c r="AA385" s="6" t="n">
        <f aca="false">(Z385+Assumptions!$B$28)*(1+U385)</f>
        <v>503232.047851634</v>
      </c>
      <c r="AB385" s="6" t="n">
        <f aca="false">AA385*(1+V385)</f>
        <v>453165.100193044</v>
      </c>
      <c r="AC385" s="6" t="n">
        <f aca="false">AB385*(1+W385)</f>
        <v>429750.68483791</v>
      </c>
      <c r="AD385" s="6" t="n">
        <f aca="false">AC385*(1+X385)</f>
        <v>350222.261488184</v>
      </c>
      <c r="AE385" s="6" t="n">
        <f aca="false">AD385*(1+Y385)</f>
        <v>400341.53473682</v>
      </c>
      <c r="AF385" s="6" t="n">
        <f aca="false">Z385</f>
        <v>328649.66985735</v>
      </c>
      <c r="AG385" s="6" t="n">
        <f aca="false">MAX(AF385,AA385)</f>
        <v>503232.047851634</v>
      </c>
      <c r="AH385" s="6" t="n">
        <f aca="false">MAX(AG385,AB385)</f>
        <v>503232.047851634</v>
      </c>
      <c r="AI385" s="6" t="n">
        <f aca="false">MAX(AH385,AC385)</f>
        <v>503232.047851634</v>
      </c>
      <c r="AJ385" s="6" t="n">
        <f aca="false">MAX(AI385,AD385)</f>
        <v>503232.047851634</v>
      </c>
      <c r="AK385" s="6" t="n">
        <f aca="false">MAX(AJ385,AE385)</f>
        <v>503232.047851634</v>
      </c>
      <c r="AL385" s="8" t="n">
        <f aca="false">MIN(Z385/AF385-1,AA385/AG385-1,AB385/AH385-1,AC385/AI385-1,AD385/AJ385-1,AE385/AK385-1)</f>
        <v>-0.30405413768195</v>
      </c>
      <c r="AM385" s="6" t="n">
        <f aca="false">AE385-Assumptions!$B$35</f>
        <v>-40922.4619256833</v>
      </c>
    </row>
    <row r="386" customFormat="false" ht="15" hidden="false" customHeight="false" outlineLevel="0" collapsed="false">
      <c r="A386" s="0" t="n">
        <f aca="false">ROW()-1</f>
        <v>385</v>
      </c>
      <c r="B386" s="0" t="str">
        <f aca="true">IF(RAND()&lt;Assumptions!$B$11,"Bull","Bear")</f>
        <v>Bull</v>
      </c>
      <c r="C386" s="0" t="str">
        <f aca="true">IF(B386="Bull",IF(RAND()&lt;Assumptions!$B$7,"Bull","Bear"),IF(RAND()&lt;Assumptions!$B$10,"Bear","Bull"))</f>
        <v>Bull</v>
      </c>
      <c r="D386" s="0" t="str">
        <f aca="true">IF(C386="Bull",IF(RAND()&lt;Assumptions!$B$7,"Bull","Bear"),IF(RAND()&lt;Assumptions!$B$10,"Bear","Bull"))</f>
        <v>Bull</v>
      </c>
      <c r="E386" s="0" t="str">
        <f aca="true">IF(D386="Bull",IF(RAND()&lt;Assumptions!$B$7,"Bull","Bear"),IF(RAND()&lt;Assumptions!$B$10,"Bear","Bull"))</f>
        <v>Bull</v>
      </c>
      <c r="F386" s="0" t="str">
        <f aca="true">IF(E386="Bull",IF(RAND()&lt;Assumptions!$B$7,"Bull","Bear"),IF(RAND()&lt;Assumptions!$B$10,"Bear","Bull"))</f>
        <v>Bull</v>
      </c>
      <c r="G386" s="0" t="str">
        <f aca="true">IF(F386="Bull",IF(RAND()&lt;Assumptions!$B$7,"Bull","Bear"),IF(RAND()&lt;Assumptions!$B$10,"Bear","Bull"))</f>
        <v>Bear</v>
      </c>
      <c r="H386" s="8" t="n">
        <f aca="true">IF(B386="Bull",NORMINV(RAND(),Assumptions!$B$5,Assumptions!$B$6),NORMINV(RAND(),Assumptions!$B$8,Assumptions!$B$9))</f>
        <v>0.21444254253767</v>
      </c>
      <c r="I386" s="8" t="n">
        <f aca="true">IF(C386="Bull",NORMINV(RAND(),Assumptions!$B$5,Assumptions!$B$6),NORMINV(RAND(),Assumptions!$B$8,Assumptions!$B$9))</f>
        <v>0.105727024030975</v>
      </c>
      <c r="J386" s="8" t="n">
        <f aca="true">IF(D386="Bull",NORMINV(RAND(),Assumptions!$B$5,Assumptions!$B$6),NORMINV(RAND(),Assumptions!$B$8,Assumptions!$B$9))</f>
        <v>0.246713062637979</v>
      </c>
      <c r="K386" s="8" t="n">
        <f aca="true">IF(E386="Bull",NORMINV(RAND(),Assumptions!$B$5,Assumptions!$B$6),NORMINV(RAND(),Assumptions!$B$8,Assumptions!$B$9))</f>
        <v>0.125224129300929</v>
      </c>
      <c r="L386" s="8" t="n">
        <f aca="true">IF(F386="Bull",NORMINV(RAND(),Assumptions!$B$5,Assumptions!$B$6),NORMINV(RAND(),Assumptions!$B$8,Assumptions!$B$9))</f>
        <v>0.293322453487657</v>
      </c>
      <c r="M386" s="8" t="n">
        <f aca="true">IF(G386="Bull",NORMINV(RAND(),Assumptions!$B$5,Assumptions!$B$6),NORMINV(RAND(),Assumptions!$B$8,Assumptions!$B$9))</f>
        <v>-0.023428276557329</v>
      </c>
      <c r="N386" s="8" t="n">
        <f aca="true">NORMINV(RAND(),Assumptions!$B$14,Assumptions!$B$15)</f>
        <v>0.0440909273919386</v>
      </c>
      <c r="O386" s="8" t="n">
        <f aca="true">NORMINV(RAND(),Assumptions!$B$14,Assumptions!$B$15)</f>
        <v>0.0306965336451778</v>
      </c>
      <c r="P386" s="8" t="n">
        <f aca="true">NORMINV(RAND(),Assumptions!$B$14,Assumptions!$B$15)</f>
        <v>0.0561213943981323</v>
      </c>
      <c r="Q386" s="8" t="n">
        <f aca="true">NORMINV(RAND(),Assumptions!$B$14,Assumptions!$B$15)</f>
        <v>0.0787708048498397</v>
      </c>
      <c r="R386" s="8" t="n">
        <f aca="true">NORMINV(RAND(),Assumptions!$B$14,Assumptions!$B$15)</f>
        <v>0.0761559583202924</v>
      </c>
      <c r="S386" s="8" t="n">
        <f aca="true">NORMINV(RAND(),Assumptions!$B$14,Assumptions!$B$15)</f>
        <v>0.0440446771214669</v>
      </c>
      <c r="T386" s="8" t="n">
        <f aca="false">Assumptions!$B$19*H386+(1-Assumptions!$B$19)*N386</f>
        <v>0.21444254253767</v>
      </c>
      <c r="U386" s="8" t="n">
        <f aca="false">Assumptions!$B$20*I386+(1-Assumptions!$B$20)*O386</f>
        <v>0.105727024030975</v>
      </c>
      <c r="V386" s="8" t="n">
        <f aca="false">Assumptions!$B$21*J386+(1-Assumptions!$B$21)*P386</f>
        <v>0.246713062637979</v>
      </c>
      <c r="W386" s="8" t="n">
        <f aca="false">Assumptions!$B$22*K386+(1-Assumptions!$B$22)*Q386</f>
        <v>0.125224129300929</v>
      </c>
      <c r="X386" s="8" t="n">
        <f aca="false">Assumptions!$B$23*L386+(1-Assumptions!$B$23)*R386</f>
        <v>0.249889154454184</v>
      </c>
      <c r="Y386" s="8" t="n">
        <f aca="false">Assumptions!$B$24*M386+(1-Assumptions!$B$24)*S386</f>
        <v>0.00356090491418938</v>
      </c>
      <c r="Z386" s="6" t="n">
        <f aca="false">Assumptions!$B$27*(1+T386)</f>
        <v>364332.762761301</v>
      </c>
      <c r="AA386" s="6" t="n">
        <f aca="false">(Z386+Assumptions!$B$28)*(1+U386)</f>
        <v>568711.635129683</v>
      </c>
      <c r="AB386" s="6" t="n">
        <f aca="false">AA386*(1+V386)</f>
        <v>709020.22439038</v>
      </c>
      <c r="AC386" s="6" t="n">
        <f aca="false">AB386*(1+W386)</f>
        <v>797806.664646414</v>
      </c>
      <c r="AD386" s="6" t="n">
        <f aca="false">AC386*(1+X386)</f>
        <v>997169.897492819</v>
      </c>
      <c r="AE386" s="6" t="n">
        <f aca="false">AD386*(1+Y386)</f>
        <v>1000720.72468108</v>
      </c>
      <c r="AF386" s="6" t="n">
        <f aca="false">Z386</f>
        <v>364332.762761301</v>
      </c>
      <c r="AG386" s="6" t="n">
        <f aca="false">MAX(AF386,AA386)</f>
        <v>568711.635129683</v>
      </c>
      <c r="AH386" s="6" t="n">
        <f aca="false">MAX(AG386,AB386)</f>
        <v>709020.22439038</v>
      </c>
      <c r="AI386" s="6" t="n">
        <f aca="false">MAX(AH386,AC386)</f>
        <v>797806.664646414</v>
      </c>
      <c r="AJ386" s="6" t="n">
        <f aca="false">MAX(AI386,AD386)</f>
        <v>997169.897492819</v>
      </c>
      <c r="AK386" s="6" t="n">
        <f aca="false">MAX(AJ386,AE386)</f>
        <v>1000720.72468108</v>
      </c>
      <c r="AL386" s="8" t="n">
        <f aca="false">MIN(Z386/AF386-1,AA386/AG386-1,AB386/AH386-1,AC386/AI386-1,AD386/AJ386-1,AE386/AK386-1)</f>
        <v>0</v>
      </c>
      <c r="AM386" s="6" t="n">
        <f aca="false">AE386-Assumptions!$B$35</f>
        <v>559456.728018579</v>
      </c>
    </row>
    <row r="387" customFormat="false" ht="15" hidden="false" customHeight="false" outlineLevel="0" collapsed="false">
      <c r="A387" s="0" t="n">
        <f aca="false">ROW()-1</f>
        <v>386</v>
      </c>
      <c r="B387" s="0" t="str">
        <f aca="true">IF(RAND()&lt;Assumptions!$B$11,"Bull","Bear")</f>
        <v>Bull</v>
      </c>
      <c r="C387" s="0" t="str">
        <f aca="true">IF(B387="Bull",IF(RAND()&lt;Assumptions!$B$7,"Bull","Bear"),IF(RAND()&lt;Assumptions!$B$10,"Bear","Bull"))</f>
        <v>Bear</v>
      </c>
      <c r="D387" s="0" t="str">
        <f aca="true">IF(C387="Bull",IF(RAND()&lt;Assumptions!$B$7,"Bull","Bear"),IF(RAND()&lt;Assumptions!$B$10,"Bear","Bull"))</f>
        <v>Bear</v>
      </c>
      <c r="E387" s="0" t="str">
        <f aca="true">IF(D387="Bull",IF(RAND()&lt;Assumptions!$B$7,"Bull","Bear"),IF(RAND()&lt;Assumptions!$B$10,"Bear","Bull"))</f>
        <v>Bull</v>
      </c>
      <c r="F387" s="0" t="str">
        <f aca="true">IF(E387="Bull",IF(RAND()&lt;Assumptions!$B$7,"Bull","Bear"),IF(RAND()&lt;Assumptions!$B$10,"Bear","Bull"))</f>
        <v>Bear</v>
      </c>
      <c r="G387" s="0" t="str">
        <f aca="true">IF(F387="Bull",IF(RAND()&lt;Assumptions!$B$7,"Bull","Bear"),IF(RAND()&lt;Assumptions!$B$10,"Bear","Bull"))</f>
        <v>Bull</v>
      </c>
      <c r="H387" s="8" t="n">
        <f aca="true">IF(B387="Bull",NORMINV(RAND(),Assumptions!$B$5,Assumptions!$B$6),NORMINV(RAND(),Assumptions!$B$8,Assumptions!$B$9))</f>
        <v>0.0542715777704149</v>
      </c>
      <c r="I387" s="8" t="n">
        <f aca="true">IF(C387="Bull",NORMINV(RAND(),Assumptions!$B$5,Assumptions!$B$6),NORMINV(RAND(),Assumptions!$B$8,Assumptions!$B$9))</f>
        <v>-0.158190890667461</v>
      </c>
      <c r="J387" s="8" t="n">
        <f aca="true">IF(D387="Bull",NORMINV(RAND(),Assumptions!$B$5,Assumptions!$B$6),NORMINV(RAND(),Assumptions!$B$8,Assumptions!$B$9))</f>
        <v>-0.0471008467968116</v>
      </c>
      <c r="K387" s="8" t="n">
        <f aca="true">IF(E387="Bull",NORMINV(RAND(),Assumptions!$B$5,Assumptions!$B$6),NORMINV(RAND(),Assumptions!$B$8,Assumptions!$B$9))</f>
        <v>0.194511151231274</v>
      </c>
      <c r="L387" s="8" t="n">
        <f aca="true">IF(F387="Bull",NORMINV(RAND(),Assumptions!$B$5,Assumptions!$B$6),NORMINV(RAND(),Assumptions!$B$8,Assumptions!$B$9))</f>
        <v>-0.353277207720167</v>
      </c>
      <c r="M387" s="8" t="n">
        <f aca="true">IF(G387="Bull",NORMINV(RAND(),Assumptions!$B$5,Assumptions!$B$6),NORMINV(RAND(),Assumptions!$B$8,Assumptions!$B$9))</f>
        <v>0.139781028714343</v>
      </c>
      <c r="N387" s="8" t="n">
        <f aca="true">NORMINV(RAND(),Assumptions!$B$14,Assumptions!$B$15)</f>
        <v>0.0383698539770265</v>
      </c>
      <c r="O387" s="8" t="n">
        <f aca="true">NORMINV(RAND(),Assumptions!$B$14,Assumptions!$B$15)</f>
        <v>0.010625256706632</v>
      </c>
      <c r="P387" s="8" t="n">
        <f aca="true">NORMINV(RAND(),Assumptions!$B$14,Assumptions!$B$15)</f>
        <v>0.0431074929422666</v>
      </c>
      <c r="Q387" s="8" t="n">
        <f aca="true">NORMINV(RAND(),Assumptions!$B$14,Assumptions!$B$15)</f>
        <v>0.0457977305073233</v>
      </c>
      <c r="R387" s="8" t="n">
        <f aca="true">NORMINV(RAND(),Assumptions!$B$14,Assumptions!$B$15)</f>
        <v>0.0471828864856274</v>
      </c>
      <c r="S387" s="8" t="n">
        <f aca="true">NORMINV(RAND(),Assumptions!$B$14,Assumptions!$B$15)</f>
        <v>0.0422366388763836</v>
      </c>
      <c r="T387" s="8" t="n">
        <f aca="false">Assumptions!$B$19*H387+(1-Assumptions!$B$19)*N387</f>
        <v>0.0542715777704149</v>
      </c>
      <c r="U387" s="8" t="n">
        <f aca="false">Assumptions!$B$20*I387+(1-Assumptions!$B$20)*O387</f>
        <v>-0.158190890667461</v>
      </c>
      <c r="V387" s="8" t="n">
        <f aca="false">Assumptions!$B$21*J387+(1-Assumptions!$B$21)*P387</f>
        <v>-0.0471008467968116</v>
      </c>
      <c r="W387" s="8" t="n">
        <f aca="false">Assumptions!$B$22*K387+(1-Assumptions!$B$22)*Q387</f>
        <v>0.194511151231274</v>
      </c>
      <c r="X387" s="8" t="n">
        <f aca="false">Assumptions!$B$23*L387+(1-Assumptions!$B$23)*R387</f>
        <v>-0.273185188879009</v>
      </c>
      <c r="Y387" s="8" t="n">
        <f aca="false">Assumptions!$B$24*M387+(1-Assumptions!$B$24)*S387</f>
        <v>0.100763272779159</v>
      </c>
      <c r="Z387" s="6" t="n">
        <f aca="false">Assumptions!$B$27*(1+T387)</f>
        <v>316281.473331124</v>
      </c>
      <c r="AA387" s="6" t="n">
        <f aca="false">(Z387+Assumptions!$B$28)*(1+U387)</f>
        <v>392519.991763138</v>
      </c>
      <c r="AB387" s="6" t="n">
        <f aca="false">AA387*(1+V387)</f>
        <v>374031.967766417</v>
      </c>
      <c r="AC387" s="6" t="n">
        <f aca="false">AB387*(1+W387)</f>
        <v>446785.356413961</v>
      </c>
      <c r="AD387" s="6" t="n">
        <f aca="false">AC387*(1+X387)</f>
        <v>324730.214433638</v>
      </c>
      <c r="AE387" s="6" t="n">
        <f aca="false">AD387*(1+Y387)</f>
        <v>357451.09361025</v>
      </c>
      <c r="AF387" s="6" t="n">
        <f aca="false">Z387</f>
        <v>316281.473331124</v>
      </c>
      <c r="AG387" s="6" t="n">
        <f aca="false">MAX(AF387,AA387)</f>
        <v>392519.991763138</v>
      </c>
      <c r="AH387" s="6" t="n">
        <f aca="false">MAX(AG387,AB387)</f>
        <v>392519.991763138</v>
      </c>
      <c r="AI387" s="6" t="n">
        <f aca="false">MAX(AH387,AC387)</f>
        <v>446785.356413961</v>
      </c>
      <c r="AJ387" s="6" t="n">
        <f aca="false">MAX(AI387,AD387)</f>
        <v>446785.356413961</v>
      </c>
      <c r="AK387" s="6" t="n">
        <f aca="false">MAX(AJ387,AE387)</f>
        <v>446785.356413961</v>
      </c>
      <c r="AL387" s="8" t="n">
        <f aca="false">MIN(Z387/AF387-1,AA387/AG387-1,AB387/AH387-1,AC387/AI387-1,AD387/AJ387-1,AE387/AK387-1)</f>
        <v>-0.273185188879008</v>
      </c>
      <c r="AM387" s="6" t="n">
        <f aca="false">AE387-Assumptions!$B$35</f>
        <v>-83812.9030522539</v>
      </c>
    </row>
    <row r="388" customFormat="false" ht="15" hidden="false" customHeight="false" outlineLevel="0" collapsed="false">
      <c r="A388" s="0" t="n">
        <f aca="false">ROW()-1</f>
        <v>387</v>
      </c>
      <c r="B388" s="0" t="str">
        <f aca="true">IF(RAND()&lt;Assumptions!$B$11,"Bull","Bear")</f>
        <v>Bull</v>
      </c>
      <c r="C388" s="0" t="str">
        <f aca="true">IF(B388="Bull",IF(RAND()&lt;Assumptions!$B$7,"Bull","Bear"),IF(RAND()&lt;Assumptions!$B$10,"Bear","Bull"))</f>
        <v>Bull</v>
      </c>
      <c r="D388" s="0" t="str">
        <f aca="true">IF(C388="Bull",IF(RAND()&lt;Assumptions!$B$7,"Bull","Bear"),IF(RAND()&lt;Assumptions!$B$10,"Bear","Bull"))</f>
        <v>Bull</v>
      </c>
      <c r="E388" s="0" t="str">
        <f aca="true">IF(D388="Bull",IF(RAND()&lt;Assumptions!$B$7,"Bull","Bear"),IF(RAND()&lt;Assumptions!$B$10,"Bear","Bull"))</f>
        <v>Bull</v>
      </c>
      <c r="F388" s="0" t="str">
        <f aca="true">IF(E388="Bull",IF(RAND()&lt;Assumptions!$B$7,"Bull","Bear"),IF(RAND()&lt;Assumptions!$B$10,"Bear","Bull"))</f>
        <v>Bear</v>
      </c>
      <c r="G388" s="0" t="str">
        <f aca="true">IF(F388="Bull",IF(RAND()&lt;Assumptions!$B$7,"Bull","Bear"),IF(RAND()&lt;Assumptions!$B$10,"Bear","Bull"))</f>
        <v>Bear</v>
      </c>
      <c r="H388" s="8" t="n">
        <f aca="true">IF(B388="Bull",NORMINV(RAND(),Assumptions!$B$5,Assumptions!$B$6),NORMINV(RAND(),Assumptions!$B$8,Assumptions!$B$9))</f>
        <v>0.0514457259084811</v>
      </c>
      <c r="I388" s="8" t="n">
        <f aca="true">IF(C388="Bull",NORMINV(RAND(),Assumptions!$B$5,Assumptions!$B$6),NORMINV(RAND(),Assumptions!$B$8,Assumptions!$B$9))</f>
        <v>0.278519979841828</v>
      </c>
      <c r="J388" s="8" t="n">
        <f aca="true">IF(D388="Bull",NORMINV(RAND(),Assumptions!$B$5,Assumptions!$B$6),NORMINV(RAND(),Assumptions!$B$8,Assumptions!$B$9))</f>
        <v>0.096181226060415</v>
      </c>
      <c r="K388" s="8" t="n">
        <f aca="true">IF(E388="Bull",NORMINV(RAND(),Assumptions!$B$5,Assumptions!$B$6),NORMINV(RAND(),Assumptions!$B$8,Assumptions!$B$9))</f>
        <v>-0.0416756503992224</v>
      </c>
      <c r="L388" s="8" t="n">
        <f aca="true">IF(F388="Bull",NORMINV(RAND(),Assumptions!$B$5,Assumptions!$B$6),NORMINV(RAND(),Assumptions!$B$8,Assumptions!$B$9))</f>
        <v>-0.0753829412348779</v>
      </c>
      <c r="M388" s="8" t="n">
        <f aca="true">IF(G388="Bull",NORMINV(RAND(),Assumptions!$B$5,Assumptions!$B$6),NORMINV(RAND(),Assumptions!$B$8,Assumptions!$B$9))</f>
        <v>-0.0997220965925561</v>
      </c>
      <c r="N388" s="8" t="n">
        <f aca="true">NORMINV(RAND(),Assumptions!$B$14,Assumptions!$B$15)</f>
        <v>0.0313396052257274</v>
      </c>
      <c r="O388" s="8" t="n">
        <f aca="true">NORMINV(RAND(),Assumptions!$B$14,Assumptions!$B$15)</f>
        <v>0.0176290985522908</v>
      </c>
      <c r="P388" s="8" t="n">
        <f aca="true">NORMINV(RAND(),Assumptions!$B$14,Assumptions!$B$15)</f>
        <v>0.0330204880186573</v>
      </c>
      <c r="Q388" s="8" t="n">
        <f aca="true">NORMINV(RAND(),Assumptions!$B$14,Assumptions!$B$15)</f>
        <v>0.0619765709240051</v>
      </c>
      <c r="R388" s="8" t="n">
        <f aca="true">NORMINV(RAND(),Assumptions!$B$14,Assumptions!$B$15)</f>
        <v>0.106527930022725</v>
      </c>
      <c r="S388" s="8" t="n">
        <f aca="true">NORMINV(RAND(),Assumptions!$B$14,Assumptions!$B$15)</f>
        <v>0.0376225852454509</v>
      </c>
      <c r="T388" s="8" t="n">
        <f aca="false">Assumptions!$B$19*H388+(1-Assumptions!$B$19)*N388</f>
        <v>0.0514457259084811</v>
      </c>
      <c r="U388" s="8" t="n">
        <f aca="false">Assumptions!$B$20*I388+(1-Assumptions!$B$20)*O388</f>
        <v>0.278519979841828</v>
      </c>
      <c r="V388" s="8" t="n">
        <f aca="false">Assumptions!$B$21*J388+(1-Assumptions!$B$21)*P388</f>
        <v>0.096181226060415</v>
      </c>
      <c r="W388" s="8" t="n">
        <f aca="false">Assumptions!$B$22*K388+(1-Assumptions!$B$22)*Q388</f>
        <v>-0.0416756503992224</v>
      </c>
      <c r="X388" s="8" t="n">
        <f aca="false">Assumptions!$B$23*L388+(1-Assumptions!$B$23)*R388</f>
        <v>-0.0390007669833574</v>
      </c>
      <c r="Y388" s="8" t="n">
        <f aca="false">Assumptions!$B$24*M388+(1-Assumptions!$B$24)*S388</f>
        <v>-0.0447842238573533</v>
      </c>
      <c r="Z388" s="6" t="n">
        <f aca="false">Assumptions!$B$27*(1+T388)</f>
        <v>315433.717772544</v>
      </c>
      <c r="AA388" s="6" t="n">
        <f aca="false">(Z388+Assumptions!$B$28)*(1+U388)</f>
        <v>595066.307464261</v>
      </c>
      <c r="AB388" s="6" t="n">
        <f aca="false">AA388*(1+V388)</f>
        <v>652300.514503417</v>
      </c>
      <c r="AC388" s="6" t="n">
        <f aca="false">AB388*(1+W388)</f>
        <v>625115.46630574</v>
      </c>
      <c r="AD388" s="6" t="n">
        <f aca="false">AC388*(1+X388)</f>
        <v>600735.483666657</v>
      </c>
      <c r="AE388" s="6" t="n">
        <f aca="false">AD388*(1+Y388)</f>
        <v>573832.011287074</v>
      </c>
      <c r="AF388" s="6" t="n">
        <f aca="false">Z388</f>
        <v>315433.717772544</v>
      </c>
      <c r="AG388" s="6" t="n">
        <f aca="false">MAX(AF388,AA388)</f>
        <v>595066.307464261</v>
      </c>
      <c r="AH388" s="6" t="n">
        <f aca="false">MAX(AG388,AB388)</f>
        <v>652300.514503417</v>
      </c>
      <c r="AI388" s="6" t="n">
        <f aca="false">MAX(AH388,AC388)</f>
        <v>652300.514503417</v>
      </c>
      <c r="AJ388" s="6" t="n">
        <f aca="false">MAX(AI388,AD388)</f>
        <v>652300.514503417</v>
      </c>
      <c r="AK388" s="6" t="n">
        <f aca="false">MAX(AJ388,AE388)</f>
        <v>652300.514503417</v>
      </c>
      <c r="AL388" s="8" t="n">
        <f aca="false">MIN(Z388/AF388-1,AA388/AG388-1,AB388/AH388-1,AC388/AI388-1,AD388/AJ388-1,AE388/AK388-1)</f>
        <v>-0.120295019659887</v>
      </c>
      <c r="AM388" s="6" t="n">
        <f aca="false">AE388-Assumptions!$B$35</f>
        <v>132568.01462457</v>
      </c>
    </row>
    <row r="389" customFormat="false" ht="15" hidden="false" customHeight="false" outlineLevel="0" collapsed="false">
      <c r="A389" s="0" t="n">
        <f aca="false">ROW()-1</f>
        <v>388</v>
      </c>
      <c r="B389" s="0" t="str">
        <f aca="true">IF(RAND()&lt;Assumptions!$B$11,"Bull","Bear")</f>
        <v>Bull</v>
      </c>
      <c r="C389" s="0" t="str">
        <f aca="true">IF(B389="Bull",IF(RAND()&lt;Assumptions!$B$7,"Bull","Bear"),IF(RAND()&lt;Assumptions!$B$10,"Bear","Bull"))</f>
        <v>Bull</v>
      </c>
      <c r="D389" s="0" t="str">
        <f aca="true">IF(C389="Bull",IF(RAND()&lt;Assumptions!$B$7,"Bull","Bear"),IF(RAND()&lt;Assumptions!$B$10,"Bear","Bull"))</f>
        <v>Bull</v>
      </c>
      <c r="E389" s="0" t="str">
        <f aca="true">IF(D389="Bull",IF(RAND()&lt;Assumptions!$B$7,"Bull","Bear"),IF(RAND()&lt;Assumptions!$B$10,"Bear","Bull"))</f>
        <v>Bear</v>
      </c>
      <c r="F389" s="0" t="str">
        <f aca="true">IF(E389="Bull",IF(RAND()&lt;Assumptions!$B$7,"Bull","Bear"),IF(RAND()&lt;Assumptions!$B$10,"Bear","Bull"))</f>
        <v>Bull</v>
      </c>
      <c r="G389" s="0" t="str">
        <f aca="true">IF(F389="Bull",IF(RAND()&lt;Assumptions!$B$7,"Bull","Bear"),IF(RAND()&lt;Assumptions!$B$10,"Bear","Bull"))</f>
        <v>Bear</v>
      </c>
      <c r="H389" s="8" t="n">
        <f aca="true">IF(B389="Bull",NORMINV(RAND(),Assumptions!$B$5,Assumptions!$B$6),NORMINV(RAND(),Assumptions!$B$8,Assumptions!$B$9))</f>
        <v>-0.0987961589175359</v>
      </c>
      <c r="I389" s="8" t="n">
        <f aca="true">IF(C389="Bull",NORMINV(RAND(),Assumptions!$B$5,Assumptions!$B$6),NORMINV(RAND(),Assumptions!$B$8,Assumptions!$B$9))</f>
        <v>0.283872640489302</v>
      </c>
      <c r="J389" s="8" t="n">
        <f aca="true">IF(D389="Bull",NORMINV(RAND(),Assumptions!$B$5,Assumptions!$B$6),NORMINV(RAND(),Assumptions!$B$8,Assumptions!$B$9))</f>
        <v>0.161392586520764</v>
      </c>
      <c r="K389" s="8" t="n">
        <f aca="true">IF(E389="Bull",NORMINV(RAND(),Assumptions!$B$5,Assumptions!$B$6),NORMINV(RAND(),Assumptions!$B$8,Assumptions!$B$9))</f>
        <v>-0.0564728389742594</v>
      </c>
      <c r="L389" s="8" t="n">
        <f aca="true">IF(F389="Bull",NORMINV(RAND(),Assumptions!$B$5,Assumptions!$B$6),NORMINV(RAND(),Assumptions!$B$8,Assumptions!$B$9))</f>
        <v>0.0963283262207525</v>
      </c>
      <c r="M389" s="8" t="n">
        <f aca="true">IF(G389="Bull",NORMINV(RAND(),Assumptions!$B$5,Assumptions!$B$6),NORMINV(RAND(),Assumptions!$B$8,Assumptions!$B$9))</f>
        <v>-0.152583102000069</v>
      </c>
      <c r="N389" s="8" t="n">
        <f aca="true">NORMINV(RAND(),Assumptions!$B$14,Assumptions!$B$15)</f>
        <v>0.0243989149543724</v>
      </c>
      <c r="O389" s="8" t="n">
        <f aca="true">NORMINV(RAND(),Assumptions!$B$14,Assumptions!$B$15)</f>
        <v>0.0396974632191332</v>
      </c>
      <c r="P389" s="8" t="n">
        <f aca="true">NORMINV(RAND(),Assumptions!$B$14,Assumptions!$B$15)</f>
        <v>-0.00466896994167748</v>
      </c>
      <c r="Q389" s="8" t="n">
        <f aca="true">NORMINV(RAND(),Assumptions!$B$14,Assumptions!$B$15)</f>
        <v>0.0735578629557201</v>
      </c>
      <c r="R389" s="8" t="n">
        <f aca="true">NORMINV(RAND(),Assumptions!$B$14,Assumptions!$B$15)</f>
        <v>0.0776882193483015</v>
      </c>
      <c r="S389" s="8" t="n">
        <f aca="true">NORMINV(RAND(),Assumptions!$B$14,Assumptions!$B$15)</f>
        <v>0.0455575439890614</v>
      </c>
      <c r="T389" s="8" t="n">
        <f aca="false">Assumptions!$B$19*H389+(1-Assumptions!$B$19)*N389</f>
        <v>-0.0987961589175359</v>
      </c>
      <c r="U389" s="8" t="n">
        <f aca="false">Assumptions!$B$20*I389+(1-Assumptions!$B$20)*O389</f>
        <v>0.283872640489302</v>
      </c>
      <c r="V389" s="8" t="n">
        <f aca="false">Assumptions!$B$21*J389+(1-Assumptions!$B$21)*P389</f>
        <v>0.161392586520764</v>
      </c>
      <c r="W389" s="8" t="n">
        <f aca="false">Assumptions!$B$22*K389+(1-Assumptions!$B$22)*Q389</f>
        <v>-0.0564728389742594</v>
      </c>
      <c r="X389" s="8" t="n">
        <f aca="false">Assumptions!$B$23*L389+(1-Assumptions!$B$23)*R389</f>
        <v>0.0926003048462623</v>
      </c>
      <c r="Y389" s="8" t="n">
        <f aca="false">Assumptions!$B$24*M389+(1-Assumptions!$B$24)*S389</f>
        <v>-0.0733268436044165</v>
      </c>
      <c r="Z389" s="6" t="n">
        <f aca="false">Assumptions!$B$27*(1+T389)</f>
        <v>270361.152324739</v>
      </c>
      <c r="AA389" s="6" t="n">
        <f aca="false">(Z389+Assumptions!$B$28)*(1+U389)</f>
        <v>539690.182594289</v>
      </c>
      <c r="AB389" s="6" t="n">
        <f aca="false">AA389*(1+V389)</f>
        <v>626792.177083044</v>
      </c>
      <c r="AC389" s="6" t="n">
        <f aca="false">AB389*(1+W389)</f>
        <v>591395.443396308</v>
      </c>
      <c r="AD389" s="6" t="n">
        <f aca="false">AC389*(1+X389)</f>
        <v>646158.841739496</v>
      </c>
      <c r="AE389" s="6" t="n">
        <f aca="false">AD389*(1+Y389)</f>
        <v>598778.053407654</v>
      </c>
      <c r="AF389" s="6" t="n">
        <f aca="false">Z389</f>
        <v>270361.152324739</v>
      </c>
      <c r="AG389" s="6" t="n">
        <f aca="false">MAX(AF389,AA389)</f>
        <v>539690.182594289</v>
      </c>
      <c r="AH389" s="6" t="n">
        <f aca="false">MAX(AG389,AB389)</f>
        <v>626792.177083044</v>
      </c>
      <c r="AI389" s="6" t="n">
        <f aca="false">MAX(AH389,AC389)</f>
        <v>626792.177083044</v>
      </c>
      <c r="AJ389" s="6" t="n">
        <f aca="false">MAX(AI389,AD389)</f>
        <v>646158.841739496</v>
      </c>
      <c r="AK389" s="6" t="n">
        <f aca="false">MAX(AJ389,AE389)</f>
        <v>646158.841739496</v>
      </c>
      <c r="AL389" s="8" t="n">
        <f aca="false">MIN(Z389/AF389-1,AA389/AG389-1,AB389/AH389-1,AC389/AI389-1,AD389/AJ389-1,AE389/AK389-1)</f>
        <v>-0.0733268436044166</v>
      </c>
      <c r="AM389" s="6" t="n">
        <f aca="false">AE389-Assumptions!$B$35</f>
        <v>157514.05674515</v>
      </c>
    </row>
    <row r="390" customFormat="false" ht="15" hidden="false" customHeight="false" outlineLevel="0" collapsed="false">
      <c r="A390" s="0" t="n">
        <f aca="false">ROW()-1</f>
        <v>389</v>
      </c>
      <c r="B390" s="0" t="str">
        <f aca="true">IF(RAND()&lt;Assumptions!$B$11,"Bull","Bear")</f>
        <v>Bull</v>
      </c>
      <c r="C390" s="0" t="str">
        <f aca="true">IF(B390="Bull",IF(RAND()&lt;Assumptions!$B$7,"Bull","Bear"),IF(RAND()&lt;Assumptions!$B$10,"Bear","Bull"))</f>
        <v>Bull</v>
      </c>
      <c r="D390" s="0" t="str">
        <f aca="true">IF(C390="Bull",IF(RAND()&lt;Assumptions!$B$7,"Bull","Bear"),IF(RAND()&lt;Assumptions!$B$10,"Bear","Bull"))</f>
        <v>Bull</v>
      </c>
      <c r="E390" s="0" t="str">
        <f aca="true">IF(D390="Bull",IF(RAND()&lt;Assumptions!$B$7,"Bull","Bear"),IF(RAND()&lt;Assumptions!$B$10,"Bear","Bull"))</f>
        <v>Bull</v>
      </c>
      <c r="F390" s="0" t="str">
        <f aca="true">IF(E390="Bull",IF(RAND()&lt;Assumptions!$B$7,"Bull","Bear"),IF(RAND()&lt;Assumptions!$B$10,"Bear","Bull"))</f>
        <v>Bull</v>
      </c>
      <c r="G390" s="0" t="str">
        <f aca="true">IF(F390="Bull",IF(RAND()&lt;Assumptions!$B$7,"Bull","Bear"),IF(RAND()&lt;Assumptions!$B$10,"Bear","Bull"))</f>
        <v>Bull</v>
      </c>
      <c r="H390" s="8" t="n">
        <f aca="true">IF(B390="Bull",NORMINV(RAND(),Assumptions!$B$5,Assumptions!$B$6),NORMINV(RAND(),Assumptions!$B$8,Assumptions!$B$9))</f>
        <v>0.326478984519816</v>
      </c>
      <c r="I390" s="8" t="n">
        <f aca="true">IF(C390="Bull",NORMINV(RAND(),Assumptions!$B$5,Assumptions!$B$6),NORMINV(RAND(),Assumptions!$B$8,Assumptions!$B$9))</f>
        <v>0.119764772106036</v>
      </c>
      <c r="J390" s="8" t="n">
        <f aca="true">IF(D390="Bull",NORMINV(RAND(),Assumptions!$B$5,Assumptions!$B$6),NORMINV(RAND(),Assumptions!$B$8,Assumptions!$B$9))</f>
        <v>0.15015207326109</v>
      </c>
      <c r="K390" s="8" t="n">
        <f aca="true">IF(E390="Bull",NORMINV(RAND(),Assumptions!$B$5,Assumptions!$B$6),NORMINV(RAND(),Assumptions!$B$8,Assumptions!$B$9))</f>
        <v>0.223952752157205</v>
      </c>
      <c r="L390" s="8" t="n">
        <f aca="true">IF(F390="Bull",NORMINV(RAND(),Assumptions!$B$5,Assumptions!$B$6),NORMINV(RAND(),Assumptions!$B$8,Assumptions!$B$9))</f>
        <v>0.00173253121955272</v>
      </c>
      <c r="M390" s="8" t="n">
        <f aca="true">IF(G390="Bull",NORMINV(RAND(),Assumptions!$B$5,Assumptions!$B$6),NORMINV(RAND(),Assumptions!$B$8,Assumptions!$B$9))</f>
        <v>0.0879744690442361</v>
      </c>
      <c r="N390" s="8" t="n">
        <f aca="true">NORMINV(RAND(),Assumptions!$B$14,Assumptions!$B$15)</f>
        <v>0.0877658512199518</v>
      </c>
      <c r="O390" s="8" t="n">
        <f aca="true">NORMINV(RAND(),Assumptions!$B$14,Assumptions!$B$15)</f>
        <v>0.0364571571252645</v>
      </c>
      <c r="P390" s="8" t="n">
        <f aca="true">NORMINV(RAND(),Assumptions!$B$14,Assumptions!$B$15)</f>
        <v>0.0612261405113439</v>
      </c>
      <c r="Q390" s="8" t="n">
        <f aca="true">NORMINV(RAND(),Assumptions!$B$14,Assumptions!$B$15)</f>
        <v>0.0266183389404468</v>
      </c>
      <c r="R390" s="8" t="n">
        <f aca="true">NORMINV(RAND(),Assumptions!$B$14,Assumptions!$B$15)</f>
        <v>0.019343462480696</v>
      </c>
      <c r="S390" s="8" t="n">
        <f aca="true">NORMINV(RAND(),Assumptions!$B$14,Assumptions!$B$15)</f>
        <v>0.072441244241132</v>
      </c>
      <c r="T390" s="8" t="n">
        <f aca="false">Assumptions!$B$19*H390+(1-Assumptions!$B$19)*N390</f>
        <v>0.326478984519816</v>
      </c>
      <c r="U390" s="8" t="n">
        <f aca="false">Assumptions!$B$20*I390+(1-Assumptions!$B$20)*O390</f>
        <v>0.119764772106036</v>
      </c>
      <c r="V390" s="8" t="n">
        <f aca="false">Assumptions!$B$21*J390+(1-Assumptions!$B$21)*P390</f>
        <v>0.15015207326109</v>
      </c>
      <c r="W390" s="8" t="n">
        <f aca="false">Assumptions!$B$22*K390+(1-Assumptions!$B$22)*Q390</f>
        <v>0.223952752157205</v>
      </c>
      <c r="X390" s="8" t="n">
        <f aca="false">Assumptions!$B$23*L390+(1-Assumptions!$B$23)*R390</f>
        <v>0.00525471747178137</v>
      </c>
      <c r="Y390" s="8" t="n">
        <f aca="false">Assumptions!$B$24*M390+(1-Assumptions!$B$24)*S390</f>
        <v>0.0817611791229944</v>
      </c>
      <c r="Z390" s="6" t="n">
        <f aca="false">Assumptions!$B$27*(1+T390)</f>
        <v>397943.695355945</v>
      </c>
      <c r="AA390" s="6" t="n">
        <f aca="false">(Z390+Assumptions!$B$28)*(1+U390)</f>
        <v>613568.047157189</v>
      </c>
      <c r="AB390" s="6" t="n">
        <f aca="false">AA390*(1+V390)</f>
        <v>705696.561524599</v>
      </c>
      <c r="AC390" s="6" t="n">
        <f aca="false">AB390*(1+W390)</f>
        <v>863739.248665909</v>
      </c>
      <c r="AD390" s="6" t="n">
        <f aca="false">AC390*(1+X390)</f>
        <v>868277.954386937</v>
      </c>
      <c r="AE390" s="6" t="n">
        <f aca="false">AD390*(1+Y390)</f>
        <v>939269.383744115</v>
      </c>
      <c r="AF390" s="6" t="n">
        <f aca="false">Z390</f>
        <v>397943.695355945</v>
      </c>
      <c r="AG390" s="6" t="n">
        <f aca="false">MAX(AF390,AA390)</f>
        <v>613568.047157189</v>
      </c>
      <c r="AH390" s="6" t="n">
        <f aca="false">MAX(AG390,AB390)</f>
        <v>705696.561524599</v>
      </c>
      <c r="AI390" s="6" t="n">
        <f aca="false">MAX(AH390,AC390)</f>
        <v>863739.248665909</v>
      </c>
      <c r="AJ390" s="6" t="n">
        <f aca="false">MAX(AI390,AD390)</f>
        <v>868277.954386937</v>
      </c>
      <c r="AK390" s="6" t="n">
        <f aca="false">MAX(AJ390,AE390)</f>
        <v>939269.383744115</v>
      </c>
      <c r="AL390" s="8" t="n">
        <f aca="false">MIN(Z390/AF390-1,AA390/AG390-1,AB390/AH390-1,AC390/AI390-1,AD390/AJ390-1,AE390/AK390-1)</f>
        <v>0</v>
      </c>
      <c r="AM390" s="6" t="n">
        <f aca="false">AE390-Assumptions!$B$35</f>
        <v>498005.387081611</v>
      </c>
    </row>
    <row r="391" customFormat="false" ht="15" hidden="false" customHeight="false" outlineLevel="0" collapsed="false">
      <c r="A391" s="0" t="n">
        <f aca="false">ROW()-1</f>
        <v>390</v>
      </c>
      <c r="B391" s="0" t="str">
        <f aca="true">IF(RAND()&lt;Assumptions!$B$11,"Bull","Bear")</f>
        <v>Bull</v>
      </c>
      <c r="C391" s="0" t="str">
        <f aca="true">IF(B391="Bull",IF(RAND()&lt;Assumptions!$B$7,"Bull","Bear"),IF(RAND()&lt;Assumptions!$B$10,"Bear","Bull"))</f>
        <v>Bull</v>
      </c>
      <c r="D391" s="0" t="str">
        <f aca="true">IF(C391="Bull",IF(RAND()&lt;Assumptions!$B$7,"Bull","Bear"),IF(RAND()&lt;Assumptions!$B$10,"Bear","Bull"))</f>
        <v>Bear</v>
      </c>
      <c r="E391" s="0" t="str">
        <f aca="true">IF(D391="Bull",IF(RAND()&lt;Assumptions!$B$7,"Bull","Bear"),IF(RAND()&lt;Assumptions!$B$10,"Bear","Bull"))</f>
        <v>Bear</v>
      </c>
      <c r="F391" s="0" t="str">
        <f aca="true">IF(E391="Bull",IF(RAND()&lt;Assumptions!$B$7,"Bull","Bear"),IF(RAND()&lt;Assumptions!$B$10,"Bear","Bull"))</f>
        <v>Bear</v>
      </c>
      <c r="G391" s="0" t="str">
        <f aca="true">IF(F391="Bull",IF(RAND()&lt;Assumptions!$B$7,"Bull","Bear"),IF(RAND()&lt;Assumptions!$B$10,"Bear","Bull"))</f>
        <v>Bull</v>
      </c>
      <c r="H391" s="8" t="n">
        <f aca="true">IF(B391="Bull",NORMINV(RAND(),Assumptions!$B$5,Assumptions!$B$6),NORMINV(RAND(),Assumptions!$B$8,Assumptions!$B$9))</f>
        <v>0.108493913784958</v>
      </c>
      <c r="I391" s="8" t="n">
        <f aca="true">IF(C391="Bull",NORMINV(RAND(),Assumptions!$B$5,Assumptions!$B$6),NORMINV(RAND(),Assumptions!$B$8,Assumptions!$B$9))</f>
        <v>0.201225469681356</v>
      </c>
      <c r="J391" s="8" t="n">
        <f aca="true">IF(D391="Bull",NORMINV(RAND(),Assumptions!$B$5,Assumptions!$B$6),NORMINV(RAND(),Assumptions!$B$8,Assumptions!$B$9))</f>
        <v>-0.0730470657181667</v>
      </c>
      <c r="K391" s="8" t="n">
        <f aca="true">IF(E391="Bull",NORMINV(RAND(),Assumptions!$B$5,Assumptions!$B$6),NORMINV(RAND(),Assumptions!$B$8,Assumptions!$B$9))</f>
        <v>-0.128599427323927</v>
      </c>
      <c r="L391" s="8" t="n">
        <f aca="true">IF(F391="Bull",NORMINV(RAND(),Assumptions!$B$5,Assumptions!$B$6),NORMINV(RAND(),Assumptions!$B$8,Assumptions!$B$9))</f>
        <v>-0.299036857424974</v>
      </c>
      <c r="M391" s="8" t="n">
        <f aca="true">IF(G391="Bull",NORMINV(RAND(),Assumptions!$B$5,Assumptions!$B$6),NORMINV(RAND(),Assumptions!$B$8,Assumptions!$B$9))</f>
        <v>0.143820910557043</v>
      </c>
      <c r="N391" s="8" t="n">
        <f aca="true">NORMINV(RAND(),Assumptions!$B$14,Assumptions!$B$15)</f>
        <v>0.0519574485459091</v>
      </c>
      <c r="O391" s="8" t="n">
        <f aca="true">NORMINV(RAND(),Assumptions!$B$14,Assumptions!$B$15)</f>
        <v>0.095256637984673</v>
      </c>
      <c r="P391" s="8" t="n">
        <f aca="true">NORMINV(RAND(),Assumptions!$B$14,Assumptions!$B$15)</f>
        <v>0.0525575826194413</v>
      </c>
      <c r="Q391" s="8" t="n">
        <f aca="true">NORMINV(RAND(),Assumptions!$B$14,Assumptions!$B$15)</f>
        <v>0.0972500718470701</v>
      </c>
      <c r="R391" s="8" t="n">
        <f aca="true">NORMINV(RAND(),Assumptions!$B$14,Assumptions!$B$15)</f>
        <v>-0.01456020746812</v>
      </c>
      <c r="S391" s="8" t="n">
        <f aca="true">NORMINV(RAND(),Assumptions!$B$14,Assumptions!$B$15)</f>
        <v>0.072710575532833</v>
      </c>
      <c r="T391" s="8" t="n">
        <f aca="false">Assumptions!$B$19*H391+(1-Assumptions!$B$19)*N391</f>
        <v>0.108493913784958</v>
      </c>
      <c r="U391" s="8" t="n">
        <f aca="false">Assumptions!$B$20*I391+(1-Assumptions!$B$20)*O391</f>
        <v>0.201225469681356</v>
      </c>
      <c r="V391" s="8" t="n">
        <f aca="false">Assumptions!$B$21*J391+(1-Assumptions!$B$21)*P391</f>
        <v>-0.0730470657181667</v>
      </c>
      <c r="W391" s="8" t="n">
        <f aca="false">Assumptions!$B$22*K391+(1-Assumptions!$B$22)*Q391</f>
        <v>-0.128599427323927</v>
      </c>
      <c r="X391" s="8" t="n">
        <f aca="false">Assumptions!$B$23*L391+(1-Assumptions!$B$23)*R391</f>
        <v>-0.242141527433603</v>
      </c>
      <c r="Y391" s="8" t="n">
        <f aca="false">Assumptions!$B$24*M391+(1-Assumptions!$B$24)*S391</f>
        <v>0.115376776547359</v>
      </c>
      <c r="Z391" s="6" t="n">
        <f aca="false">Assumptions!$B$27*(1+T391)</f>
        <v>332548.174135487</v>
      </c>
      <c r="AA391" s="6" t="n">
        <f aca="false">(Z391+Assumptions!$B$28)*(1+U391)</f>
        <v>579649.157119782</v>
      </c>
      <c r="AB391" s="6" t="n">
        <f aca="false">AA391*(1+V391)</f>
        <v>537307.487046173</v>
      </c>
      <c r="AC391" s="6" t="n">
        <f aca="false">AB391*(1+W391)</f>
        <v>468210.051915177</v>
      </c>
      <c r="AD391" s="6" t="n">
        <f aca="false">AC391*(1+X391)</f>
        <v>354836.954784669</v>
      </c>
      <c r="AE391" s="6" t="n">
        <f aca="false">AD391*(1+Y391)</f>
        <v>395776.898827605</v>
      </c>
      <c r="AF391" s="6" t="n">
        <f aca="false">Z391</f>
        <v>332548.174135487</v>
      </c>
      <c r="AG391" s="6" t="n">
        <f aca="false">MAX(AF391,AA391)</f>
        <v>579649.157119782</v>
      </c>
      <c r="AH391" s="6" t="n">
        <f aca="false">MAX(AG391,AB391)</f>
        <v>579649.157119782</v>
      </c>
      <c r="AI391" s="6" t="n">
        <f aca="false">MAX(AH391,AC391)</f>
        <v>579649.157119782</v>
      </c>
      <c r="AJ391" s="6" t="n">
        <f aca="false">MAX(AI391,AD391)</f>
        <v>579649.157119782</v>
      </c>
      <c r="AK391" s="6" t="n">
        <f aca="false">MAX(AJ391,AE391)</f>
        <v>579649.157119782</v>
      </c>
      <c r="AL391" s="8" t="n">
        <f aca="false">MIN(Z391/AF391-1,AA391/AG391-1,AB391/AH391-1,AC391/AI391-1,AD391/AJ391-1,AE391/AK391-1)</f>
        <v>-0.387841851529952</v>
      </c>
      <c r="AM391" s="6" t="n">
        <f aca="false">AE391-Assumptions!$B$35</f>
        <v>-45487.0978348982</v>
      </c>
    </row>
    <row r="392" customFormat="false" ht="15" hidden="false" customHeight="false" outlineLevel="0" collapsed="false">
      <c r="A392" s="0" t="n">
        <f aca="false">ROW()-1</f>
        <v>391</v>
      </c>
      <c r="B392" s="0" t="str">
        <f aca="true">IF(RAND()&lt;Assumptions!$B$11,"Bull","Bear")</f>
        <v>Bull</v>
      </c>
      <c r="C392" s="0" t="str">
        <f aca="true">IF(B392="Bull",IF(RAND()&lt;Assumptions!$B$7,"Bull","Bear"),IF(RAND()&lt;Assumptions!$B$10,"Bear","Bull"))</f>
        <v>Bear</v>
      </c>
      <c r="D392" s="0" t="str">
        <f aca="true">IF(C392="Bull",IF(RAND()&lt;Assumptions!$B$7,"Bull","Bear"),IF(RAND()&lt;Assumptions!$B$10,"Bear","Bull"))</f>
        <v>Bull</v>
      </c>
      <c r="E392" s="0" t="str">
        <f aca="true">IF(D392="Bull",IF(RAND()&lt;Assumptions!$B$7,"Bull","Bear"),IF(RAND()&lt;Assumptions!$B$10,"Bear","Bull"))</f>
        <v>Bear</v>
      </c>
      <c r="F392" s="0" t="str">
        <f aca="true">IF(E392="Bull",IF(RAND()&lt;Assumptions!$B$7,"Bull","Bear"),IF(RAND()&lt;Assumptions!$B$10,"Bear","Bull"))</f>
        <v>Bear</v>
      </c>
      <c r="G392" s="0" t="str">
        <f aca="true">IF(F392="Bull",IF(RAND()&lt;Assumptions!$B$7,"Bull","Bear"),IF(RAND()&lt;Assumptions!$B$10,"Bear","Bull"))</f>
        <v>Bear</v>
      </c>
      <c r="H392" s="8" t="n">
        <f aca="true">IF(B392="Bull",NORMINV(RAND(),Assumptions!$B$5,Assumptions!$B$6),NORMINV(RAND(),Assumptions!$B$8,Assumptions!$B$9))</f>
        <v>0.0943981542036478</v>
      </c>
      <c r="I392" s="8" t="n">
        <f aca="true">IF(C392="Bull",NORMINV(RAND(),Assumptions!$B$5,Assumptions!$B$6),NORMINV(RAND(),Assumptions!$B$8,Assumptions!$B$9))</f>
        <v>-0.403651094647686</v>
      </c>
      <c r="J392" s="8" t="n">
        <f aca="true">IF(D392="Bull",NORMINV(RAND(),Assumptions!$B$5,Assumptions!$B$6),NORMINV(RAND(),Assumptions!$B$8,Assumptions!$B$9))</f>
        <v>0.141495425981715</v>
      </c>
      <c r="K392" s="8" t="n">
        <f aca="true">IF(E392="Bull",NORMINV(RAND(),Assumptions!$B$5,Assumptions!$B$6),NORMINV(RAND(),Assumptions!$B$8,Assumptions!$B$9))</f>
        <v>-0.415802352986024</v>
      </c>
      <c r="L392" s="8" t="n">
        <f aca="true">IF(F392="Bull",NORMINV(RAND(),Assumptions!$B$5,Assumptions!$B$6),NORMINV(RAND(),Assumptions!$B$8,Assumptions!$B$9))</f>
        <v>-0.423588639548028</v>
      </c>
      <c r="M392" s="8" t="n">
        <f aca="true">IF(G392="Bull",NORMINV(RAND(),Assumptions!$B$5,Assumptions!$B$6),NORMINV(RAND(),Assumptions!$B$8,Assumptions!$B$9))</f>
        <v>0.0697268592203037</v>
      </c>
      <c r="N392" s="8" t="n">
        <f aca="true">NORMINV(RAND(),Assumptions!$B$14,Assumptions!$B$15)</f>
        <v>0.0793710600676773</v>
      </c>
      <c r="O392" s="8" t="n">
        <f aca="true">NORMINV(RAND(),Assumptions!$B$14,Assumptions!$B$15)</f>
        <v>0.0398050446363633</v>
      </c>
      <c r="P392" s="8" t="n">
        <f aca="true">NORMINV(RAND(),Assumptions!$B$14,Assumptions!$B$15)</f>
        <v>0.0483992832727157</v>
      </c>
      <c r="Q392" s="8" t="n">
        <f aca="true">NORMINV(RAND(),Assumptions!$B$14,Assumptions!$B$15)</f>
        <v>0.0606381366283633</v>
      </c>
      <c r="R392" s="8" t="n">
        <f aca="true">NORMINV(RAND(),Assumptions!$B$14,Assumptions!$B$15)</f>
        <v>0.0973338164760223</v>
      </c>
      <c r="S392" s="8" t="n">
        <f aca="true">NORMINV(RAND(),Assumptions!$B$14,Assumptions!$B$15)</f>
        <v>0.0152025330304856</v>
      </c>
      <c r="T392" s="8" t="n">
        <f aca="false">Assumptions!$B$19*H392+(1-Assumptions!$B$19)*N392</f>
        <v>0.0943981542036478</v>
      </c>
      <c r="U392" s="8" t="n">
        <f aca="false">Assumptions!$B$20*I392+(1-Assumptions!$B$20)*O392</f>
        <v>-0.403651094647686</v>
      </c>
      <c r="V392" s="8" t="n">
        <f aca="false">Assumptions!$B$21*J392+(1-Assumptions!$B$21)*P392</f>
        <v>0.141495425981715</v>
      </c>
      <c r="W392" s="8" t="n">
        <f aca="false">Assumptions!$B$22*K392+(1-Assumptions!$B$22)*Q392</f>
        <v>-0.415802352986024</v>
      </c>
      <c r="X392" s="8" t="n">
        <f aca="false">Assumptions!$B$23*L392+(1-Assumptions!$B$23)*R392</f>
        <v>-0.319404148343218</v>
      </c>
      <c r="Y392" s="8" t="n">
        <f aca="false">Assumptions!$B$24*M392+(1-Assumptions!$B$24)*S392</f>
        <v>0.0479171287443765</v>
      </c>
      <c r="Z392" s="6" t="n">
        <f aca="false">Assumptions!$B$27*(1+T392)</f>
        <v>328319.446261094</v>
      </c>
      <c r="AA392" s="6" t="n">
        <f aca="false">(Z392+Assumptions!$B$28)*(1+U392)</f>
        <v>285245.278186529</v>
      </c>
      <c r="AB392" s="6" t="n">
        <f aca="false">AA392*(1+V392)</f>
        <v>325606.180332804</v>
      </c>
      <c r="AC392" s="6" t="n">
        <f aca="false">AB392*(1+W392)</f>
        <v>190218.364403633</v>
      </c>
      <c r="AD392" s="6" t="n">
        <f aca="false">AC392*(1+X392)</f>
        <v>129461.82972205</v>
      </c>
      <c r="AE392" s="6" t="n">
        <f aca="false">AD392*(1+Y392)</f>
        <v>135665.268884324</v>
      </c>
      <c r="AF392" s="6" t="n">
        <f aca="false">Z392</f>
        <v>328319.446261094</v>
      </c>
      <c r="AG392" s="6" t="n">
        <f aca="false">MAX(AF392,AA392)</f>
        <v>328319.446261094</v>
      </c>
      <c r="AH392" s="6" t="n">
        <f aca="false">MAX(AG392,AB392)</f>
        <v>328319.446261094</v>
      </c>
      <c r="AI392" s="6" t="n">
        <f aca="false">MAX(AH392,AC392)</f>
        <v>328319.446261094</v>
      </c>
      <c r="AJ392" s="6" t="n">
        <f aca="false">MAX(AI392,AD392)</f>
        <v>328319.446261094</v>
      </c>
      <c r="AK392" s="6" t="n">
        <f aca="false">MAX(AJ392,AE392)</f>
        <v>328319.446261094</v>
      </c>
      <c r="AL392" s="8" t="n">
        <f aca="false">MIN(Z392/AF392-1,AA392/AG392-1,AB392/AH392-1,AC392/AI392-1,AD392/AJ392-1,AE392/AK392-1)</f>
        <v>-0.605683333118512</v>
      </c>
      <c r="AM392" s="6" t="n">
        <f aca="false">AE392-Assumptions!$B$35</f>
        <v>-305598.727778179</v>
      </c>
    </row>
    <row r="393" customFormat="false" ht="15" hidden="false" customHeight="false" outlineLevel="0" collapsed="false">
      <c r="A393" s="0" t="n">
        <f aca="false">ROW()-1</f>
        <v>392</v>
      </c>
      <c r="B393" s="0" t="str">
        <f aca="true">IF(RAND()&lt;Assumptions!$B$11,"Bull","Bear")</f>
        <v>Bull</v>
      </c>
      <c r="C393" s="0" t="str">
        <f aca="true">IF(B393="Bull",IF(RAND()&lt;Assumptions!$B$7,"Bull","Bear"),IF(RAND()&lt;Assumptions!$B$10,"Bear","Bull"))</f>
        <v>Bull</v>
      </c>
      <c r="D393" s="0" t="str">
        <f aca="true">IF(C393="Bull",IF(RAND()&lt;Assumptions!$B$7,"Bull","Bear"),IF(RAND()&lt;Assumptions!$B$10,"Bear","Bull"))</f>
        <v>Bull</v>
      </c>
      <c r="E393" s="0" t="str">
        <f aca="true">IF(D393="Bull",IF(RAND()&lt;Assumptions!$B$7,"Bull","Bear"),IF(RAND()&lt;Assumptions!$B$10,"Bear","Bull"))</f>
        <v>Bull</v>
      </c>
      <c r="F393" s="0" t="str">
        <f aca="true">IF(E393="Bull",IF(RAND()&lt;Assumptions!$B$7,"Bull","Bear"),IF(RAND()&lt;Assumptions!$B$10,"Bear","Bull"))</f>
        <v>Bull</v>
      </c>
      <c r="G393" s="0" t="str">
        <f aca="true">IF(F393="Bull",IF(RAND()&lt;Assumptions!$B$7,"Bull","Bear"),IF(RAND()&lt;Assumptions!$B$10,"Bear","Bull"))</f>
        <v>Bull</v>
      </c>
      <c r="H393" s="8" t="n">
        <f aca="true">IF(B393="Bull",NORMINV(RAND(),Assumptions!$B$5,Assumptions!$B$6),NORMINV(RAND(),Assumptions!$B$8,Assumptions!$B$9))</f>
        <v>0.210657062102133</v>
      </c>
      <c r="I393" s="8" t="n">
        <f aca="true">IF(C393="Bull",NORMINV(RAND(),Assumptions!$B$5,Assumptions!$B$6),NORMINV(RAND(),Assumptions!$B$8,Assumptions!$B$9))</f>
        <v>0.181157152325457</v>
      </c>
      <c r="J393" s="8" t="n">
        <f aca="true">IF(D393="Bull",NORMINV(RAND(),Assumptions!$B$5,Assumptions!$B$6),NORMINV(RAND(),Assumptions!$B$8,Assumptions!$B$9))</f>
        <v>0.108565185860935</v>
      </c>
      <c r="K393" s="8" t="n">
        <f aca="true">IF(E393="Bull",NORMINV(RAND(),Assumptions!$B$5,Assumptions!$B$6),NORMINV(RAND(),Assumptions!$B$8,Assumptions!$B$9))</f>
        <v>0.24514234859485</v>
      </c>
      <c r="L393" s="8" t="n">
        <f aca="true">IF(F393="Bull",NORMINV(RAND(),Assumptions!$B$5,Assumptions!$B$6),NORMINV(RAND(),Assumptions!$B$8,Assumptions!$B$9))</f>
        <v>0.210089504015164</v>
      </c>
      <c r="M393" s="8" t="n">
        <f aca="true">IF(G393="Bull",NORMINV(RAND(),Assumptions!$B$5,Assumptions!$B$6),NORMINV(RAND(),Assumptions!$B$8,Assumptions!$B$9))</f>
        <v>0.190064691229353</v>
      </c>
      <c r="N393" s="8" t="n">
        <f aca="true">NORMINV(RAND(),Assumptions!$B$14,Assumptions!$B$15)</f>
        <v>0.0284720777272499</v>
      </c>
      <c r="O393" s="8" t="n">
        <f aca="true">NORMINV(RAND(),Assumptions!$B$14,Assumptions!$B$15)</f>
        <v>0.0408129766092579</v>
      </c>
      <c r="P393" s="8" t="n">
        <f aca="true">NORMINV(RAND(),Assumptions!$B$14,Assumptions!$B$15)</f>
        <v>0.0326090508411499</v>
      </c>
      <c r="Q393" s="8" t="n">
        <f aca="true">NORMINV(RAND(),Assumptions!$B$14,Assumptions!$B$15)</f>
        <v>0.0420092559172296</v>
      </c>
      <c r="R393" s="8" t="n">
        <f aca="true">NORMINV(RAND(),Assumptions!$B$14,Assumptions!$B$15)</f>
        <v>0.127150950219913</v>
      </c>
      <c r="S393" s="8" t="n">
        <f aca="true">NORMINV(RAND(),Assumptions!$B$14,Assumptions!$B$15)</f>
        <v>0.0815817357609213</v>
      </c>
      <c r="T393" s="8" t="n">
        <f aca="false">Assumptions!$B$19*H393+(1-Assumptions!$B$19)*N393</f>
        <v>0.210657062102133</v>
      </c>
      <c r="U393" s="8" t="n">
        <f aca="false">Assumptions!$B$20*I393+(1-Assumptions!$B$20)*O393</f>
        <v>0.181157152325457</v>
      </c>
      <c r="V393" s="8" t="n">
        <f aca="false">Assumptions!$B$21*J393+(1-Assumptions!$B$21)*P393</f>
        <v>0.108565185860935</v>
      </c>
      <c r="W393" s="8" t="n">
        <f aca="false">Assumptions!$B$22*K393+(1-Assumptions!$B$22)*Q393</f>
        <v>0.24514234859485</v>
      </c>
      <c r="X393" s="8" t="n">
        <f aca="false">Assumptions!$B$23*L393+(1-Assumptions!$B$23)*R393</f>
        <v>0.193501793256114</v>
      </c>
      <c r="Y393" s="8" t="n">
        <f aca="false">Assumptions!$B$24*M393+(1-Assumptions!$B$24)*S393</f>
        <v>0.14667150904198</v>
      </c>
      <c r="Z393" s="6" t="n">
        <f aca="false">Assumptions!$B$27*(1+T393)</f>
        <v>363197.11863064</v>
      </c>
      <c r="AA393" s="6" t="n">
        <f aca="false">(Z393+Assumptions!$B$28)*(1+U393)</f>
        <v>606166.447223396</v>
      </c>
      <c r="AB393" s="6" t="n">
        <f aca="false">AA393*(1+V393)</f>
        <v>671975.020228867</v>
      </c>
      <c r="AC393" s="6" t="n">
        <f aca="false">AB393*(1+W393)</f>
        <v>836704.554884843</v>
      </c>
      <c r="AD393" s="6" t="n">
        <f aca="false">AC393*(1+X393)</f>
        <v>998608.386680619</v>
      </c>
      <c r="AE393" s="6" t="n">
        <f aca="false">AD393*(1+Y393)</f>
        <v>1145075.78569704</v>
      </c>
      <c r="AF393" s="6" t="n">
        <f aca="false">Z393</f>
        <v>363197.11863064</v>
      </c>
      <c r="AG393" s="6" t="n">
        <f aca="false">MAX(AF393,AA393)</f>
        <v>606166.447223396</v>
      </c>
      <c r="AH393" s="6" t="n">
        <f aca="false">MAX(AG393,AB393)</f>
        <v>671975.020228867</v>
      </c>
      <c r="AI393" s="6" t="n">
        <f aca="false">MAX(AH393,AC393)</f>
        <v>836704.554884843</v>
      </c>
      <c r="AJ393" s="6" t="n">
        <f aca="false">MAX(AI393,AD393)</f>
        <v>998608.386680619</v>
      </c>
      <c r="AK393" s="6" t="n">
        <f aca="false">MAX(AJ393,AE393)</f>
        <v>1145075.78569704</v>
      </c>
      <c r="AL393" s="8" t="n">
        <f aca="false">MIN(Z393/AF393-1,AA393/AG393-1,AB393/AH393-1,AC393/AI393-1,AD393/AJ393-1,AE393/AK393-1)</f>
        <v>0</v>
      </c>
      <c r="AM393" s="6" t="n">
        <f aca="false">AE393-Assumptions!$B$35</f>
        <v>703811.789034539</v>
      </c>
    </row>
    <row r="394" customFormat="false" ht="15" hidden="false" customHeight="false" outlineLevel="0" collapsed="false">
      <c r="A394" s="0" t="n">
        <f aca="false">ROW()-1</f>
        <v>393</v>
      </c>
      <c r="B394" s="0" t="str">
        <f aca="true">IF(RAND()&lt;Assumptions!$B$11,"Bull","Bear")</f>
        <v>Bull</v>
      </c>
      <c r="C394" s="0" t="str">
        <f aca="true">IF(B394="Bull",IF(RAND()&lt;Assumptions!$B$7,"Bull","Bear"),IF(RAND()&lt;Assumptions!$B$10,"Bear","Bull"))</f>
        <v>Bull</v>
      </c>
      <c r="D394" s="0" t="str">
        <f aca="true">IF(C394="Bull",IF(RAND()&lt;Assumptions!$B$7,"Bull","Bear"),IF(RAND()&lt;Assumptions!$B$10,"Bear","Bull"))</f>
        <v>Bull</v>
      </c>
      <c r="E394" s="0" t="str">
        <f aca="true">IF(D394="Bull",IF(RAND()&lt;Assumptions!$B$7,"Bull","Bear"),IF(RAND()&lt;Assumptions!$B$10,"Bear","Bull"))</f>
        <v>Bear</v>
      </c>
      <c r="F394" s="0" t="str">
        <f aca="true">IF(E394="Bull",IF(RAND()&lt;Assumptions!$B$7,"Bull","Bear"),IF(RAND()&lt;Assumptions!$B$10,"Bear","Bull"))</f>
        <v>Bull</v>
      </c>
      <c r="G394" s="0" t="str">
        <f aca="true">IF(F394="Bull",IF(RAND()&lt;Assumptions!$B$7,"Bull","Bear"),IF(RAND()&lt;Assumptions!$B$10,"Bear","Bull"))</f>
        <v>Bull</v>
      </c>
      <c r="H394" s="8" t="n">
        <f aca="true">IF(B394="Bull",NORMINV(RAND(),Assumptions!$B$5,Assumptions!$B$6),NORMINV(RAND(),Assumptions!$B$8,Assumptions!$B$9))</f>
        <v>0.437286636184358</v>
      </c>
      <c r="I394" s="8" t="n">
        <f aca="true">IF(C394="Bull",NORMINV(RAND(),Assumptions!$B$5,Assumptions!$B$6),NORMINV(RAND(),Assumptions!$B$8,Assumptions!$B$9))</f>
        <v>0.121146833191863</v>
      </c>
      <c r="J394" s="8" t="n">
        <f aca="true">IF(D394="Bull",NORMINV(RAND(),Assumptions!$B$5,Assumptions!$B$6),NORMINV(RAND(),Assumptions!$B$8,Assumptions!$B$9))</f>
        <v>0.188358006112743</v>
      </c>
      <c r="K394" s="8" t="n">
        <f aca="true">IF(E394="Bull",NORMINV(RAND(),Assumptions!$B$5,Assumptions!$B$6),NORMINV(RAND(),Assumptions!$B$8,Assumptions!$B$9))</f>
        <v>-0.132021640214063</v>
      </c>
      <c r="L394" s="8" t="n">
        <f aca="true">IF(F394="Bull",NORMINV(RAND(),Assumptions!$B$5,Assumptions!$B$6),NORMINV(RAND(),Assumptions!$B$8,Assumptions!$B$9))</f>
        <v>0.0186942735284535</v>
      </c>
      <c r="M394" s="8" t="n">
        <f aca="true">IF(G394="Bull",NORMINV(RAND(),Assumptions!$B$5,Assumptions!$B$6),NORMINV(RAND(),Assumptions!$B$8,Assumptions!$B$9))</f>
        <v>0.107453433469342</v>
      </c>
      <c r="N394" s="8" t="n">
        <f aca="true">NORMINV(RAND(),Assumptions!$B$14,Assumptions!$B$15)</f>
        <v>0.0178302067365857</v>
      </c>
      <c r="O394" s="8" t="n">
        <f aca="true">NORMINV(RAND(),Assumptions!$B$14,Assumptions!$B$15)</f>
        <v>0.0768280219585212</v>
      </c>
      <c r="P394" s="8" t="n">
        <f aca="true">NORMINV(RAND(),Assumptions!$B$14,Assumptions!$B$15)</f>
        <v>0.0592464230025651</v>
      </c>
      <c r="Q394" s="8" t="n">
        <f aca="true">NORMINV(RAND(),Assumptions!$B$14,Assumptions!$B$15)</f>
        <v>0.030782165111249</v>
      </c>
      <c r="R394" s="8" t="n">
        <f aca="true">NORMINV(RAND(),Assumptions!$B$14,Assumptions!$B$15)</f>
        <v>0.0799961192476926</v>
      </c>
      <c r="S394" s="8" t="n">
        <f aca="true">NORMINV(RAND(),Assumptions!$B$14,Assumptions!$B$15)</f>
        <v>0.0750240225665146</v>
      </c>
      <c r="T394" s="8" t="n">
        <f aca="false">Assumptions!$B$19*H394+(1-Assumptions!$B$19)*N394</f>
        <v>0.437286636184358</v>
      </c>
      <c r="U394" s="8" t="n">
        <f aca="false">Assumptions!$B$20*I394+(1-Assumptions!$B$20)*O394</f>
        <v>0.121146833191863</v>
      </c>
      <c r="V394" s="8" t="n">
        <f aca="false">Assumptions!$B$21*J394+(1-Assumptions!$B$21)*P394</f>
        <v>0.188358006112743</v>
      </c>
      <c r="W394" s="8" t="n">
        <f aca="false">Assumptions!$B$22*K394+(1-Assumptions!$B$22)*Q394</f>
        <v>-0.132021640214063</v>
      </c>
      <c r="X394" s="8" t="n">
        <f aca="false">Assumptions!$B$23*L394+(1-Assumptions!$B$23)*R394</f>
        <v>0.0309546426723013</v>
      </c>
      <c r="Y394" s="8" t="n">
        <f aca="false">Assumptions!$B$24*M394+(1-Assumptions!$B$24)*S394</f>
        <v>0.0944816691082112</v>
      </c>
      <c r="Z394" s="6" t="n">
        <f aca="false">Assumptions!$B$27*(1+T394)</f>
        <v>431185.990855307</v>
      </c>
      <c r="AA394" s="6" t="n">
        <f aca="false">(Z394+Assumptions!$B$28)*(1+U394)</f>
        <v>651594.833142903</v>
      </c>
      <c r="AB394" s="6" t="n">
        <f aca="false">AA394*(1+V394)</f>
        <v>774327.936707065</v>
      </c>
      <c r="AC394" s="6" t="n">
        <f aca="false">AB394*(1+W394)</f>
        <v>672099.892439427</v>
      </c>
      <c r="AD394" s="6" t="n">
        <f aca="false">AC394*(1+X394)</f>
        <v>692904.504449982</v>
      </c>
      <c r="AE394" s="6" t="n">
        <f aca="false">AD394*(1+Y394)</f>
        <v>758371.278563014</v>
      </c>
      <c r="AF394" s="6" t="n">
        <f aca="false">Z394</f>
        <v>431185.990855307</v>
      </c>
      <c r="AG394" s="6" t="n">
        <f aca="false">MAX(AF394,AA394)</f>
        <v>651594.833142903</v>
      </c>
      <c r="AH394" s="6" t="n">
        <f aca="false">MAX(AG394,AB394)</f>
        <v>774327.936707065</v>
      </c>
      <c r="AI394" s="6" t="n">
        <f aca="false">MAX(AH394,AC394)</f>
        <v>774327.936707065</v>
      </c>
      <c r="AJ394" s="6" t="n">
        <f aca="false">MAX(AI394,AD394)</f>
        <v>774327.936707065</v>
      </c>
      <c r="AK394" s="6" t="n">
        <f aca="false">MAX(AJ394,AE394)</f>
        <v>774327.936707065</v>
      </c>
      <c r="AL394" s="8" t="n">
        <f aca="false">MIN(Z394/AF394-1,AA394/AG394-1,AB394/AH394-1,AC394/AI394-1,AD394/AJ394-1,AE394/AK394-1)</f>
        <v>-0.132021640214063</v>
      </c>
      <c r="AM394" s="6" t="n">
        <f aca="false">AE394-Assumptions!$B$35</f>
        <v>317107.281900511</v>
      </c>
    </row>
    <row r="395" customFormat="false" ht="15" hidden="false" customHeight="false" outlineLevel="0" collapsed="false">
      <c r="A395" s="0" t="n">
        <f aca="false">ROW()-1</f>
        <v>394</v>
      </c>
      <c r="B395" s="0" t="str">
        <f aca="true">IF(RAND()&lt;Assumptions!$B$11,"Bull","Bear")</f>
        <v>Bull</v>
      </c>
      <c r="C395" s="0" t="str">
        <f aca="true">IF(B395="Bull",IF(RAND()&lt;Assumptions!$B$7,"Bull","Bear"),IF(RAND()&lt;Assumptions!$B$10,"Bear","Bull"))</f>
        <v>Bull</v>
      </c>
      <c r="D395" s="0" t="str">
        <f aca="true">IF(C395="Bull",IF(RAND()&lt;Assumptions!$B$7,"Bull","Bear"),IF(RAND()&lt;Assumptions!$B$10,"Bear","Bull"))</f>
        <v>Bull</v>
      </c>
      <c r="E395" s="0" t="str">
        <f aca="true">IF(D395="Bull",IF(RAND()&lt;Assumptions!$B$7,"Bull","Bear"),IF(RAND()&lt;Assumptions!$B$10,"Bear","Bull"))</f>
        <v>Bull</v>
      </c>
      <c r="F395" s="0" t="str">
        <f aca="true">IF(E395="Bull",IF(RAND()&lt;Assumptions!$B$7,"Bull","Bear"),IF(RAND()&lt;Assumptions!$B$10,"Bear","Bull"))</f>
        <v>Bear</v>
      </c>
      <c r="G395" s="0" t="str">
        <f aca="true">IF(F395="Bull",IF(RAND()&lt;Assumptions!$B$7,"Bull","Bear"),IF(RAND()&lt;Assumptions!$B$10,"Bear","Bull"))</f>
        <v>Bear</v>
      </c>
      <c r="H395" s="8" t="n">
        <f aca="true">IF(B395="Bull",NORMINV(RAND(),Assumptions!$B$5,Assumptions!$B$6),NORMINV(RAND(),Assumptions!$B$8,Assumptions!$B$9))</f>
        <v>0.0288546085964596</v>
      </c>
      <c r="I395" s="8" t="n">
        <f aca="true">IF(C395="Bull",NORMINV(RAND(),Assumptions!$B$5,Assumptions!$B$6),NORMINV(RAND(),Assumptions!$B$8,Assumptions!$B$9))</f>
        <v>0.0373696192813155</v>
      </c>
      <c r="J395" s="8" t="n">
        <f aca="true">IF(D395="Bull",NORMINV(RAND(),Assumptions!$B$5,Assumptions!$B$6),NORMINV(RAND(),Assumptions!$B$8,Assumptions!$B$9))</f>
        <v>0.375624808370189</v>
      </c>
      <c r="K395" s="8" t="n">
        <f aca="true">IF(E395="Bull",NORMINV(RAND(),Assumptions!$B$5,Assumptions!$B$6),NORMINV(RAND(),Assumptions!$B$8,Assumptions!$B$9))</f>
        <v>0.205152560447665</v>
      </c>
      <c r="L395" s="8" t="n">
        <f aca="true">IF(F395="Bull",NORMINV(RAND(),Assumptions!$B$5,Assumptions!$B$6),NORMINV(RAND(),Assumptions!$B$8,Assumptions!$B$9))</f>
        <v>-0.296793287704796</v>
      </c>
      <c r="M395" s="8" t="n">
        <f aca="true">IF(G395="Bull",NORMINV(RAND(),Assumptions!$B$5,Assumptions!$B$6),NORMINV(RAND(),Assumptions!$B$8,Assumptions!$B$9))</f>
        <v>-0.104545614101345</v>
      </c>
      <c r="N395" s="8" t="n">
        <f aca="true">NORMINV(RAND(),Assumptions!$B$14,Assumptions!$B$15)</f>
        <v>0.038107658863146</v>
      </c>
      <c r="O395" s="8" t="n">
        <f aca="true">NORMINV(RAND(),Assumptions!$B$14,Assumptions!$B$15)</f>
        <v>0.0843716032805804</v>
      </c>
      <c r="P395" s="8" t="n">
        <f aca="true">NORMINV(RAND(),Assumptions!$B$14,Assumptions!$B$15)</f>
        <v>0.029933436419185</v>
      </c>
      <c r="Q395" s="8" t="n">
        <f aca="true">NORMINV(RAND(),Assumptions!$B$14,Assumptions!$B$15)</f>
        <v>0.0703956833761811</v>
      </c>
      <c r="R395" s="8" t="n">
        <f aca="true">NORMINV(RAND(),Assumptions!$B$14,Assumptions!$B$15)</f>
        <v>0.0593575362375584</v>
      </c>
      <c r="S395" s="8" t="n">
        <f aca="true">NORMINV(RAND(),Assumptions!$B$14,Assumptions!$B$15)</f>
        <v>0.0152133048504998</v>
      </c>
      <c r="T395" s="8" t="n">
        <f aca="false">Assumptions!$B$19*H395+(1-Assumptions!$B$19)*N395</f>
        <v>0.0288546085964596</v>
      </c>
      <c r="U395" s="8" t="n">
        <f aca="false">Assumptions!$B$20*I395+(1-Assumptions!$B$20)*O395</f>
        <v>0.0373696192813155</v>
      </c>
      <c r="V395" s="8" t="n">
        <f aca="false">Assumptions!$B$21*J395+(1-Assumptions!$B$21)*P395</f>
        <v>0.375624808370189</v>
      </c>
      <c r="W395" s="8" t="n">
        <f aca="false">Assumptions!$B$22*K395+(1-Assumptions!$B$22)*Q395</f>
        <v>0.205152560447665</v>
      </c>
      <c r="X395" s="8" t="n">
        <f aca="false">Assumptions!$B$23*L395+(1-Assumptions!$B$23)*R395</f>
        <v>-0.225563122916325</v>
      </c>
      <c r="Y395" s="8" t="n">
        <f aca="false">Assumptions!$B$24*M395+(1-Assumptions!$B$24)*S395</f>
        <v>-0.0566420465206071</v>
      </c>
      <c r="Z395" s="6" t="n">
        <f aca="false">Assumptions!$B$27*(1+T395)</f>
        <v>308656.382578938</v>
      </c>
      <c r="AA395" s="6" t="n">
        <f aca="false">(Z395+Assumptions!$B$28)*(1+U395)</f>
        <v>475796.196976858</v>
      </c>
      <c r="AB395" s="6" t="n">
        <f aca="false">AA395*(1+V395)</f>
        <v>654517.052289555</v>
      </c>
      <c r="AC395" s="6" t="n">
        <f aca="false">AB395*(1+W395)</f>
        <v>788792.901423416</v>
      </c>
      <c r="AD395" s="6" t="n">
        <f aca="false">AC395*(1+X395)</f>
        <v>610870.311244121</v>
      </c>
      <c r="AE395" s="6" t="n">
        <f aca="false">AD395*(1+Y395)</f>
        <v>576269.366656574</v>
      </c>
      <c r="AF395" s="6" t="n">
        <f aca="false">Z395</f>
        <v>308656.382578938</v>
      </c>
      <c r="AG395" s="6" t="n">
        <f aca="false">MAX(AF395,AA395)</f>
        <v>475796.196976858</v>
      </c>
      <c r="AH395" s="6" t="n">
        <f aca="false">MAX(AG395,AB395)</f>
        <v>654517.052289555</v>
      </c>
      <c r="AI395" s="6" t="n">
        <f aca="false">MAX(AH395,AC395)</f>
        <v>788792.901423416</v>
      </c>
      <c r="AJ395" s="6" t="n">
        <f aca="false">MAX(AI395,AD395)</f>
        <v>788792.901423416</v>
      </c>
      <c r="AK395" s="6" t="n">
        <f aca="false">MAX(AJ395,AE395)</f>
        <v>788792.901423416</v>
      </c>
      <c r="AL395" s="8" t="n">
        <f aca="false">MIN(Z395/AF395-1,AA395/AG395-1,AB395/AH395-1,AC395/AI395-1,AD395/AJ395-1,AE395/AK395-1)</f>
        <v>-0.269428812535372</v>
      </c>
      <c r="AM395" s="6" t="n">
        <f aca="false">AE395-Assumptions!$B$35</f>
        <v>135005.36999407</v>
      </c>
    </row>
    <row r="396" customFormat="false" ht="15" hidden="false" customHeight="false" outlineLevel="0" collapsed="false">
      <c r="A396" s="0" t="n">
        <f aca="false">ROW()-1</f>
        <v>395</v>
      </c>
      <c r="B396" s="0" t="str">
        <f aca="true">IF(RAND()&lt;Assumptions!$B$11,"Bull","Bear")</f>
        <v>Bull</v>
      </c>
      <c r="C396" s="0" t="str">
        <f aca="true">IF(B396="Bull",IF(RAND()&lt;Assumptions!$B$7,"Bull","Bear"),IF(RAND()&lt;Assumptions!$B$10,"Bear","Bull"))</f>
        <v>Bull</v>
      </c>
      <c r="D396" s="0" t="str">
        <f aca="true">IF(C396="Bull",IF(RAND()&lt;Assumptions!$B$7,"Bull","Bear"),IF(RAND()&lt;Assumptions!$B$10,"Bear","Bull"))</f>
        <v>Bull</v>
      </c>
      <c r="E396" s="0" t="str">
        <f aca="true">IF(D396="Bull",IF(RAND()&lt;Assumptions!$B$7,"Bull","Bear"),IF(RAND()&lt;Assumptions!$B$10,"Bear","Bull"))</f>
        <v>Bull</v>
      </c>
      <c r="F396" s="0" t="str">
        <f aca="true">IF(E396="Bull",IF(RAND()&lt;Assumptions!$B$7,"Bull","Bear"),IF(RAND()&lt;Assumptions!$B$10,"Bear","Bull"))</f>
        <v>Bull</v>
      </c>
      <c r="G396" s="0" t="str">
        <f aca="true">IF(F396="Bull",IF(RAND()&lt;Assumptions!$B$7,"Bull","Bear"),IF(RAND()&lt;Assumptions!$B$10,"Bear","Bull"))</f>
        <v>Bull</v>
      </c>
      <c r="H396" s="8" t="n">
        <f aca="true">IF(B396="Bull",NORMINV(RAND(),Assumptions!$B$5,Assumptions!$B$6),NORMINV(RAND(),Assumptions!$B$8,Assumptions!$B$9))</f>
        <v>0.14233340868687</v>
      </c>
      <c r="I396" s="8" t="n">
        <f aca="true">IF(C396="Bull",NORMINV(RAND(),Assumptions!$B$5,Assumptions!$B$6),NORMINV(RAND(),Assumptions!$B$8,Assumptions!$B$9))</f>
        <v>0.317196218913345</v>
      </c>
      <c r="J396" s="8" t="n">
        <f aca="true">IF(D396="Bull",NORMINV(RAND(),Assumptions!$B$5,Assumptions!$B$6),NORMINV(RAND(),Assumptions!$B$8,Assumptions!$B$9))</f>
        <v>0.0597433182422062</v>
      </c>
      <c r="K396" s="8" t="n">
        <f aca="true">IF(E396="Bull",NORMINV(RAND(),Assumptions!$B$5,Assumptions!$B$6),NORMINV(RAND(),Assumptions!$B$8,Assumptions!$B$9))</f>
        <v>0.19904504548347</v>
      </c>
      <c r="L396" s="8" t="n">
        <f aca="true">IF(F396="Bull",NORMINV(RAND(),Assumptions!$B$5,Assumptions!$B$6),NORMINV(RAND(),Assumptions!$B$8,Assumptions!$B$9))</f>
        <v>-0.0866774554128849</v>
      </c>
      <c r="M396" s="8" t="n">
        <f aca="true">IF(G396="Bull",NORMINV(RAND(),Assumptions!$B$5,Assumptions!$B$6),NORMINV(RAND(),Assumptions!$B$8,Assumptions!$B$9))</f>
        <v>0.194408599128776</v>
      </c>
      <c r="N396" s="8" t="n">
        <f aca="true">NORMINV(RAND(),Assumptions!$B$14,Assumptions!$B$15)</f>
        <v>0.0842813030502524</v>
      </c>
      <c r="O396" s="8" t="n">
        <f aca="true">NORMINV(RAND(),Assumptions!$B$14,Assumptions!$B$15)</f>
        <v>0.0427324171835255</v>
      </c>
      <c r="P396" s="8" t="n">
        <f aca="true">NORMINV(RAND(),Assumptions!$B$14,Assumptions!$B$15)</f>
        <v>0.0311636855719179</v>
      </c>
      <c r="Q396" s="8" t="n">
        <f aca="true">NORMINV(RAND(),Assumptions!$B$14,Assumptions!$B$15)</f>
        <v>0.0495826896645565</v>
      </c>
      <c r="R396" s="8" t="n">
        <f aca="true">NORMINV(RAND(),Assumptions!$B$14,Assumptions!$B$15)</f>
        <v>0.0569438890524319</v>
      </c>
      <c r="S396" s="8" t="n">
        <f aca="true">NORMINV(RAND(),Assumptions!$B$14,Assumptions!$B$15)</f>
        <v>0.0416729135320125</v>
      </c>
      <c r="T396" s="8" t="n">
        <f aca="false">Assumptions!$B$19*H396+(1-Assumptions!$B$19)*N396</f>
        <v>0.14233340868687</v>
      </c>
      <c r="U396" s="8" t="n">
        <f aca="false">Assumptions!$B$20*I396+(1-Assumptions!$B$20)*O396</f>
        <v>0.317196218913345</v>
      </c>
      <c r="V396" s="8" t="n">
        <f aca="false">Assumptions!$B$21*J396+(1-Assumptions!$B$21)*P396</f>
        <v>0.0597433182422062</v>
      </c>
      <c r="W396" s="8" t="n">
        <f aca="false">Assumptions!$B$22*K396+(1-Assumptions!$B$22)*Q396</f>
        <v>0.19904504548347</v>
      </c>
      <c r="X396" s="8" t="n">
        <f aca="false">Assumptions!$B$23*L396+(1-Assumptions!$B$23)*R396</f>
        <v>-0.0579531865198215</v>
      </c>
      <c r="Y396" s="8" t="n">
        <f aca="false">Assumptions!$B$24*M396+(1-Assumptions!$B$24)*S396</f>
        <v>0.133314324890071</v>
      </c>
      <c r="Z396" s="6" t="n">
        <f aca="false">Assumptions!$B$27*(1+T396)</f>
        <v>342700.022606061</v>
      </c>
      <c r="AA396" s="6" t="n">
        <f aca="false">(Z396+Assumptions!$B$28)*(1+U396)</f>
        <v>648982.606835223</v>
      </c>
      <c r="AB396" s="6" t="n">
        <f aca="false">AA396*(1+V396)</f>
        <v>687754.981249036</v>
      </c>
      <c r="AC396" s="6" t="n">
        <f aca="false">AB396*(1+W396)</f>
        <v>824649.202773234</v>
      </c>
      <c r="AD396" s="6" t="n">
        <f aca="false">AC396*(1+X396)</f>
        <v>776858.153711494</v>
      </c>
      <c r="AE396" s="6" t="n">
        <f aca="false">AD396*(1+Y396)</f>
        <v>880424.474008889</v>
      </c>
      <c r="AF396" s="6" t="n">
        <f aca="false">Z396</f>
        <v>342700.022606061</v>
      </c>
      <c r="AG396" s="6" t="n">
        <f aca="false">MAX(AF396,AA396)</f>
        <v>648982.606835223</v>
      </c>
      <c r="AH396" s="6" t="n">
        <f aca="false">MAX(AG396,AB396)</f>
        <v>687754.981249036</v>
      </c>
      <c r="AI396" s="6" t="n">
        <f aca="false">MAX(AH396,AC396)</f>
        <v>824649.202773234</v>
      </c>
      <c r="AJ396" s="6" t="n">
        <f aca="false">MAX(AI396,AD396)</f>
        <v>824649.202773234</v>
      </c>
      <c r="AK396" s="6" t="n">
        <f aca="false">MAX(AJ396,AE396)</f>
        <v>880424.474008889</v>
      </c>
      <c r="AL396" s="8" t="n">
        <f aca="false">MIN(Z396/AF396-1,AA396/AG396-1,AB396/AH396-1,AC396/AI396-1,AD396/AJ396-1,AE396/AK396-1)</f>
        <v>-0.0579531865198215</v>
      </c>
      <c r="AM396" s="6" t="n">
        <f aca="false">AE396-Assumptions!$B$35</f>
        <v>439160.477346385</v>
      </c>
    </row>
    <row r="397" customFormat="false" ht="15" hidden="false" customHeight="false" outlineLevel="0" collapsed="false">
      <c r="A397" s="0" t="n">
        <f aca="false">ROW()-1</f>
        <v>396</v>
      </c>
      <c r="B397" s="0" t="str">
        <f aca="true">IF(RAND()&lt;Assumptions!$B$11,"Bull","Bear")</f>
        <v>Bull</v>
      </c>
      <c r="C397" s="0" t="str">
        <f aca="true">IF(B397="Bull",IF(RAND()&lt;Assumptions!$B$7,"Bull","Bear"),IF(RAND()&lt;Assumptions!$B$10,"Bear","Bull"))</f>
        <v>Bull</v>
      </c>
      <c r="D397" s="0" t="str">
        <f aca="true">IF(C397="Bull",IF(RAND()&lt;Assumptions!$B$7,"Bull","Bear"),IF(RAND()&lt;Assumptions!$B$10,"Bear","Bull"))</f>
        <v>Bull</v>
      </c>
      <c r="E397" s="0" t="str">
        <f aca="true">IF(D397="Bull",IF(RAND()&lt;Assumptions!$B$7,"Bull","Bear"),IF(RAND()&lt;Assumptions!$B$10,"Bear","Bull"))</f>
        <v>Bull</v>
      </c>
      <c r="F397" s="0" t="str">
        <f aca="true">IF(E397="Bull",IF(RAND()&lt;Assumptions!$B$7,"Bull","Bear"),IF(RAND()&lt;Assumptions!$B$10,"Bear","Bull"))</f>
        <v>Bull</v>
      </c>
      <c r="G397" s="0" t="str">
        <f aca="true">IF(F397="Bull",IF(RAND()&lt;Assumptions!$B$7,"Bull","Bear"),IF(RAND()&lt;Assumptions!$B$10,"Bear","Bull"))</f>
        <v>Bull</v>
      </c>
      <c r="H397" s="8" t="n">
        <f aca="true">IF(B397="Bull",NORMINV(RAND(),Assumptions!$B$5,Assumptions!$B$6),NORMINV(RAND(),Assumptions!$B$8,Assumptions!$B$9))</f>
        <v>0.183856559509299</v>
      </c>
      <c r="I397" s="8" t="n">
        <f aca="true">IF(C397="Bull",NORMINV(RAND(),Assumptions!$B$5,Assumptions!$B$6),NORMINV(RAND(),Assumptions!$B$8,Assumptions!$B$9))</f>
        <v>0.117637725040289</v>
      </c>
      <c r="J397" s="8" t="n">
        <f aca="true">IF(D397="Bull",NORMINV(RAND(),Assumptions!$B$5,Assumptions!$B$6),NORMINV(RAND(),Assumptions!$B$8,Assumptions!$B$9))</f>
        <v>-0.024329259887244</v>
      </c>
      <c r="K397" s="8" t="n">
        <f aca="true">IF(E397="Bull",NORMINV(RAND(),Assumptions!$B$5,Assumptions!$B$6),NORMINV(RAND(),Assumptions!$B$8,Assumptions!$B$9))</f>
        <v>0.0996567839262758</v>
      </c>
      <c r="L397" s="8" t="n">
        <f aca="true">IF(F397="Bull",NORMINV(RAND(),Assumptions!$B$5,Assumptions!$B$6),NORMINV(RAND(),Assumptions!$B$8,Assumptions!$B$9))</f>
        <v>-0.0266409631475198</v>
      </c>
      <c r="M397" s="8" t="n">
        <f aca="true">IF(G397="Bull",NORMINV(RAND(),Assumptions!$B$5,Assumptions!$B$6),NORMINV(RAND(),Assumptions!$B$8,Assumptions!$B$9))</f>
        <v>0.218388783650148</v>
      </c>
      <c r="N397" s="8" t="n">
        <f aca="true">NORMINV(RAND(),Assumptions!$B$14,Assumptions!$B$15)</f>
        <v>0.0251634764594581</v>
      </c>
      <c r="O397" s="8" t="n">
        <f aca="true">NORMINV(RAND(),Assumptions!$B$14,Assumptions!$B$15)</f>
        <v>0.0147096170343364</v>
      </c>
      <c r="P397" s="8" t="n">
        <f aca="true">NORMINV(RAND(),Assumptions!$B$14,Assumptions!$B$15)</f>
        <v>0.0236125562870963</v>
      </c>
      <c r="Q397" s="8" t="n">
        <f aca="true">NORMINV(RAND(),Assumptions!$B$14,Assumptions!$B$15)</f>
        <v>0.0445899668818287</v>
      </c>
      <c r="R397" s="8" t="n">
        <f aca="true">NORMINV(RAND(),Assumptions!$B$14,Assumptions!$B$15)</f>
        <v>0.0833207264078238</v>
      </c>
      <c r="S397" s="8" t="n">
        <f aca="true">NORMINV(RAND(),Assumptions!$B$14,Assumptions!$B$15)</f>
        <v>0.0641604253124522</v>
      </c>
      <c r="T397" s="8" t="n">
        <f aca="false">Assumptions!$B$19*H397+(1-Assumptions!$B$19)*N397</f>
        <v>0.183856559509299</v>
      </c>
      <c r="U397" s="8" t="n">
        <f aca="false">Assumptions!$B$20*I397+(1-Assumptions!$B$20)*O397</f>
        <v>0.117637725040289</v>
      </c>
      <c r="V397" s="8" t="n">
        <f aca="false">Assumptions!$B$21*J397+(1-Assumptions!$B$21)*P397</f>
        <v>-0.024329259887244</v>
      </c>
      <c r="W397" s="8" t="n">
        <f aca="false">Assumptions!$B$22*K397+(1-Assumptions!$B$22)*Q397</f>
        <v>0.0996567839262758</v>
      </c>
      <c r="X397" s="8" t="n">
        <f aca="false">Assumptions!$B$23*L397+(1-Assumptions!$B$23)*R397</f>
        <v>-0.00464862523645106</v>
      </c>
      <c r="Y397" s="8" t="n">
        <f aca="false">Assumptions!$B$24*M397+(1-Assumptions!$B$24)*S397</f>
        <v>0.15669744031507</v>
      </c>
      <c r="Z397" s="6" t="n">
        <f aca="false">Assumptions!$B$27*(1+T397)</f>
        <v>355156.96785279</v>
      </c>
      <c r="AA397" s="6" t="n">
        <f aca="false">(Z397+Assumptions!$B$28)*(1+U397)</f>
        <v>564582.484339243</v>
      </c>
      <c r="AB397" s="6" t="n">
        <f aca="false">AA397*(1+V397)</f>
        <v>550846.610349967</v>
      </c>
      <c r="AC397" s="6" t="n">
        <f aca="false">AB397*(1+W397)</f>
        <v>605742.211974135</v>
      </c>
      <c r="AD397" s="6" t="n">
        <f aca="false">AC397*(1+X397)</f>
        <v>602926.343440769</v>
      </c>
      <c r="AE397" s="6" t="n">
        <f aca="false">AD397*(1+Y397)</f>
        <v>697403.358156462</v>
      </c>
      <c r="AF397" s="6" t="n">
        <f aca="false">Z397</f>
        <v>355156.96785279</v>
      </c>
      <c r="AG397" s="6" t="n">
        <f aca="false">MAX(AF397,AA397)</f>
        <v>564582.484339243</v>
      </c>
      <c r="AH397" s="6" t="n">
        <f aca="false">MAX(AG397,AB397)</f>
        <v>564582.484339243</v>
      </c>
      <c r="AI397" s="6" t="n">
        <f aca="false">MAX(AH397,AC397)</f>
        <v>605742.211974135</v>
      </c>
      <c r="AJ397" s="6" t="n">
        <f aca="false">MAX(AI397,AD397)</f>
        <v>605742.211974135</v>
      </c>
      <c r="AK397" s="6" t="n">
        <f aca="false">MAX(AJ397,AE397)</f>
        <v>697403.358156462</v>
      </c>
      <c r="AL397" s="8" t="n">
        <f aca="false">MIN(Z397/AF397-1,AA397/AG397-1,AB397/AH397-1,AC397/AI397-1,AD397/AJ397-1,AE397/AK397-1)</f>
        <v>-0.024329259887244</v>
      </c>
      <c r="AM397" s="6" t="n">
        <f aca="false">AE397-Assumptions!$B$35</f>
        <v>256139.361493958</v>
      </c>
    </row>
    <row r="398" customFormat="false" ht="15" hidden="false" customHeight="false" outlineLevel="0" collapsed="false">
      <c r="A398" s="0" t="n">
        <f aca="false">ROW()-1</f>
        <v>397</v>
      </c>
      <c r="B398" s="0" t="str">
        <f aca="true">IF(RAND()&lt;Assumptions!$B$11,"Bull","Bear")</f>
        <v>Bear</v>
      </c>
      <c r="C398" s="0" t="str">
        <f aca="true">IF(B398="Bull",IF(RAND()&lt;Assumptions!$B$7,"Bull","Bear"),IF(RAND()&lt;Assumptions!$B$10,"Bear","Bull"))</f>
        <v>Bull</v>
      </c>
      <c r="D398" s="0" t="str">
        <f aca="true">IF(C398="Bull",IF(RAND()&lt;Assumptions!$B$7,"Bull","Bear"),IF(RAND()&lt;Assumptions!$B$10,"Bear","Bull"))</f>
        <v>Bull</v>
      </c>
      <c r="E398" s="0" t="str">
        <f aca="true">IF(D398="Bull",IF(RAND()&lt;Assumptions!$B$7,"Bull","Bear"),IF(RAND()&lt;Assumptions!$B$10,"Bear","Bull"))</f>
        <v>Bear</v>
      </c>
      <c r="F398" s="0" t="str">
        <f aca="true">IF(E398="Bull",IF(RAND()&lt;Assumptions!$B$7,"Bull","Bear"),IF(RAND()&lt;Assumptions!$B$10,"Bear","Bull"))</f>
        <v>Bull</v>
      </c>
      <c r="G398" s="0" t="str">
        <f aca="true">IF(F398="Bull",IF(RAND()&lt;Assumptions!$B$7,"Bull","Bear"),IF(RAND()&lt;Assumptions!$B$10,"Bear","Bull"))</f>
        <v>Bear</v>
      </c>
      <c r="H398" s="8" t="n">
        <f aca="true">IF(B398="Bull",NORMINV(RAND(),Assumptions!$B$5,Assumptions!$B$6),NORMINV(RAND(),Assumptions!$B$8,Assumptions!$B$9))</f>
        <v>0.426094905098151</v>
      </c>
      <c r="I398" s="8" t="n">
        <f aca="true">IF(C398="Bull",NORMINV(RAND(),Assumptions!$B$5,Assumptions!$B$6),NORMINV(RAND(),Assumptions!$B$8,Assumptions!$B$9))</f>
        <v>0.0437359558992773</v>
      </c>
      <c r="J398" s="8" t="n">
        <f aca="true">IF(D398="Bull",NORMINV(RAND(),Assumptions!$B$5,Assumptions!$B$6),NORMINV(RAND(),Assumptions!$B$8,Assumptions!$B$9))</f>
        <v>0.27882109461067</v>
      </c>
      <c r="K398" s="8" t="n">
        <f aca="true">IF(E398="Bull",NORMINV(RAND(),Assumptions!$B$5,Assumptions!$B$6),NORMINV(RAND(),Assumptions!$B$8,Assumptions!$B$9))</f>
        <v>0.0384050993514959</v>
      </c>
      <c r="L398" s="8" t="n">
        <f aca="true">IF(F398="Bull",NORMINV(RAND(),Assumptions!$B$5,Assumptions!$B$6),NORMINV(RAND(),Assumptions!$B$8,Assumptions!$B$9))</f>
        <v>0.27423979677028</v>
      </c>
      <c r="M398" s="8" t="n">
        <f aca="true">IF(G398="Bull",NORMINV(RAND(),Assumptions!$B$5,Assumptions!$B$6),NORMINV(RAND(),Assumptions!$B$8,Assumptions!$B$9))</f>
        <v>-0.212965405871851</v>
      </c>
      <c r="N398" s="8" t="n">
        <f aca="true">NORMINV(RAND(),Assumptions!$B$14,Assumptions!$B$15)</f>
        <v>0.0394257909374183</v>
      </c>
      <c r="O398" s="8" t="n">
        <f aca="true">NORMINV(RAND(),Assumptions!$B$14,Assumptions!$B$15)</f>
        <v>0.0423010672511616</v>
      </c>
      <c r="P398" s="8" t="n">
        <f aca="true">NORMINV(RAND(),Assumptions!$B$14,Assumptions!$B$15)</f>
        <v>0.0472014170594258</v>
      </c>
      <c r="Q398" s="8" t="n">
        <f aca="true">NORMINV(RAND(),Assumptions!$B$14,Assumptions!$B$15)</f>
        <v>0.00268285282255939</v>
      </c>
      <c r="R398" s="8" t="n">
        <f aca="true">NORMINV(RAND(),Assumptions!$B$14,Assumptions!$B$15)</f>
        <v>0.0560882997359821</v>
      </c>
      <c r="S398" s="8" t="n">
        <f aca="true">NORMINV(RAND(),Assumptions!$B$14,Assumptions!$B$15)</f>
        <v>0.0372510965978871</v>
      </c>
      <c r="T398" s="8" t="n">
        <f aca="false">Assumptions!$B$19*H398+(1-Assumptions!$B$19)*N398</f>
        <v>0.426094905098151</v>
      </c>
      <c r="U398" s="8" t="n">
        <f aca="false">Assumptions!$B$20*I398+(1-Assumptions!$B$20)*O398</f>
        <v>0.0437359558992773</v>
      </c>
      <c r="V398" s="8" t="n">
        <f aca="false">Assumptions!$B$21*J398+(1-Assumptions!$B$21)*P398</f>
        <v>0.27882109461067</v>
      </c>
      <c r="W398" s="8" t="n">
        <f aca="false">Assumptions!$B$22*K398+(1-Assumptions!$B$22)*Q398</f>
        <v>0.0384050993514959</v>
      </c>
      <c r="X398" s="8" t="n">
        <f aca="false">Assumptions!$B$23*L398+(1-Assumptions!$B$23)*R398</f>
        <v>0.23060949736342</v>
      </c>
      <c r="Y398" s="8" t="n">
        <f aca="false">Assumptions!$B$24*M398+(1-Assumptions!$B$24)*S398</f>
        <v>-0.112878804883956</v>
      </c>
      <c r="Z398" s="6" t="n">
        <f aca="false">Assumptions!$B$27*(1+T398)</f>
        <v>427828.471529445</v>
      </c>
      <c r="AA398" s="6" t="n">
        <f aca="false">(Z398+Assumptions!$B$28)*(1+U398)</f>
        <v>603100.352077604</v>
      </c>
      <c r="AB398" s="6" t="n">
        <f aca="false">AA398*(1+V398)</f>
        <v>771257.452403962</v>
      </c>
      <c r="AC398" s="6" t="n">
        <f aca="false">AB398*(1+W398)</f>
        <v>800877.671489118</v>
      </c>
      <c r="AD398" s="6" t="n">
        <f aca="false">AC398*(1+X398)</f>
        <v>985567.66876081</v>
      </c>
      <c r="AE398" s="6" t="n">
        <f aca="false">AD398*(1+Y398)</f>
        <v>874317.968178823</v>
      </c>
      <c r="AF398" s="6" t="n">
        <f aca="false">Z398</f>
        <v>427828.471529445</v>
      </c>
      <c r="AG398" s="6" t="n">
        <f aca="false">MAX(AF398,AA398)</f>
        <v>603100.352077604</v>
      </c>
      <c r="AH398" s="6" t="n">
        <f aca="false">MAX(AG398,AB398)</f>
        <v>771257.452403962</v>
      </c>
      <c r="AI398" s="6" t="n">
        <f aca="false">MAX(AH398,AC398)</f>
        <v>800877.671489118</v>
      </c>
      <c r="AJ398" s="6" t="n">
        <f aca="false">MAX(AI398,AD398)</f>
        <v>985567.66876081</v>
      </c>
      <c r="AK398" s="6" t="n">
        <f aca="false">MAX(AJ398,AE398)</f>
        <v>985567.66876081</v>
      </c>
      <c r="AL398" s="8" t="n">
        <f aca="false">MIN(Z398/AF398-1,AA398/AG398-1,AB398/AH398-1,AC398/AI398-1,AD398/AJ398-1,AE398/AK398-1)</f>
        <v>-0.112878804883956</v>
      </c>
      <c r="AM398" s="6" t="n">
        <f aca="false">AE398-Assumptions!$B$35</f>
        <v>433053.971516319</v>
      </c>
    </row>
    <row r="399" customFormat="false" ht="15" hidden="false" customHeight="false" outlineLevel="0" collapsed="false">
      <c r="A399" s="0" t="n">
        <f aca="false">ROW()-1</f>
        <v>398</v>
      </c>
      <c r="B399" s="0" t="str">
        <f aca="true">IF(RAND()&lt;Assumptions!$B$11,"Bull","Bear")</f>
        <v>Bear</v>
      </c>
      <c r="C399" s="0" t="str">
        <f aca="true">IF(B399="Bull",IF(RAND()&lt;Assumptions!$B$7,"Bull","Bear"),IF(RAND()&lt;Assumptions!$B$10,"Bear","Bull"))</f>
        <v>Bear</v>
      </c>
      <c r="D399" s="0" t="str">
        <f aca="true">IF(C399="Bull",IF(RAND()&lt;Assumptions!$B$7,"Bull","Bear"),IF(RAND()&lt;Assumptions!$B$10,"Bear","Bull"))</f>
        <v>Bull</v>
      </c>
      <c r="E399" s="0" t="str">
        <f aca="true">IF(D399="Bull",IF(RAND()&lt;Assumptions!$B$7,"Bull","Bear"),IF(RAND()&lt;Assumptions!$B$10,"Bear","Bull"))</f>
        <v>Bear</v>
      </c>
      <c r="F399" s="0" t="str">
        <f aca="true">IF(E399="Bull",IF(RAND()&lt;Assumptions!$B$7,"Bull","Bear"),IF(RAND()&lt;Assumptions!$B$10,"Bear","Bull"))</f>
        <v>Bear</v>
      </c>
      <c r="G399" s="0" t="str">
        <f aca="true">IF(F399="Bull",IF(RAND()&lt;Assumptions!$B$7,"Bull","Bear"),IF(RAND()&lt;Assumptions!$B$10,"Bear","Bull"))</f>
        <v>Bear</v>
      </c>
      <c r="H399" s="8" t="n">
        <f aca="true">IF(B399="Bull",NORMINV(RAND(),Assumptions!$B$5,Assumptions!$B$6),NORMINV(RAND(),Assumptions!$B$8,Assumptions!$B$9))</f>
        <v>0.201188558803448</v>
      </c>
      <c r="I399" s="8" t="n">
        <f aca="true">IF(C399="Bull",NORMINV(RAND(),Assumptions!$B$5,Assumptions!$B$6),NORMINV(RAND(),Assumptions!$B$8,Assumptions!$B$9))</f>
        <v>0.102930635878071</v>
      </c>
      <c r="J399" s="8" t="n">
        <f aca="true">IF(D399="Bull",NORMINV(RAND(),Assumptions!$B$5,Assumptions!$B$6),NORMINV(RAND(),Assumptions!$B$8,Assumptions!$B$9))</f>
        <v>0.156015786908353</v>
      </c>
      <c r="K399" s="8" t="n">
        <f aca="true">IF(E399="Bull",NORMINV(RAND(),Assumptions!$B$5,Assumptions!$B$6),NORMINV(RAND(),Assumptions!$B$8,Assumptions!$B$9))</f>
        <v>-0.45829343544318</v>
      </c>
      <c r="L399" s="8" t="n">
        <f aca="true">IF(F399="Bull",NORMINV(RAND(),Assumptions!$B$5,Assumptions!$B$6),NORMINV(RAND(),Assumptions!$B$8,Assumptions!$B$9))</f>
        <v>-0.142981822550412</v>
      </c>
      <c r="M399" s="8" t="n">
        <f aca="true">IF(G399="Bull",NORMINV(RAND(),Assumptions!$B$5,Assumptions!$B$6),NORMINV(RAND(),Assumptions!$B$8,Assumptions!$B$9))</f>
        <v>-0.210788598372046</v>
      </c>
      <c r="N399" s="8" t="n">
        <f aca="true">NORMINV(RAND(),Assumptions!$B$14,Assumptions!$B$15)</f>
        <v>0.035891740141329</v>
      </c>
      <c r="O399" s="8" t="n">
        <f aca="true">NORMINV(RAND(),Assumptions!$B$14,Assumptions!$B$15)</f>
        <v>0.0645945846356444</v>
      </c>
      <c r="P399" s="8" t="n">
        <f aca="true">NORMINV(RAND(),Assumptions!$B$14,Assumptions!$B$15)</f>
        <v>0.0407502807545455</v>
      </c>
      <c r="Q399" s="8" t="n">
        <f aca="true">NORMINV(RAND(),Assumptions!$B$14,Assumptions!$B$15)</f>
        <v>0.0473201888992252</v>
      </c>
      <c r="R399" s="8" t="n">
        <f aca="true">NORMINV(RAND(),Assumptions!$B$14,Assumptions!$B$15)</f>
        <v>0.0111769386332962</v>
      </c>
      <c r="S399" s="8" t="n">
        <f aca="true">NORMINV(RAND(),Assumptions!$B$14,Assumptions!$B$15)</f>
        <v>0.000704239978772316</v>
      </c>
      <c r="T399" s="8" t="n">
        <f aca="false">Assumptions!$B$19*H399+(1-Assumptions!$B$19)*N399</f>
        <v>0.201188558803448</v>
      </c>
      <c r="U399" s="8" t="n">
        <f aca="false">Assumptions!$B$20*I399+(1-Assumptions!$B$20)*O399</f>
        <v>0.102930635878071</v>
      </c>
      <c r="V399" s="8" t="n">
        <f aca="false">Assumptions!$B$21*J399+(1-Assumptions!$B$21)*P399</f>
        <v>0.156015786908353</v>
      </c>
      <c r="W399" s="8" t="n">
        <f aca="false">Assumptions!$B$22*K399+(1-Assumptions!$B$22)*Q399</f>
        <v>-0.45829343544318</v>
      </c>
      <c r="X399" s="8" t="n">
        <f aca="false">Assumptions!$B$23*L399+(1-Assumptions!$B$23)*R399</f>
        <v>-0.11215007031367</v>
      </c>
      <c r="Y399" s="8" t="n">
        <f aca="false">Assumptions!$B$24*M399+(1-Assumptions!$B$24)*S399</f>
        <v>-0.126191463031719</v>
      </c>
      <c r="Z399" s="6" t="n">
        <f aca="false">Assumptions!$B$27*(1+T399)</f>
        <v>360356.567641034</v>
      </c>
      <c r="AA399" s="6" t="n">
        <f aca="false">(Z399+Assumptions!$B$28)*(1+U399)</f>
        <v>562887.893672876</v>
      </c>
      <c r="AB399" s="6" t="n">
        <f aca="false">AA399*(1+V399)</f>
        <v>650707.291345435</v>
      </c>
      <c r="AC399" s="6" t="n">
        <f aca="false">AB399*(1+W399)</f>
        <v>352492.411326809</v>
      </c>
      <c r="AD399" s="6" t="n">
        <f aca="false">AC399*(1+X399)</f>
        <v>312960.362611473</v>
      </c>
      <c r="AE399" s="6" t="n">
        <f aca="false">AD399*(1+Y399)</f>
        <v>273467.436582594</v>
      </c>
      <c r="AF399" s="6" t="n">
        <f aca="false">Z399</f>
        <v>360356.567641034</v>
      </c>
      <c r="AG399" s="6" t="n">
        <f aca="false">MAX(AF399,AA399)</f>
        <v>562887.893672876</v>
      </c>
      <c r="AH399" s="6" t="n">
        <f aca="false">MAX(AG399,AB399)</f>
        <v>650707.291345435</v>
      </c>
      <c r="AI399" s="6" t="n">
        <f aca="false">MAX(AH399,AC399)</f>
        <v>650707.291345435</v>
      </c>
      <c r="AJ399" s="6" t="n">
        <f aca="false">MAX(AI399,AD399)</f>
        <v>650707.291345435</v>
      </c>
      <c r="AK399" s="6" t="n">
        <f aca="false">MAX(AJ399,AE399)</f>
        <v>650707.291345435</v>
      </c>
      <c r="AL399" s="8" t="n">
        <f aca="false">MIN(Z399/AF399-1,AA399/AG399-1,AB399/AH399-1,AC399/AI399-1,AD399/AJ399-1,AE399/AK399-1)</f>
        <v>-0.579738170726259</v>
      </c>
      <c r="AM399" s="6" t="n">
        <f aca="false">AE399-Assumptions!$B$35</f>
        <v>-167796.56007991</v>
      </c>
    </row>
    <row r="400" customFormat="false" ht="15" hidden="false" customHeight="false" outlineLevel="0" collapsed="false">
      <c r="A400" s="0" t="n">
        <f aca="false">ROW()-1</f>
        <v>399</v>
      </c>
      <c r="B400" s="0" t="str">
        <f aca="true">IF(RAND()&lt;Assumptions!$B$11,"Bull","Bear")</f>
        <v>Bull</v>
      </c>
      <c r="C400" s="0" t="str">
        <f aca="true">IF(B400="Bull",IF(RAND()&lt;Assumptions!$B$7,"Bull","Bear"),IF(RAND()&lt;Assumptions!$B$10,"Bear","Bull"))</f>
        <v>Bull</v>
      </c>
      <c r="D400" s="0" t="str">
        <f aca="true">IF(C400="Bull",IF(RAND()&lt;Assumptions!$B$7,"Bull","Bear"),IF(RAND()&lt;Assumptions!$B$10,"Bear","Bull"))</f>
        <v>Bull</v>
      </c>
      <c r="E400" s="0" t="str">
        <f aca="true">IF(D400="Bull",IF(RAND()&lt;Assumptions!$B$7,"Bull","Bear"),IF(RAND()&lt;Assumptions!$B$10,"Bear","Bull"))</f>
        <v>Bull</v>
      </c>
      <c r="F400" s="0" t="str">
        <f aca="true">IF(E400="Bull",IF(RAND()&lt;Assumptions!$B$7,"Bull","Bear"),IF(RAND()&lt;Assumptions!$B$10,"Bear","Bull"))</f>
        <v>Bull</v>
      </c>
      <c r="G400" s="0" t="str">
        <f aca="true">IF(F400="Bull",IF(RAND()&lt;Assumptions!$B$7,"Bull","Bear"),IF(RAND()&lt;Assumptions!$B$10,"Bear","Bull"))</f>
        <v>Bull</v>
      </c>
      <c r="H400" s="8" t="n">
        <f aca="true">IF(B400="Bull",NORMINV(RAND(),Assumptions!$B$5,Assumptions!$B$6),NORMINV(RAND(),Assumptions!$B$8,Assumptions!$B$9))</f>
        <v>0.101524738162395</v>
      </c>
      <c r="I400" s="8" t="n">
        <f aca="true">IF(C400="Bull",NORMINV(RAND(),Assumptions!$B$5,Assumptions!$B$6),NORMINV(RAND(),Assumptions!$B$8,Assumptions!$B$9))</f>
        <v>0.0605386668658084</v>
      </c>
      <c r="J400" s="8" t="n">
        <f aca="true">IF(D400="Bull",NORMINV(RAND(),Assumptions!$B$5,Assumptions!$B$6),NORMINV(RAND(),Assumptions!$B$8,Assumptions!$B$9))</f>
        <v>0.18165788301952</v>
      </c>
      <c r="K400" s="8" t="n">
        <f aca="true">IF(E400="Bull",NORMINV(RAND(),Assumptions!$B$5,Assumptions!$B$6),NORMINV(RAND(),Assumptions!$B$8,Assumptions!$B$9))</f>
        <v>-0.0351071616965963</v>
      </c>
      <c r="L400" s="8" t="n">
        <f aca="true">IF(F400="Bull",NORMINV(RAND(),Assumptions!$B$5,Assumptions!$B$6),NORMINV(RAND(),Assumptions!$B$8,Assumptions!$B$9))</f>
        <v>0.0742953981882838</v>
      </c>
      <c r="M400" s="8" t="n">
        <f aca="true">IF(G400="Bull",NORMINV(RAND(),Assumptions!$B$5,Assumptions!$B$6),NORMINV(RAND(),Assumptions!$B$8,Assumptions!$B$9))</f>
        <v>0.0963892684807438</v>
      </c>
      <c r="N400" s="8" t="n">
        <f aca="true">NORMINV(RAND(),Assumptions!$B$14,Assumptions!$B$15)</f>
        <v>0.0142708977293756</v>
      </c>
      <c r="O400" s="8" t="n">
        <f aca="true">NORMINV(RAND(),Assumptions!$B$14,Assumptions!$B$15)</f>
        <v>0.108036321862905</v>
      </c>
      <c r="P400" s="8" t="n">
        <f aca="true">NORMINV(RAND(),Assumptions!$B$14,Assumptions!$B$15)</f>
        <v>0.101488831274728</v>
      </c>
      <c r="Q400" s="8" t="n">
        <f aca="true">NORMINV(RAND(),Assumptions!$B$14,Assumptions!$B$15)</f>
        <v>0.0518809539461967</v>
      </c>
      <c r="R400" s="8" t="n">
        <f aca="true">NORMINV(RAND(),Assumptions!$B$14,Assumptions!$B$15)</f>
        <v>0.0413848589000805</v>
      </c>
      <c r="S400" s="8" t="n">
        <f aca="true">NORMINV(RAND(),Assumptions!$B$14,Assumptions!$B$15)</f>
        <v>0.00665275454667716</v>
      </c>
      <c r="T400" s="8" t="n">
        <f aca="false">Assumptions!$B$19*H400+(1-Assumptions!$B$19)*N400</f>
        <v>0.101524738162395</v>
      </c>
      <c r="U400" s="8" t="n">
        <f aca="false">Assumptions!$B$20*I400+(1-Assumptions!$B$20)*O400</f>
        <v>0.0605386668658084</v>
      </c>
      <c r="V400" s="8" t="n">
        <f aca="false">Assumptions!$B$21*J400+(1-Assumptions!$B$21)*P400</f>
        <v>0.18165788301952</v>
      </c>
      <c r="W400" s="8" t="n">
        <f aca="false">Assumptions!$B$22*K400+(1-Assumptions!$B$22)*Q400</f>
        <v>-0.0351071616965963</v>
      </c>
      <c r="X400" s="8" t="n">
        <f aca="false">Assumptions!$B$23*L400+(1-Assumptions!$B$23)*R400</f>
        <v>0.0677132903306432</v>
      </c>
      <c r="Y400" s="8" t="n">
        <f aca="false">Assumptions!$B$24*M400+(1-Assumptions!$B$24)*S400</f>
        <v>0.0604946629071172</v>
      </c>
      <c r="Z400" s="6" t="n">
        <f aca="false">Assumptions!$B$27*(1+T400)</f>
        <v>330457.421448718</v>
      </c>
      <c r="AA400" s="6" t="n">
        <f aca="false">(Z400+Assumptions!$B$28)*(1+U400)</f>
        <v>509543.673229008</v>
      </c>
      <c r="AB400" s="6" t="n">
        <f aca="false">AA400*(1+V400)</f>
        <v>602106.29821378</v>
      </c>
      <c r="AC400" s="6" t="n">
        <f aca="false">AB400*(1+W400)</f>
        <v>580968.055043849</v>
      </c>
      <c r="AD400" s="6" t="n">
        <f aca="false">AC400*(1+X400)</f>
        <v>620307.313627863</v>
      </c>
      <c r="AE400" s="6" t="n">
        <f aca="false">AD400*(1+Y400)</f>
        <v>657832.5954646</v>
      </c>
      <c r="AF400" s="6" t="n">
        <f aca="false">Z400</f>
        <v>330457.421448718</v>
      </c>
      <c r="AG400" s="6" t="n">
        <f aca="false">MAX(AF400,AA400)</f>
        <v>509543.673229008</v>
      </c>
      <c r="AH400" s="6" t="n">
        <f aca="false">MAX(AG400,AB400)</f>
        <v>602106.29821378</v>
      </c>
      <c r="AI400" s="6" t="n">
        <f aca="false">MAX(AH400,AC400)</f>
        <v>602106.29821378</v>
      </c>
      <c r="AJ400" s="6" t="n">
        <f aca="false">MAX(AI400,AD400)</f>
        <v>620307.313627863</v>
      </c>
      <c r="AK400" s="6" t="n">
        <f aca="false">MAX(AJ400,AE400)</f>
        <v>657832.5954646</v>
      </c>
      <c r="AL400" s="8" t="n">
        <f aca="false">MIN(Z400/AF400-1,AA400/AG400-1,AB400/AH400-1,AC400/AI400-1,AD400/AJ400-1,AE400/AK400-1)</f>
        <v>-0.0351071616965963</v>
      </c>
      <c r="AM400" s="6" t="n">
        <f aca="false">AE400-Assumptions!$B$35</f>
        <v>216568.598802096</v>
      </c>
    </row>
    <row r="401" customFormat="false" ht="15" hidden="false" customHeight="false" outlineLevel="0" collapsed="false">
      <c r="A401" s="0" t="n">
        <f aca="false">ROW()-1</f>
        <v>400</v>
      </c>
      <c r="B401" s="0" t="str">
        <f aca="true">IF(RAND()&lt;Assumptions!$B$11,"Bull","Bear")</f>
        <v>Bull</v>
      </c>
      <c r="C401" s="0" t="str">
        <f aca="true">IF(B401="Bull",IF(RAND()&lt;Assumptions!$B$7,"Bull","Bear"),IF(RAND()&lt;Assumptions!$B$10,"Bear","Bull"))</f>
        <v>Bull</v>
      </c>
      <c r="D401" s="0" t="str">
        <f aca="true">IF(C401="Bull",IF(RAND()&lt;Assumptions!$B$7,"Bull","Bear"),IF(RAND()&lt;Assumptions!$B$10,"Bear","Bull"))</f>
        <v>Bull</v>
      </c>
      <c r="E401" s="0" t="str">
        <f aca="true">IF(D401="Bull",IF(RAND()&lt;Assumptions!$B$7,"Bull","Bear"),IF(RAND()&lt;Assumptions!$B$10,"Bear","Bull"))</f>
        <v>Bull</v>
      </c>
      <c r="F401" s="0" t="str">
        <f aca="true">IF(E401="Bull",IF(RAND()&lt;Assumptions!$B$7,"Bull","Bear"),IF(RAND()&lt;Assumptions!$B$10,"Bear","Bull"))</f>
        <v>Bull</v>
      </c>
      <c r="G401" s="0" t="str">
        <f aca="true">IF(F401="Bull",IF(RAND()&lt;Assumptions!$B$7,"Bull","Bear"),IF(RAND()&lt;Assumptions!$B$10,"Bear","Bull"))</f>
        <v>Bull</v>
      </c>
      <c r="H401" s="8" t="n">
        <f aca="true">IF(B401="Bull",NORMINV(RAND(),Assumptions!$B$5,Assumptions!$B$6),NORMINV(RAND(),Assumptions!$B$8,Assumptions!$B$9))</f>
        <v>0.320853267786038</v>
      </c>
      <c r="I401" s="8" t="n">
        <f aca="true">IF(C401="Bull",NORMINV(RAND(),Assumptions!$B$5,Assumptions!$B$6),NORMINV(RAND(),Assumptions!$B$8,Assumptions!$B$9))</f>
        <v>0.293827206915095</v>
      </c>
      <c r="J401" s="8" t="n">
        <f aca="true">IF(D401="Bull",NORMINV(RAND(),Assumptions!$B$5,Assumptions!$B$6),NORMINV(RAND(),Assumptions!$B$8,Assumptions!$B$9))</f>
        <v>0.343487668685682</v>
      </c>
      <c r="K401" s="8" t="n">
        <f aca="true">IF(E401="Bull",NORMINV(RAND(),Assumptions!$B$5,Assumptions!$B$6),NORMINV(RAND(),Assumptions!$B$8,Assumptions!$B$9))</f>
        <v>0.166718599922924</v>
      </c>
      <c r="L401" s="8" t="n">
        <f aca="true">IF(F401="Bull",NORMINV(RAND(),Assumptions!$B$5,Assumptions!$B$6),NORMINV(RAND(),Assumptions!$B$8,Assumptions!$B$9))</f>
        <v>0.00951415506834766</v>
      </c>
      <c r="M401" s="8" t="n">
        <f aca="true">IF(G401="Bull",NORMINV(RAND(),Assumptions!$B$5,Assumptions!$B$6),NORMINV(RAND(),Assumptions!$B$8,Assumptions!$B$9))</f>
        <v>0.140450975938057</v>
      </c>
      <c r="N401" s="8" t="n">
        <f aca="true">NORMINV(RAND(),Assumptions!$B$14,Assumptions!$B$15)</f>
        <v>0.0470582507101508</v>
      </c>
      <c r="O401" s="8" t="n">
        <f aca="true">NORMINV(RAND(),Assumptions!$B$14,Assumptions!$B$15)</f>
        <v>0.0113622553533317</v>
      </c>
      <c r="P401" s="8" t="n">
        <f aca="true">NORMINV(RAND(),Assumptions!$B$14,Assumptions!$B$15)</f>
        <v>0.0887595418370156</v>
      </c>
      <c r="Q401" s="8" t="n">
        <f aca="true">NORMINV(RAND(),Assumptions!$B$14,Assumptions!$B$15)</f>
        <v>0.0516010560958928</v>
      </c>
      <c r="R401" s="8" t="n">
        <f aca="true">NORMINV(RAND(),Assumptions!$B$14,Assumptions!$B$15)</f>
        <v>0.000920816367806783</v>
      </c>
      <c r="S401" s="8" t="n">
        <f aca="true">NORMINV(RAND(),Assumptions!$B$14,Assumptions!$B$15)</f>
        <v>0.0466558457866016</v>
      </c>
      <c r="T401" s="8" t="n">
        <f aca="false">Assumptions!$B$19*H401+(1-Assumptions!$B$19)*N401</f>
        <v>0.320853267786038</v>
      </c>
      <c r="U401" s="8" t="n">
        <f aca="false">Assumptions!$B$20*I401+(1-Assumptions!$B$20)*O401</f>
        <v>0.293827206915095</v>
      </c>
      <c r="V401" s="8" t="n">
        <f aca="false">Assumptions!$B$21*J401+(1-Assumptions!$B$21)*P401</f>
        <v>0.343487668685682</v>
      </c>
      <c r="W401" s="8" t="n">
        <f aca="false">Assumptions!$B$22*K401+(1-Assumptions!$B$22)*Q401</f>
        <v>0.166718599922924</v>
      </c>
      <c r="X401" s="8" t="n">
        <f aca="false">Assumptions!$B$23*L401+(1-Assumptions!$B$23)*R401</f>
        <v>0.00779548732823948</v>
      </c>
      <c r="Y401" s="8" t="n">
        <f aca="false">Assumptions!$B$24*M401+(1-Assumptions!$B$24)*S401</f>
        <v>0.102932923877475</v>
      </c>
      <c r="Z401" s="6" t="n">
        <f aca="false">Assumptions!$B$27*(1+T401)</f>
        <v>396255.980335811</v>
      </c>
      <c r="AA401" s="6" t="n">
        <f aca="false">(Z401+Assumptions!$B$28)*(1+U401)</f>
        <v>706760.84929855</v>
      </c>
      <c r="AB401" s="6" t="n">
        <f aca="false">AA401*(1+V401)</f>
        <v>949524.485742421</v>
      </c>
      <c r="AC401" s="6" t="n">
        <f aca="false">AB401*(1+W401)</f>
        <v>1107827.87859793</v>
      </c>
      <c r="AD401" s="6" t="n">
        <f aca="false">AC401*(1+X401)</f>
        <v>1116463.93678741</v>
      </c>
      <c r="AE401" s="6" t="n">
        <f aca="false">AD401*(1+Y401)</f>
        <v>1231384.8342047</v>
      </c>
      <c r="AF401" s="6" t="n">
        <f aca="false">Z401</f>
        <v>396255.980335811</v>
      </c>
      <c r="AG401" s="6" t="n">
        <f aca="false">MAX(AF401,AA401)</f>
        <v>706760.84929855</v>
      </c>
      <c r="AH401" s="6" t="n">
        <f aca="false">MAX(AG401,AB401)</f>
        <v>949524.485742421</v>
      </c>
      <c r="AI401" s="6" t="n">
        <f aca="false">MAX(AH401,AC401)</f>
        <v>1107827.87859793</v>
      </c>
      <c r="AJ401" s="6" t="n">
        <f aca="false">MAX(AI401,AD401)</f>
        <v>1116463.93678741</v>
      </c>
      <c r="AK401" s="6" t="n">
        <f aca="false">MAX(AJ401,AE401)</f>
        <v>1231384.8342047</v>
      </c>
      <c r="AL401" s="8" t="n">
        <f aca="false">MIN(Z401/AF401-1,AA401/AG401-1,AB401/AH401-1,AC401/AI401-1,AD401/AJ401-1,AE401/AK401-1)</f>
        <v>0</v>
      </c>
      <c r="AM401" s="6" t="n">
        <f aca="false">AE401-Assumptions!$B$35</f>
        <v>790120.837542194</v>
      </c>
    </row>
    <row r="402" customFormat="false" ht="15" hidden="false" customHeight="false" outlineLevel="0" collapsed="false">
      <c r="A402" s="0" t="n">
        <f aca="false">ROW()-1</f>
        <v>401</v>
      </c>
      <c r="B402" s="0" t="str">
        <f aca="true">IF(RAND()&lt;Assumptions!$B$11,"Bull","Bear")</f>
        <v>Bear</v>
      </c>
      <c r="C402" s="0" t="str">
        <f aca="true">IF(B402="Bull",IF(RAND()&lt;Assumptions!$B$7,"Bull","Bear"),IF(RAND()&lt;Assumptions!$B$10,"Bear","Bull"))</f>
        <v>Bull</v>
      </c>
      <c r="D402" s="0" t="str">
        <f aca="true">IF(C402="Bull",IF(RAND()&lt;Assumptions!$B$7,"Bull","Bear"),IF(RAND()&lt;Assumptions!$B$10,"Bear","Bull"))</f>
        <v>Bull</v>
      </c>
      <c r="E402" s="0" t="str">
        <f aca="true">IF(D402="Bull",IF(RAND()&lt;Assumptions!$B$7,"Bull","Bear"),IF(RAND()&lt;Assumptions!$B$10,"Bear","Bull"))</f>
        <v>Bull</v>
      </c>
      <c r="F402" s="0" t="str">
        <f aca="true">IF(E402="Bull",IF(RAND()&lt;Assumptions!$B$7,"Bull","Bear"),IF(RAND()&lt;Assumptions!$B$10,"Bear","Bull"))</f>
        <v>Bull</v>
      </c>
      <c r="G402" s="0" t="str">
        <f aca="true">IF(F402="Bull",IF(RAND()&lt;Assumptions!$B$7,"Bull","Bear"),IF(RAND()&lt;Assumptions!$B$10,"Bear","Bull"))</f>
        <v>Bull</v>
      </c>
      <c r="H402" s="8" t="n">
        <f aca="true">IF(B402="Bull",NORMINV(RAND(),Assumptions!$B$5,Assumptions!$B$6),NORMINV(RAND(),Assumptions!$B$8,Assumptions!$B$9))</f>
        <v>-0.143652485904008</v>
      </c>
      <c r="I402" s="8" t="n">
        <f aca="true">IF(C402="Bull",NORMINV(RAND(),Assumptions!$B$5,Assumptions!$B$6),NORMINV(RAND(),Assumptions!$B$8,Assumptions!$B$9))</f>
        <v>0.0990213946704502</v>
      </c>
      <c r="J402" s="8" t="n">
        <f aca="true">IF(D402="Bull",NORMINV(RAND(),Assumptions!$B$5,Assumptions!$B$6),NORMINV(RAND(),Assumptions!$B$8,Assumptions!$B$9))</f>
        <v>0.210544641415344</v>
      </c>
      <c r="K402" s="8" t="n">
        <f aca="true">IF(E402="Bull",NORMINV(RAND(),Assumptions!$B$5,Assumptions!$B$6),NORMINV(RAND(),Assumptions!$B$8,Assumptions!$B$9))</f>
        <v>0.222862224900371</v>
      </c>
      <c r="L402" s="8" t="n">
        <f aca="true">IF(F402="Bull",NORMINV(RAND(),Assumptions!$B$5,Assumptions!$B$6),NORMINV(RAND(),Assumptions!$B$8,Assumptions!$B$9))</f>
        <v>0.269843629965315</v>
      </c>
      <c r="M402" s="8" t="n">
        <f aca="true">IF(G402="Bull",NORMINV(RAND(),Assumptions!$B$5,Assumptions!$B$6),NORMINV(RAND(),Assumptions!$B$8,Assumptions!$B$9))</f>
        <v>0.38470021690258</v>
      </c>
      <c r="N402" s="8" t="n">
        <f aca="true">NORMINV(RAND(),Assumptions!$B$14,Assumptions!$B$15)</f>
        <v>-0.00504304958160684</v>
      </c>
      <c r="O402" s="8" t="n">
        <f aca="true">NORMINV(RAND(),Assumptions!$B$14,Assumptions!$B$15)</f>
        <v>0.0274219693918214</v>
      </c>
      <c r="P402" s="8" t="n">
        <f aca="true">NORMINV(RAND(),Assumptions!$B$14,Assumptions!$B$15)</f>
        <v>0.0678019675581982</v>
      </c>
      <c r="Q402" s="8" t="n">
        <f aca="true">NORMINV(RAND(),Assumptions!$B$14,Assumptions!$B$15)</f>
        <v>0.0221252147705005</v>
      </c>
      <c r="R402" s="8" t="n">
        <f aca="true">NORMINV(RAND(),Assumptions!$B$14,Assumptions!$B$15)</f>
        <v>0.033065872578038</v>
      </c>
      <c r="S402" s="8" t="n">
        <f aca="true">NORMINV(RAND(),Assumptions!$B$14,Assumptions!$B$15)</f>
        <v>0.0794941831413343</v>
      </c>
      <c r="T402" s="8" t="n">
        <f aca="false">Assumptions!$B$19*H402+(1-Assumptions!$B$19)*N402</f>
        <v>-0.143652485904008</v>
      </c>
      <c r="U402" s="8" t="n">
        <f aca="false">Assumptions!$B$20*I402+(1-Assumptions!$B$20)*O402</f>
        <v>0.0990213946704502</v>
      </c>
      <c r="V402" s="8" t="n">
        <f aca="false">Assumptions!$B$21*J402+(1-Assumptions!$B$21)*P402</f>
        <v>0.210544641415344</v>
      </c>
      <c r="W402" s="8" t="n">
        <f aca="false">Assumptions!$B$22*K402+(1-Assumptions!$B$22)*Q402</f>
        <v>0.222862224900371</v>
      </c>
      <c r="X402" s="8" t="n">
        <f aca="false">Assumptions!$B$23*L402+(1-Assumptions!$B$23)*R402</f>
        <v>0.22248807848786</v>
      </c>
      <c r="Y402" s="8" t="n">
        <f aca="false">Assumptions!$B$24*M402+(1-Assumptions!$B$24)*S402</f>
        <v>0.262617803398082</v>
      </c>
      <c r="Z402" s="6" t="n">
        <f aca="false">Assumptions!$B$27*(1+T402)</f>
        <v>256904.254228798</v>
      </c>
      <c r="AA402" s="6" t="n">
        <f aca="false">(Z402+Assumptions!$B$28)*(1+U402)</f>
        <v>447196.480979873</v>
      </c>
      <c r="AB402" s="6" t="n">
        <f aca="false">AA402*(1+V402)</f>
        <v>541351.303709984</v>
      </c>
      <c r="AC402" s="6" t="n">
        <f aca="false">AB402*(1+W402)</f>
        <v>661998.059707507</v>
      </c>
      <c r="AD402" s="6" t="n">
        <f aca="false">AC402*(1+X402)</f>
        <v>809284.735974521</v>
      </c>
      <c r="AE402" s="6" t="n">
        <f aca="false">AD402*(1+Y402)</f>
        <v>1021817.31565975</v>
      </c>
      <c r="AF402" s="6" t="n">
        <f aca="false">Z402</f>
        <v>256904.254228798</v>
      </c>
      <c r="AG402" s="6" t="n">
        <f aca="false">MAX(AF402,AA402)</f>
        <v>447196.480979873</v>
      </c>
      <c r="AH402" s="6" t="n">
        <f aca="false">MAX(AG402,AB402)</f>
        <v>541351.303709984</v>
      </c>
      <c r="AI402" s="6" t="n">
        <f aca="false">MAX(AH402,AC402)</f>
        <v>661998.059707507</v>
      </c>
      <c r="AJ402" s="6" t="n">
        <f aca="false">MAX(AI402,AD402)</f>
        <v>809284.735974521</v>
      </c>
      <c r="AK402" s="6" t="n">
        <f aca="false">MAX(AJ402,AE402)</f>
        <v>1021817.31565975</v>
      </c>
      <c r="AL402" s="8" t="n">
        <f aca="false">MIN(Z402/AF402-1,AA402/AG402-1,AB402/AH402-1,AC402/AI402-1,AD402/AJ402-1,AE402/AK402-1)</f>
        <v>0</v>
      </c>
      <c r="AM402" s="6" t="n">
        <f aca="false">AE402-Assumptions!$B$35</f>
        <v>580553.318997243</v>
      </c>
    </row>
    <row r="403" customFormat="false" ht="15" hidden="false" customHeight="false" outlineLevel="0" collapsed="false">
      <c r="A403" s="0" t="n">
        <f aca="false">ROW()-1</f>
        <v>402</v>
      </c>
      <c r="B403" s="0" t="str">
        <f aca="true">IF(RAND()&lt;Assumptions!$B$11,"Bull","Bear")</f>
        <v>Bull</v>
      </c>
      <c r="C403" s="0" t="str">
        <f aca="true">IF(B403="Bull",IF(RAND()&lt;Assumptions!$B$7,"Bull","Bear"),IF(RAND()&lt;Assumptions!$B$10,"Bear","Bull"))</f>
        <v>Bear</v>
      </c>
      <c r="D403" s="0" t="str">
        <f aca="true">IF(C403="Bull",IF(RAND()&lt;Assumptions!$B$7,"Bull","Bear"),IF(RAND()&lt;Assumptions!$B$10,"Bear","Bull"))</f>
        <v>Bear</v>
      </c>
      <c r="E403" s="0" t="str">
        <f aca="true">IF(D403="Bull",IF(RAND()&lt;Assumptions!$B$7,"Bull","Bear"),IF(RAND()&lt;Assumptions!$B$10,"Bear","Bull"))</f>
        <v>Bull</v>
      </c>
      <c r="F403" s="0" t="str">
        <f aca="true">IF(E403="Bull",IF(RAND()&lt;Assumptions!$B$7,"Bull","Bear"),IF(RAND()&lt;Assumptions!$B$10,"Bear","Bull"))</f>
        <v>Bull</v>
      </c>
      <c r="G403" s="0" t="str">
        <f aca="true">IF(F403="Bull",IF(RAND()&lt;Assumptions!$B$7,"Bull","Bear"),IF(RAND()&lt;Assumptions!$B$10,"Bear","Bull"))</f>
        <v>Bull</v>
      </c>
      <c r="H403" s="8" t="n">
        <f aca="true">IF(B403="Bull",NORMINV(RAND(),Assumptions!$B$5,Assumptions!$B$6),NORMINV(RAND(),Assumptions!$B$8,Assumptions!$B$9))</f>
        <v>0.246080449592833</v>
      </c>
      <c r="I403" s="8" t="n">
        <f aca="true">IF(C403="Bull",NORMINV(RAND(),Assumptions!$B$5,Assumptions!$B$6),NORMINV(RAND(),Assumptions!$B$8,Assumptions!$B$9))</f>
        <v>-0.00877900664981772</v>
      </c>
      <c r="J403" s="8" t="n">
        <f aca="true">IF(D403="Bull",NORMINV(RAND(),Assumptions!$B$5,Assumptions!$B$6),NORMINV(RAND(),Assumptions!$B$8,Assumptions!$B$9))</f>
        <v>0.00626292467335204</v>
      </c>
      <c r="K403" s="8" t="n">
        <f aca="true">IF(E403="Bull",NORMINV(RAND(),Assumptions!$B$5,Assumptions!$B$6),NORMINV(RAND(),Assumptions!$B$8,Assumptions!$B$9))</f>
        <v>0.115508307567822</v>
      </c>
      <c r="L403" s="8" t="n">
        <f aca="true">IF(F403="Bull",NORMINV(RAND(),Assumptions!$B$5,Assumptions!$B$6),NORMINV(RAND(),Assumptions!$B$8,Assumptions!$B$9))</f>
        <v>0.067995323817033</v>
      </c>
      <c r="M403" s="8" t="n">
        <f aca="true">IF(G403="Bull",NORMINV(RAND(),Assumptions!$B$5,Assumptions!$B$6),NORMINV(RAND(),Assumptions!$B$8,Assumptions!$B$9))</f>
        <v>0.285744932409586</v>
      </c>
      <c r="N403" s="8" t="n">
        <f aca="true">NORMINV(RAND(),Assumptions!$B$14,Assumptions!$B$15)</f>
        <v>0.0451657712654261</v>
      </c>
      <c r="O403" s="8" t="n">
        <f aca="true">NORMINV(RAND(),Assumptions!$B$14,Assumptions!$B$15)</f>
        <v>0.0967681904534886</v>
      </c>
      <c r="P403" s="8" t="n">
        <f aca="true">NORMINV(RAND(),Assumptions!$B$14,Assumptions!$B$15)</f>
        <v>0.0518804764169987</v>
      </c>
      <c r="Q403" s="8" t="n">
        <f aca="true">NORMINV(RAND(),Assumptions!$B$14,Assumptions!$B$15)</f>
        <v>0.082230528995665</v>
      </c>
      <c r="R403" s="8" t="n">
        <f aca="true">NORMINV(RAND(),Assumptions!$B$14,Assumptions!$B$15)</f>
        <v>0.0770947195714141</v>
      </c>
      <c r="S403" s="8" t="n">
        <f aca="true">NORMINV(RAND(),Assumptions!$B$14,Assumptions!$B$15)</f>
        <v>0.00822477015661789</v>
      </c>
      <c r="T403" s="8" t="n">
        <f aca="false">Assumptions!$B$19*H403+(1-Assumptions!$B$19)*N403</f>
        <v>0.246080449592833</v>
      </c>
      <c r="U403" s="8" t="n">
        <f aca="false">Assumptions!$B$20*I403+(1-Assumptions!$B$20)*O403</f>
        <v>-0.00877900664981772</v>
      </c>
      <c r="V403" s="8" t="n">
        <f aca="false">Assumptions!$B$21*J403+(1-Assumptions!$B$21)*P403</f>
        <v>0.00626292467335204</v>
      </c>
      <c r="W403" s="8" t="n">
        <f aca="false">Assumptions!$B$22*K403+(1-Assumptions!$B$22)*Q403</f>
        <v>0.115508307567822</v>
      </c>
      <c r="X403" s="8" t="n">
        <f aca="false">Assumptions!$B$23*L403+(1-Assumptions!$B$23)*R403</f>
        <v>0.0698152029679092</v>
      </c>
      <c r="Y403" s="8" t="n">
        <f aca="false">Assumptions!$B$24*M403+(1-Assumptions!$B$24)*S403</f>
        <v>0.174736867508399</v>
      </c>
      <c r="Z403" s="6" t="n">
        <f aca="false">Assumptions!$B$27*(1+T403)</f>
        <v>373824.13487785</v>
      </c>
      <c r="AA403" s="6" t="n">
        <f aca="false">(Z403+Assumptions!$B$28)*(1+U403)</f>
        <v>519225.479314422</v>
      </c>
      <c r="AB403" s="6" t="n">
        <f aca="false">AA403*(1+V403)</f>
        <v>522477.349379854</v>
      </c>
      <c r="AC403" s="6" t="n">
        <f aca="false">AB403*(1+W403)</f>
        <v>582827.823749242</v>
      </c>
      <c r="AD403" s="6" t="n">
        <f aca="false">AC403*(1+X403)</f>
        <v>623518.06655964</v>
      </c>
      <c r="AE403" s="6" t="n">
        <f aca="false">AD403*(1+Y403)</f>
        <v>732469.660345165</v>
      </c>
      <c r="AF403" s="6" t="n">
        <f aca="false">Z403</f>
        <v>373824.13487785</v>
      </c>
      <c r="AG403" s="6" t="n">
        <f aca="false">MAX(AF403,AA403)</f>
        <v>519225.479314422</v>
      </c>
      <c r="AH403" s="6" t="n">
        <f aca="false">MAX(AG403,AB403)</f>
        <v>522477.349379854</v>
      </c>
      <c r="AI403" s="6" t="n">
        <f aca="false">MAX(AH403,AC403)</f>
        <v>582827.823749242</v>
      </c>
      <c r="AJ403" s="6" t="n">
        <f aca="false">MAX(AI403,AD403)</f>
        <v>623518.06655964</v>
      </c>
      <c r="AK403" s="6" t="n">
        <f aca="false">MAX(AJ403,AE403)</f>
        <v>732469.660345165</v>
      </c>
      <c r="AL403" s="8" t="n">
        <f aca="false">MIN(Z403/AF403-1,AA403/AG403-1,AB403/AH403-1,AC403/AI403-1,AD403/AJ403-1,AE403/AK403-1)</f>
        <v>0</v>
      </c>
      <c r="AM403" s="6" t="n">
        <f aca="false">AE403-Assumptions!$B$35</f>
        <v>291205.663682661</v>
      </c>
    </row>
    <row r="404" customFormat="false" ht="15" hidden="false" customHeight="false" outlineLevel="0" collapsed="false">
      <c r="A404" s="0" t="n">
        <f aca="false">ROW()-1</f>
        <v>403</v>
      </c>
      <c r="B404" s="0" t="str">
        <f aca="true">IF(RAND()&lt;Assumptions!$B$11,"Bull","Bear")</f>
        <v>Bear</v>
      </c>
      <c r="C404" s="0" t="str">
        <f aca="true">IF(B404="Bull",IF(RAND()&lt;Assumptions!$B$7,"Bull","Bear"),IF(RAND()&lt;Assumptions!$B$10,"Bear","Bull"))</f>
        <v>Bear</v>
      </c>
      <c r="D404" s="0" t="str">
        <f aca="true">IF(C404="Bull",IF(RAND()&lt;Assumptions!$B$7,"Bull","Bear"),IF(RAND()&lt;Assumptions!$B$10,"Bear","Bull"))</f>
        <v>Bear</v>
      </c>
      <c r="E404" s="0" t="str">
        <f aca="true">IF(D404="Bull",IF(RAND()&lt;Assumptions!$B$7,"Bull","Bear"),IF(RAND()&lt;Assumptions!$B$10,"Bear","Bull"))</f>
        <v>Bull</v>
      </c>
      <c r="F404" s="0" t="str">
        <f aca="true">IF(E404="Bull",IF(RAND()&lt;Assumptions!$B$7,"Bull","Bear"),IF(RAND()&lt;Assumptions!$B$10,"Bear","Bull"))</f>
        <v>Bull</v>
      </c>
      <c r="G404" s="0" t="str">
        <f aca="true">IF(F404="Bull",IF(RAND()&lt;Assumptions!$B$7,"Bull","Bear"),IF(RAND()&lt;Assumptions!$B$10,"Bear","Bull"))</f>
        <v>Bull</v>
      </c>
      <c r="H404" s="8" t="n">
        <f aca="true">IF(B404="Bull",NORMINV(RAND(),Assumptions!$B$5,Assumptions!$B$6),NORMINV(RAND(),Assumptions!$B$8,Assumptions!$B$9))</f>
        <v>-0.214278495775516</v>
      </c>
      <c r="I404" s="8" t="n">
        <f aca="true">IF(C404="Bull",NORMINV(RAND(),Assumptions!$B$5,Assumptions!$B$6),NORMINV(RAND(),Assumptions!$B$8,Assumptions!$B$9))</f>
        <v>-0.24782888276634</v>
      </c>
      <c r="J404" s="8" t="n">
        <f aca="true">IF(D404="Bull",NORMINV(RAND(),Assumptions!$B$5,Assumptions!$B$6),NORMINV(RAND(),Assumptions!$B$8,Assumptions!$B$9))</f>
        <v>-0.249162194276669</v>
      </c>
      <c r="K404" s="8" t="n">
        <f aca="true">IF(E404="Bull",NORMINV(RAND(),Assumptions!$B$5,Assumptions!$B$6),NORMINV(RAND(),Assumptions!$B$8,Assumptions!$B$9))</f>
        <v>0.136691571973702</v>
      </c>
      <c r="L404" s="8" t="n">
        <f aca="true">IF(F404="Bull",NORMINV(RAND(),Assumptions!$B$5,Assumptions!$B$6),NORMINV(RAND(),Assumptions!$B$8,Assumptions!$B$9))</f>
        <v>0.212061050249487</v>
      </c>
      <c r="M404" s="8" t="n">
        <f aca="true">IF(G404="Bull",NORMINV(RAND(),Assumptions!$B$5,Assumptions!$B$6),NORMINV(RAND(),Assumptions!$B$8,Assumptions!$B$9))</f>
        <v>0.00292921727180862</v>
      </c>
      <c r="N404" s="8" t="n">
        <f aca="true">NORMINV(RAND(),Assumptions!$B$14,Assumptions!$B$15)</f>
        <v>0.0642318233228704</v>
      </c>
      <c r="O404" s="8" t="n">
        <f aca="true">NORMINV(RAND(),Assumptions!$B$14,Assumptions!$B$15)</f>
        <v>0.0380758042112543</v>
      </c>
      <c r="P404" s="8" t="n">
        <f aca="true">NORMINV(RAND(),Assumptions!$B$14,Assumptions!$B$15)</f>
        <v>0.0846710758298941</v>
      </c>
      <c r="Q404" s="8" t="n">
        <f aca="true">NORMINV(RAND(),Assumptions!$B$14,Assumptions!$B$15)</f>
        <v>0.093762954887751</v>
      </c>
      <c r="R404" s="8" t="n">
        <f aca="true">NORMINV(RAND(),Assumptions!$B$14,Assumptions!$B$15)</f>
        <v>0.0743107550229161</v>
      </c>
      <c r="S404" s="8" t="n">
        <f aca="true">NORMINV(RAND(),Assumptions!$B$14,Assumptions!$B$15)</f>
        <v>0.0365964564032341</v>
      </c>
      <c r="T404" s="8" t="n">
        <f aca="false">Assumptions!$B$19*H404+(1-Assumptions!$B$19)*N404</f>
        <v>-0.214278495775516</v>
      </c>
      <c r="U404" s="8" t="n">
        <f aca="false">Assumptions!$B$20*I404+(1-Assumptions!$B$20)*O404</f>
        <v>-0.24782888276634</v>
      </c>
      <c r="V404" s="8" t="n">
        <f aca="false">Assumptions!$B$21*J404+(1-Assumptions!$B$21)*P404</f>
        <v>-0.249162194276669</v>
      </c>
      <c r="W404" s="8" t="n">
        <f aca="false">Assumptions!$B$22*K404+(1-Assumptions!$B$22)*Q404</f>
        <v>0.136691571973702</v>
      </c>
      <c r="X404" s="8" t="n">
        <f aca="false">Assumptions!$B$23*L404+(1-Assumptions!$B$23)*R404</f>
        <v>0.184510991204173</v>
      </c>
      <c r="Y404" s="8" t="n">
        <f aca="false">Assumptions!$B$24*M404+(1-Assumptions!$B$24)*S404</f>
        <v>0.0163961129243788</v>
      </c>
      <c r="Z404" s="6" t="n">
        <f aca="false">Assumptions!$B$27*(1+T404)</f>
        <v>235716.451267345</v>
      </c>
      <c r="AA404" s="6" t="n">
        <f aca="false">(Z404+Assumptions!$B$28)*(1+U404)</f>
        <v>290124.774085162</v>
      </c>
      <c r="AB404" s="6" t="n">
        <f aca="false">AA404*(1+V404)</f>
        <v>217836.64876008</v>
      </c>
      <c r="AC404" s="6" t="n">
        <f aca="false">AB404*(1+W404)</f>
        <v>247613.082712579</v>
      </c>
      <c r="AD404" s="6" t="n">
        <f aca="false">AC404*(1+X404)</f>
        <v>293300.418038997</v>
      </c>
      <c r="AE404" s="6" t="n">
        <f aca="false">AD404*(1+Y404)</f>
        <v>298109.404813932</v>
      </c>
      <c r="AF404" s="6" t="n">
        <f aca="false">Z404</f>
        <v>235716.451267345</v>
      </c>
      <c r="AG404" s="6" t="n">
        <f aca="false">MAX(AF404,AA404)</f>
        <v>290124.774085162</v>
      </c>
      <c r="AH404" s="6" t="n">
        <f aca="false">MAX(AG404,AB404)</f>
        <v>290124.774085162</v>
      </c>
      <c r="AI404" s="6" t="n">
        <f aca="false">MAX(AH404,AC404)</f>
        <v>290124.774085162</v>
      </c>
      <c r="AJ404" s="6" t="n">
        <f aca="false">MAX(AI404,AD404)</f>
        <v>293300.418038997</v>
      </c>
      <c r="AK404" s="6" t="n">
        <f aca="false">MAX(AJ404,AE404)</f>
        <v>298109.404813932</v>
      </c>
      <c r="AL404" s="8" t="n">
        <f aca="false">MIN(Z404/AF404-1,AA404/AG404-1,AB404/AH404-1,AC404/AI404-1,AD404/AJ404-1,AE404/AK404-1)</f>
        <v>-0.249162194276669</v>
      </c>
      <c r="AM404" s="6" t="n">
        <f aca="false">AE404-Assumptions!$B$35</f>
        <v>-143154.591848571</v>
      </c>
    </row>
    <row r="405" customFormat="false" ht="15" hidden="false" customHeight="false" outlineLevel="0" collapsed="false">
      <c r="A405" s="0" t="n">
        <f aca="false">ROW()-1</f>
        <v>404</v>
      </c>
      <c r="B405" s="0" t="str">
        <f aca="true">IF(RAND()&lt;Assumptions!$B$11,"Bull","Bear")</f>
        <v>Bear</v>
      </c>
      <c r="C405" s="0" t="str">
        <f aca="true">IF(B405="Bull",IF(RAND()&lt;Assumptions!$B$7,"Bull","Bear"),IF(RAND()&lt;Assumptions!$B$10,"Bear","Bull"))</f>
        <v>Bull</v>
      </c>
      <c r="D405" s="0" t="str">
        <f aca="true">IF(C405="Bull",IF(RAND()&lt;Assumptions!$B$7,"Bull","Bear"),IF(RAND()&lt;Assumptions!$B$10,"Bear","Bull"))</f>
        <v>Bull</v>
      </c>
      <c r="E405" s="0" t="str">
        <f aca="true">IF(D405="Bull",IF(RAND()&lt;Assumptions!$B$7,"Bull","Bear"),IF(RAND()&lt;Assumptions!$B$10,"Bear","Bull"))</f>
        <v>Bull</v>
      </c>
      <c r="F405" s="0" t="str">
        <f aca="true">IF(E405="Bull",IF(RAND()&lt;Assumptions!$B$7,"Bull","Bear"),IF(RAND()&lt;Assumptions!$B$10,"Bear","Bull"))</f>
        <v>Bear</v>
      </c>
      <c r="G405" s="0" t="str">
        <f aca="true">IF(F405="Bull",IF(RAND()&lt;Assumptions!$B$7,"Bull","Bear"),IF(RAND()&lt;Assumptions!$B$10,"Bear","Bull"))</f>
        <v>Bear</v>
      </c>
      <c r="H405" s="8" t="n">
        <f aca="true">IF(B405="Bull",NORMINV(RAND(),Assumptions!$B$5,Assumptions!$B$6),NORMINV(RAND(),Assumptions!$B$8,Assumptions!$B$9))</f>
        <v>-0.158887201189732</v>
      </c>
      <c r="I405" s="8" t="n">
        <f aca="true">IF(C405="Bull",NORMINV(RAND(),Assumptions!$B$5,Assumptions!$B$6),NORMINV(RAND(),Assumptions!$B$8,Assumptions!$B$9))</f>
        <v>0.046459662984636</v>
      </c>
      <c r="J405" s="8" t="n">
        <f aca="true">IF(D405="Bull",NORMINV(RAND(),Assumptions!$B$5,Assumptions!$B$6),NORMINV(RAND(),Assumptions!$B$8,Assumptions!$B$9))</f>
        <v>0.0605659701492202</v>
      </c>
      <c r="K405" s="8" t="n">
        <f aca="true">IF(E405="Bull",NORMINV(RAND(),Assumptions!$B$5,Assumptions!$B$6),NORMINV(RAND(),Assumptions!$B$8,Assumptions!$B$9))</f>
        <v>-0.0430506430403511</v>
      </c>
      <c r="L405" s="8" t="n">
        <f aca="true">IF(F405="Bull",NORMINV(RAND(),Assumptions!$B$5,Assumptions!$B$6),NORMINV(RAND(),Assumptions!$B$8,Assumptions!$B$9))</f>
        <v>-0.0718852123582847</v>
      </c>
      <c r="M405" s="8" t="n">
        <f aca="true">IF(G405="Bull",NORMINV(RAND(),Assumptions!$B$5,Assumptions!$B$6),NORMINV(RAND(),Assumptions!$B$8,Assumptions!$B$9))</f>
        <v>-0.0167720646347774</v>
      </c>
      <c r="N405" s="8" t="n">
        <f aca="true">NORMINV(RAND(),Assumptions!$B$14,Assumptions!$B$15)</f>
        <v>0.0593824609940169</v>
      </c>
      <c r="O405" s="8" t="n">
        <f aca="true">NORMINV(RAND(),Assumptions!$B$14,Assumptions!$B$15)</f>
        <v>0.0450115898403274</v>
      </c>
      <c r="P405" s="8" t="n">
        <f aca="true">NORMINV(RAND(),Assumptions!$B$14,Assumptions!$B$15)</f>
        <v>0.0328735533120823</v>
      </c>
      <c r="Q405" s="8" t="n">
        <f aca="true">NORMINV(RAND(),Assumptions!$B$14,Assumptions!$B$15)</f>
        <v>0.0278060056691394</v>
      </c>
      <c r="R405" s="8" t="n">
        <f aca="true">NORMINV(RAND(),Assumptions!$B$14,Assumptions!$B$15)</f>
        <v>0.0961394685188413</v>
      </c>
      <c r="S405" s="8" t="n">
        <f aca="true">NORMINV(RAND(),Assumptions!$B$14,Assumptions!$B$15)</f>
        <v>0.0584746622426727</v>
      </c>
      <c r="T405" s="8" t="n">
        <f aca="false">Assumptions!$B$19*H405+(1-Assumptions!$B$19)*N405</f>
        <v>-0.158887201189732</v>
      </c>
      <c r="U405" s="8" t="n">
        <f aca="false">Assumptions!$B$20*I405+(1-Assumptions!$B$20)*O405</f>
        <v>0.046459662984636</v>
      </c>
      <c r="V405" s="8" t="n">
        <f aca="false">Assumptions!$B$21*J405+(1-Assumptions!$B$21)*P405</f>
        <v>0.0605659701492202</v>
      </c>
      <c r="W405" s="8" t="n">
        <f aca="false">Assumptions!$B$22*K405+(1-Assumptions!$B$22)*Q405</f>
        <v>-0.0430506430403511</v>
      </c>
      <c r="X405" s="8" t="n">
        <f aca="false">Assumptions!$B$23*L405+(1-Assumptions!$B$23)*R405</f>
        <v>-0.0382802761828595</v>
      </c>
      <c r="Y405" s="8" t="n">
        <f aca="false">Assumptions!$B$24*M405+(1-Assumptions!$B$24)*S405</f>
        <v>0.0133266261162026</v>
      </c>
      <c r="Z405" s="6" t="n">
        <f aca="false">Assumptions!$B$27*(1+T405)</f>
        <v>252333.83964308</v>
      </c>
      <c r="AA405" s="6" t="n">
        <f aca="false">(Z405+Assumptions!$B$28)*(1+U405)</f>
        <v>421026.134240213</v>
      </c>
      <c r="AB405" s="6" t="n">
        <f aca="false">AA405*(1+V405)</f>
        <v>446525.990518647</v>
      </c>
      <c r="AC405" s="6" t="n">
        <f aca="false">AB405*(1+W405)</f>
        <v>427302.759492589</v>
      </c>
      <c r="AD405" s="6" t="n">
        <f aca="false">AC405*(1+X405)</f>
        <v>410945.491845515</v>
      </c>
      <c r="AE405" s="6" t="n">
        <f aca="false">AD405*(1+Y405)</f>
        <v>416422.008769479</v>
      </c>
      <c r="AF405" s="6" t="n">
        <f aca="false">Z405</f>
        <v>252333.83964308</v>
      </c>
      <c r="AG405" s="6" t="n">
        <f aca="false">MAX(AF405,AA405)</f>
        <v>421026.134240213</v>
      </c>
      <c r="AH405" s="6" t="n">
        <f aca="false">MAX(AG405,AB405)</f>
        <v>446525.990518647</v>
      </c>
      <c r="AI405" s="6" t="n">
        <f aca="false">MAX(AH405,AC405)</f>
        <v>446525.990518647</v>
      </c>
      <c r="AJ405" s="6" t="n">
        <f aca="false">MAX(AI405,AD405)</f>
        <v>446525.990518647</v>
      </c>
      <c r="AK405" s="6" t="n">
        <f aca="false">MAX(AJ405,AE405)</f>
        <v>446525.990518647</v>
      </c>
      <c r="AL405" s="8" t="n">
        <f aca="false">MIN(Z405/AF405-1,AA405/AG405-1,AB405/AH405-1,AC405/AI405-1,AD405/AJ405-1,AE405/AK405-1)</f>
        <v>-0.0796829287177764</v>
      </c>
      <c r="AM405" s="6" t="n">
        <f aca="false">AE405-Assumptions!$B$35</f>
        <v>-24841.9878930243</v>
      </c>
    </row>
    <row r="406" customFormat="false" ht="15" hidden="false" customHeight="false" outlineLevel="0" collapsed="false">
      <c r="A406" s="0" t="n">
        <f aca="false">ROW()-1</f>
        <v>405</v>
      </c>
      <c r="B406" s="0" t="str">
        <f aca="true">IF(RAND()&lt;Assumptions!$B$11,"Bull","Bear")</f>
        <v>Bull</v>
      </c>
      <c r="C406" s="0" t="str">
        <f aca="true">IF(B406="Bull",IF(RAND()&lt;Assumptions!$B$7,"Bull","Bear"),IF(RAND()&lt;Assumptions!$B$10,"Bear","Bull"))</f>
        <v>Bull</v>
      </c>
      <c r="D406" s="0" t="str">
        <f aca="true">IF(C406="Bull",IF(RAND()&lt;Assumptions!$B$7,"Bull","Bear"),IF(RAND()&lt;Assumptions!$B$10,"Bear","Bull"))</f>
        <v>Bull</v>
      </c>
      <c r="E406" s="0" t="str">
        <f aca="true">IF(D406="Bull",IF(RAND()&lt;Assumptions!$B$7,"Bull","Bear"),IF(RAND()&lt;Assumptions!$B$10,"Bear","Bull"))</f>
        <v>Bull</v>
      </c>
      <c r="F406" s="0" t="str">
        <f aca="true">IF(E406="Bull",IF(RAND()&lt;Assumptions!$B$7,"Bull","Bear"),IF(RAND()&lt;Assumptions!$B$10,"Bear","Bull"))</f>
        <v>Bull</v>
      </c>
      <c r="G406" s="0" t="str">
        <f aca="true">IF(F406="Bull",IF(RAND()&lt;Assumptions!$B$7,"Bull","Bear"),IF(RAND()&lt;Assumptions!$B$10,"Bear","Bull"))</f>
        <v>Bull</v>
      </c>
      <c r="H406" s="8" t="n">
        <f aca="true">IF(B406="Bull",NORMINV(RAND(),Assumptions!$B$5,Assumptions!$B$6),NORMINV(RAND(),Assumptions!$B$8,Assumptions!$B$9))</f>
        <v>0.1193735227328</v>
      </c>
      <c r="I406" s="8" t="n">
        <f aca="true">IF(C406="Bull",NORMINV(RAND(),Assumptions!$B$5,Assumptions!$B$6),NORMINV(RAND(),Assumptions!$B$8,Assumptions!$B$9))</f>
        <v>0.142000441085791</v>
      </c>
      <c r="J406" s="8" t="n">
        <f aca="true">IF(D406="Bull",NORMINV(RAND(),Assumptions!$B$5,Assumptions!$B$6),NORMINV(RAND(),Assumptions!$B$8,Assumptions!$B$9))</f>
        <v>0.215036168409411</v>
      </c>
      <c r="K406" s="8" t="n">
        <f aca="true">IF(E406="Bull",NORMINV(RAND(),Assumptions!$B$5,Assumptions!$B$6),NORMINV(RAND(),Assumptions!$B$8,Assumptions!$B$9))</f>
        <v>0.108189014924814</v>
      </c>
      <c r="L406" s="8" t="n">
        <f aca="true">IF(F406="Bull",NORMINV(RAND(),Assumptions!$B$5,Assumptions!$B$6),NORMINV(RAND(),Assumptions!$B$8,Assumptions!$B$9))</f>
        <v>0.190599171633585</v>
      </c>
      <c r="M406" s="8" t="n">
        <f aca="true">IF(G406="Bull",NORMINV(RAND(),Assumptions!$B$5,Assumptions!$B$6),NORMINV(RAND(),Assumptions!$B$8,Assumptions!$B$9))</f>
        <v>0.311028313632202</v>
      </c>
      <c r="N406" s="8" t="n">
        <f aca="true">NORMINV(RAND(),Assumptions!$B$14,Assumptions!$B$15)</f>
        <v>0.020615048043586</v>
      </c>
      <c r="O406" s="8" t="n">
        <f aca="true">NORMINV(RAND(),Assumptions!$B$14,Assumptions!$B$15)</f>
        <v>0.0519111880519314</v>
      </c>
      <c r="P406" s="8" t="n">
        <f aca="true">NORMINV(RAND(),Assumptions!$B$14,Assumptions!$B$15)</f>
        <v>0.0257442887686263</v>
      </c>
      <c r="Q406" s="8" t="n">
        <f aca="true">NORMINV(RAND(),Assumptions!$B$14,Assumptions!$B$15)</f>
        <v>0.0326900083458492</v>
      </c>
      <c r="R406" s="8" t="n">
        <f aca="true">NORMINV(RAND(),Assumptions!$B$14,Assumptions!$B$15)</f>
        <v>0.0471214347906015</v>
      </c>
      <c r="S406" s="8" t="n">
        <f aca="true">NORMINV(RAND(),Assumptions!$B$14,Assumptions!$B$15)</f>
        <v>0.0569227776382279</v>
      </c>
      <c r="T406" s="8" t="n">
        <f aca="false">Assumptions!$B$19*H406+(1-Assumptions!$B$19)*N406</f>
        <v>0.1193735227328</v>
      </c>
      <c r="U406" s="8" t="n">
        <f aca="false">Assumptions!$B$20*I406+(1-Assumptions!$B$20)*O406</f>
        <v>0.142000441085791</v>
      </c>
      <c r="V406" s="8" t="n">
        <f aca="false">Assumptions!$B$21*J406+(1-Assumptions!$B$21)*P406</f>
        <v>0.215036168409411</v>
      </c>
      <c r="W406" s="8" t="n">
        <f aca="false">Assumptions!$B$22*K406+(1-Assumptions!$B$22)*Q406</f>
        <v>0.108189014924814</v>
      </c>
      <c r="X406" s="8" t="n">
        <f aca="false">Assumptions!$B$23*L406+(1-Assumptions!$B$23)*R406</f>
        <v>0.161903624264988</v>
      </c>
      <c r="Y406" s="8" t="n">
        <f aca="false">Assumptions!$B$24*M406+(1-Assumptions!$B$24)*S406</f>
        <v>0.209386099234613</v>
      </c>
      <c r="Z406" s="6" t="n">
        <f aca="false">Assumptions!$B$27*(1+T406)</f>
        <v>335812.05681984</v>
      </c>
      <c r="AA406" s="6" t="n">
        <f aca="false">(Z406+Assumptions!$B$28)*(1+U406)</f>
        <v>554797.583173053</v>
      </c>
      <c r="AB406" s="6" t="n">
        <f aca="false">AA406*(1+V406)</f>
        <v>674099.129701388</v>
      </c>
      <c r="AC406" s="6" t="n">
        <f aca="false">AB406*(1+W406)</f>
        <v>747029.250505455</v>
      </c>
      <c r="AD406" s="6" t="n">
        <f aca="false">AC406*(1+X406)</f>
        <v>867975.993594246</v>
      </c>
      <c r="AE406" s="6" t="n">
        <f aca="false">AD406*(1+Y406)</f>
        <v>1049718.10112223</v>
      </c>
      <c r="AF406" s="6" t="n">
        <f aca="false">Z406</f>
        <v>335812.05681984</v>
      </c>
      <c r="AG406" s="6" t="n">
        <f aca="false">MAX(AF406,AA406)</f>
        <v>554797.583173053</v>
      </c>
      <c r="AH406" s="6" t="n">
        <f aca="false">MAX(AG406,AB406)</f>
        <v>674099.129701388</v>
      </c>
      <c r="AI406" s="6" t="n">
        <f aca="false">MAX(AH406,AC406)</f>
        <v>747029.250505455</v>
      </c>
      <c r="AJ406" s="6" t="n">
        <f aca="false">MAX(AI406,AD406)</f>
        <v>867975.993594246</v>
      </c>
      <c r="AK406" s="6" t="n">
        <f aca="false">MAX(AJ406,AE406)</f>
        <v>1049718.10112223</v>
      </c>
      <c r="AL406" s="8" t="n">
        <f aca="false">MIN(Z406/AF406-1,AA406/AG406-1,AB406/AH406-1,AC406/AI406-1,AD406/AJ406-1,AE406/AK406-1)</f>
        <v>0</v>
      </c>
      <c r="AM406" s="6" t="n">
        <f aca="false">AE406-Assumptions!$B$35</f>
        <v>608454.104459729</v>
      </c>
    </row>
    <row r="407" customFormat="false" ht="15" hidden="false" customHeight="false" outlineLevel="0" collapsed="false">
      <c r="A407" s="0" t="n">
        <f aca="false">ROW()-1</f>
        <v>406</v>
      </c>
      <c r="B407" s="0" t="str">
        <f aca="true">IF(RAND()&lt;Assumptions!$B$11,"Bull","Bear")</f>
        <v>Bear</v>
      </c>
      <c r="C407" s="0" t="str">
        <f aca="true">IF(B407="Bull",IF(RAND()&lt;Assumptions!$B$7,"Bull","Bear"),IF(RAND()&lt;Assumptions!$B$10,"Bear","Bull"))</f>
        <v>Bear</v>
      </c>
      <c r="D407" s="0" t="str">
        <f aca="true">IF(C407="Bull",IF(RAND()&lt;Assumptions!$B$7,"Bull","Bear"),IF(RAND()&lt;Assumptions!$B$10,"Bear","Bull"))</f>
        <v>Bear</v>
      </c>
      <c r="E407" s="0" t="str">
        <f aca="true">IF(D407="Bull",IF(RAND()&lt;Assumptions!$B$7,"Bull","Bear"),IF(RAND()&lt;Assumptions!$B$10,"Bear","Bull"))</f>
        <v>Bear</v>
      </c>
      <c r="F407" s="0" t="str">
        <f aca="true">IF(E407="Bull",IF(RAND()&lt;Assumptions!$B$7,"Bull","Bear"),IF(RAND()&lt;Assumptions!$B$10,"Bear","Bull"))</f>
        <v>Bear</v>
      </c>
      <c r="G407" s="0" t="str">
        <f aca="true">IF(F407="Bull",IF(RAND()&lt;Assumptions!$B$7,"Bull","Bear"),IF(RAND()&lt;Assumptions!$B$10,"Bear","Bull"))</f>
        <v>Bull</v>
      </c>
      <c r="H407" s="8" t="n">
        <f aca="true">IF(B407="Bull",NORMINV(RAND(),Assumptions!$B$5,Assumptions!$B$6),NORMINV(RAND(),Assumptions!$B$8,Assumptions!$B$9))</f>
        <v>0.1526182611379</v>
      </c>
      <c r="I407" s="8" t="n">
        <f aca="true">IF(C407="Bull",NORMINV(RAND(),Assumptions!$B$5,Assumptions!$B$6),NORMINV(RAND(),Assumptions!$B$8,Assumptions!$B$9))</f>
        <v>0.00130120671068852</v>
      </c>
      <c r="J407" s="8" t="n">
        <f aca="true">IF(D407="Bull",NORMINV(RAND(),Assumptions!$B$5,Assumptions!$B$6),NORMINV(RAND(),Assumptions!$B$8,Assumptions!$B$9))</f>
        <v>-0.138818310506552</v>
      </c>
      <c r="K407" s="8" t="n">
        <f aca="true">IF(E407="Bull",NORMINV(RAND(),Assumptions!$B$5,Assumptions!$B$6),NORMINV(RAND(),Assumptions!$B$8,Assumptions!$B$9))</f>
        <v>-0.228109233813165</v>
      </c>
      <c r="L407" s="8" t="n">
        <f aca="true">IF(F407="Bull",NORMINV(RAND(),Assumptions!$B$5,Assumptions!$B$6),NORMINV(RAND(),Assumptions!$B$8,Assumptions!$B$9))</f>
        <v>0.122463466702394</v>
      </c>
      <c r="M407" s="8" t="n">
        <f aca="true">IF(G407="Bull",NORMINV(RAND(),Assumptions!$B$5,Assumptions!$B$6),NORMINV(RAND(),Assumptions!$B$8,Assumptions!$B$9))</f>
        <v>-0.0115685746261673</v>
      </c>
      <c r="N407" s="8" t="n">
        <f aca="true">NORMINV(RAND(),Assumptions!$B$14,Assumptions!$B$15)</f>
        <v>0.0410554336195148</v>
      </c>
      <c r="O407" s="8" t="n">
        <f aca="true">NORMINV(RAND(),Assumptions!$B$14,Assumptions!$B$15)</f>
        <v>0.0572128449623061</v>
      </c>
      <c r="P407" s="8" t="n">
        <f aca="true">NORMINV(RAND(),Assumptions!$B$14,Assumptions!$B$15)</f>
        <v>-0.00440983197694336</v>
      </c>
      <c r="Q407" s="8" t="n">
        <f aca="true">NORMINV(RAND(),Assumptions!$B$14,Assumptions!$B$15)</f>
        <v>0.0601090507616479</v>
      </c>
      <c r="R407" s="8" t="n">
        <f aca="true">NORMINV(RAND(),Assumptions!$B$14,Assumptions!$B$15)</f>
        <v>0.0633169234153211</v>
      </c>
      <c r="S407" s="8" t="n">
        <f aca="true">NORMINV(RAND(),Assumptions!$B$14,Assumptions!$B$15)</f>
        <v>0.0905503655764372</v>
      </c>
      <c r="T407" s="8" t="n">
        <f aca="false">Assumptions!$B$19*H407+(1-Assumptions!$B$19)*N407</f>
        <v>0.1526182611379</v>
      </c>
      <c r="U407" s="8" t="n">
        <f aca="false">Assumptions!$B$20*I407+(1-Assumptions!$B$20)*O407</f>
        <v>0.00130120671068852</v>
      </c>
      <c r="V407" s="8" t="n">
        <f aca="false">Assumptions!$B$21*J407+(1-Assumptions!$B$21)*P407</f>
        <v>-0.138818310506552</v>
      </c>
      <c r="W407" s="8" t="n">
        <f aca="false">Assumptions!$B$22*K407+(1-Assumptions!$B$22)*Q407</f>
        <v>-0.228109233813165</v>
      </c>
      <c r="X407" s="8" t="n">
        <f aca="false">Assumptions!$B$23*L407+(1-Assumptions!$B$23)*R407</f>
        <v>0.11063415804498</v>
      </c>
      <c r="Y407" s="8" t="n">
        <f aca="false">Assumptions!$B$24*M407+(1-Assumptions!$B$24)*S407</f>
        <v>0.0292790014548745</v>
      </c>
      <c r="Z407" s="6" t="n">
        <f aca="false">Assumptions!$B$27*(1+T407)</f>
        <v>345785.47834137</v>
      </c>
      <c r="AA407" s="6" t="n">
        <f aca="false">(Z407+Assumptions!$B$28)*(1+U407)</f>
        <v>496430.59773285</v>
      </c>
      <c r="AB407" s="6" t="n">
        <f aca="false">AA407*(1+V407)</f>
        <v>427516.940871818</v>
      </c>
      <c r="AC407" s="6" t="n">
        <f aca="false">AB407*(1+W407)</f>
        <v>329996.379047399</v>
      </c>
      <c r="AD407" s="6" t="n">
        <f aca="false">AC407*(1+X407)</f>
        <v>366505.2506012</v>
      </c>
      <c r="AE407" s="6" t="n">
        <f aca="false">AD407*(1+Y407)</f>
        <v>377236.158366772</v>
      </c>
      <c r="AF407" s="6" t="n">
        <f aca="false">Z407</f>
        <v>345785.47834137</v>
      </c>
      <c r="AG407" s="6" t="n">
        <f aca="false">MAX(AF407,AA407)</f>
        <v>496430.59773285</v>
      </c>
      <c r="AH407" s="6" t="n">
        <f aca="false">MAX(AG407,AB407)</f>
        <v>496430.59773285</v>
      </c>
      <c r="AI407" s="6" t="n">
        <f aca="false">MAX(AH407,AC407)</f>
        <v>496430.59773285</v>
      </c>
      <c r="AJ407" s="6" t="n">
        <f aca="false">MAX(AI407,AD407)</f>
        <v>496430.59773285</v>
      </c>
      <c r="AK407" s="6" t="n">
        <f aca="false">MAX(AJ407,AE407)</f>
        <v>496430.59773285</v>
      </c>
      <c r="AL407" s="8" t="n">
        <f aca="false">MIN(Z407/AF407-1,AA407/AG407-1,AB407/AH407-1,AC407/AI407-1,AD407/AJ407-1,AE407/AK407-1)</f>
        <v>-0.335261805870829</v>
      </c>
      <c r="AM407" s="6" t="n">
        <f aca="false">AE407-Assumptions!$B$35</f>
        <v>-64027.8382957315</v>
      </c>
    </row>
    <row r="408" customFormat="false" ht="15" hidden="false" customHeight="false" outlineLevel="0" collapsed="false">
      <c r="A408" s="0" t="n">
        <f aca="false">ROW()-1</f>
        <v>407</v>
      </c>
      <c r="B408" s="0" t="str">
        <f aca="true">IF(RAND()&lt;Assumptions!$B$11,"Bull","Bear")</f>
        <v>Bull</v>
      </c>
      <c r="C408" s="0" t="str">
        <f aca="true">IF(B408="Bull",IF(RAND()&lt;Assumptions!$B$7,"Bull","Bear"),IF(RAND()&lt;Assumptions!$B$10,"Bear","Bull"))</f>
        <v>Bull</v>
      </c>
      <c r="D408" s="0" t="str">
        <f aca="true">IF(C408="Bull",IF(RAND()&lt;Assumptions!$B$7,"Bull","Bear"),IF(RAND()&lt;Assumptions!$B$10,"Bear","Bull"))</f>
        <v>Bear</v>
      </c>
      <c r="E408" s="0" t="str">
        <f aca="true">IF(D408="Bull",IF(RAND()&lt;Assumptions!$B$7,"Bull","Bear"),IF(RAND()&lt;Assumptions!$B$10,"Bear","Bull"))</f>
        <v>Bear</v>
      </c>
      <c r="F408" s="0" t="str">
        <f aca="true">IF(E408="Bull",IF(RAND()&lt;Assumptions!$B$7,"Bull","Bear"),IF(RAND()&lt;Assumptions!$B$10,"Bear","Bull"))</f>
        <v>Bear</v>
      </c>
      <c r="G408" s="0" t="str">
        <f aca="true">IF(F408="Bull",IF(RAND()&lt;Assumptions!$B$7,"Bull","Bear"),IF(RAND()&lt;Assumptions!$B$10,"Bear","Bull"))</f>
        <v>Bear</v>
      </c>
      <c r="H408" s="8" t="n">
        <f aca="true">IF(B408="Bull",NORMINV(RAND(),Assumptions!$B$5,Assumptions!$B$6),NORMINV(RAND(),Assumptions!$B$8,Assumptions!$B$9))</f>
        <v>0.240825807755397</v>
      </c>
      <c r="I408" s="8" t="n">
        <f aca="true">IF(C408="Bull",NORMINV(RAND(),Assumptions!$B$5,Assumptions!$B$6),NORMINV(RAND(),Assumptions!$B$8,Assumptions!$B$9))</f>
        <v>0.0440395827131672</v>
      </c>
      <c r="J408" s="8" t="n">
        <f aca="true">IF(D408="Bull",NORMINV(RAND(),Assumptions!$B$5,Assumptions!$B$6),NORMINV(RAND(),Assumptions!$B$8,Assumptions!$B$9))</f>
        <v>0.0877506268612208</v>
      </c>
      <c r="K408" s="8" t="n">
        <f aca="true">IF(E408="Bull",NORMINV(RAND(),Assumptions!$B$5,Assumptions!$B$6),NORMINV(RAND(),Assumptions!$B$8,Assumptions!$B$9))</f>
        <v>0.0333701451664841</v>
      </c>
      <c r="L408" s="8" t="n">
        <f aca="true">IF(F408="Bull",NORMINV(RAND(),Assumptions!$B$5,Assumptions!$B$6),NORMINV(RAND(),Assumptions!$B$8,Assumptions!$B$9))</f>
        <v>-0.114734739869188</v>
      </c>
      <c r="M408" s="8" t="n">
        <f aca="true">IF(G408="Bull",NORMINV(RAND(),Assumptions!$B$5,Assumptions!$B$6),NORMINV(RAND(),Assumptions!$B$8,Assumptions!$B$9))</f>
        <v>-0.0756139660968306</v>
      </c>
      <c r="N408" s="8" t="n">
        <f aca="true">NORMINV(RAND(),Assumptions!$B$14,Assumptions!$B$15)</f>
        <v>0.00964274144156084</v>
      </c>
      <c r="O408" s="8" t="n">
        <f aca="true">NORMINV(RAND(),Assumptions!$B$14,Assumptions!$B$15)</f>
        <v>-0.0396527033624986</v>
      </c>
      <c r="P408" s="8" t="n">
        <f aca="true">NORMINV(RAND(),Assumptions!$B$14,Assumptions!$B$15)</f>
        <v>0.0181861456406203</v>
      </c>
      <c r="Q408" s="8" t="n">
        <f aca="true">NORMINV(RAND(),Assumptions!$B$14,Assumptions!$B$15)</f>
        <v>0.059741257680402</v>
      </c>
      <c r="R408" s="8" t="n">
        <f aca="true">NORMINV(RAND(),Assumptions!$B$14,Assumptions!$B$15)</f>
        <v>0.0702973115177915</v>
      </c>
      <c r="S408" s="8" t="n">
        <f aca="true">NORMINV(RAND(),Assumptions!$B$14,Assumptions!$B$15)</f>
        <v>0.0548362721950873</v>
      </c>
      <c r="T408" s="8" t="n">
        <f aca="false">Assumptions!$B$19*H408+(1-Assumptions!$B$19)*N408</f>
        <v>0.240825807755397</v>
      </c>
      <c r="U408" s="8" t="n">
        <f aca="false">Assumptions!$B$20*I408+(1-Assumptions!$B$20)*O408</f>
        <v>0.0440395827131672</v>
      </c>
      <c r="V408" s="8" t="n">
        <f aca="false">Assumptions!$B$21*J408+(1-Assumptions!$B$21)*P408</f>
        <v>0.0877506268612208</v>
      </c>
      <c r="W408" s="8" t="n">
        <f aca="false">Assumptions!$B$22*K408+(1-Assumptions!$B$22)*Q408</f>
        <v>0.0333701451664841</v>
      </c>
      <c r="X408" s="8" t="n">
        <f aca="false">Assumptions!$B$23*L408+(1-Assumptions!$B$23)*R408</f>
        <v>-0.0777283295917922</v>
      </c>
      <c r="Y408" s="8" t="n">
        <f aca="false">Assumptions!$B$24*M408+(1-Assumptions!$B$24)*S408</f>
        <v>-0.0234338707800634</v>
      </c>
      <c r="Z408" s="6" t="n">
        <f aca="false">Assumptions!$B$27*(1+T408)</f>
        <v>372247.742326619</v>
      </c>
      <c r="AA408" s="6" t="n">
        <f aca="false">(Z408+Assumptions!$B$28)*(1+U408)</f>
        <v>545247.314971577</v>
      </c>
      <c r="AB408" s="6" t="n">
        <f aca="false">AA408*(1+V408)</f>
        <v>593093.10865473</v>
      </c>
      <c r="AC408" s="6" t="n">
        <f aca="false">AB408*(1+W408)</f>
        <v>612884.71178778</v>
      </c>
      <c r="AD408" s="6" t="n">
        <f aca="false">AC408*(1+X408)</f>
        <v>565246.206908169</v>
      </c>
      <c r="AE408" s="6" t="n">
        <f aca="false">AD408*(1+Y408)</f>
        <v>552000.300336562</v>
      </c>
      <c r="AF408" s="6" t="n">
        <f aca="false">Z408</f>
        <v>372247.742326619</v>
      </c>
      <c r="AG408" s="6" t="n">
        <f aca="false">MAX(AF408,AA408)</f>
        <v>545247.314971577</v>
      </c>
      <c r="AH408" s="6" t="n">
        <f aca="false">MAX(AG408,AB408)</f>
        <v>593093.10865473</v>
      </c>
      <c r="AI408" s="6" t="n">
        <f aca="false">MAX(AH408,AC408)</f>
        <v>612884.71178778</v>
      </c>
      <c r="AJ408" s="6" t="n">
        <f aca="false">MAX(AI408,AD408)</f>
        <v>612884.71178778</v>
      </c>
      <c r="AK408" s="6" t="n">
        <f aca="false">MAX(AJ408,AE408)</f>
        <v>612884.71178778</v>
      </c>
      <c r="AL408" s="8" t="n">
        <f aca="false">MIN(Z408/AF408-1,AA408/AG408-1,AB408/AH408-1,AC408/AI408-1,AD408/AJ408-1,AE408/AK408-1)</f>
        <v>-0.0993407247402515</v>
      </c>
      <c r="AM408" s="6" t="n">
        <f aca="false">AE408-Assumptions!$B$35</f>
        <v>110736.303674058</v>
      </c>
    </row>
    <row r="409" customFormat="false" ht="15" hidden="false" customHeight="false" outlineLevel="0" collapsed="false">
      <c r="A409" s="0" t="n">
        <f aca="false">ROW()-1</f>
        <v>408</v>
      </c>
      <c r="B409" s="0" t="str">
        <f aca="true">IF(RAND()&lt;Assumptions!$B$11,"Bull","Bear")</f>
        <v>Bear</v>
      </c>
      <c r="C409" s="0" t="str">
        <f aca="true">IF(B409="Bull",IF(RAND()&lt;Assumptions!$B$7,"Bull","Bear"),IF(RAND()&lt;Assumptions!$B$10,"Bear","Bull"))</f>
        <v>Bear</v>
      </c>
      <c r="D409" s="0" t="str">
        <f aca="true">IF(C409="Bull",IF(RAND()&lt;Assumptions!$B$7,"Bull","Bear"),IF(RAND()&lt;Assumptions!$B$10,"Bear","Bull"))</f>
        <v>Bull</v>
      </c>
      <c r="E409" s="0" t="str">
        <f aca="true">IF(D409="Bull",IF(RAND()&lt;Assumptions!$B$7,"Bull","Bear"),IF(RAND()&lt;Assumptions!$B$10,"Bear","Bull"))</f>
        <v>Bear</v>
      </c>
      <c r="F409" s="0" t="str">
        <f aca="true">IF(E409="Bull",IF(RAND()&lt;Assumptions!$B$7,"Bull","Bear"),IF(RAND()&lt;Assumptions!$B$10,"Bear","Bull"))</f>
        <v>Bear</v>
      </c>
      <c r="G409" s="0" t="str">
        <f aca="true">IF(F409="Bull",IF(RAND()&lt;Assumptions!$B$7,"Bull","Bear"),IF(RAND()&lt;Assumptions!$B$10,"Bear","Bull"))</f>
        <v>Bull</v>
      </c>
      <c r="H409" s="8" t="n">
        <f aca="true">IF(B409="Bull",NORMINV(RAND(),Assumptions!$B$5,Assumptions!$B$6),NORMINV(RAND(),Assumptions!$B$8,Assumptions!$B$9))</f>
        <v>-0.160254922747575</v>
      </c>
      <c r="I409" s="8" t="n">
        <f aca="true">IF(C409="Bull",NORMINV(RAND(),Assumptions!$B$5,Assumptions!$B$6),NORMINV(RAND(),Assumptions!$B$8,Assumptions!$B$9))</f>
        <v>0.00817672251067617</v>
      </c>
      <c r="J409" s="8" t="n">
        <f aca="true">IF(D409="Bull",NORMINV(RAND(),Assumptions!$B$5,Assumptions!$B$6),NORMINV(RAND(),Assumptions!$B$8,Assumptions!$B$9))</f>
        <v>0.291782805210911</v>
      </c>
      <c r="K409" s="8" t="n">
        <f aca="true">IF(E409="Bull",NORMINV(RAND(),Assumptions!$B$5,Assumptions!$B$6),NORMINV(RAND(),Assumptions!$B$8,Assumptions!$B$9))</f>
        <v>-0.257858563517715</v>
      </c>
      <c r="L409" s="8" t="n">
        <f aca="true">IF(F409="Bull",NORMINV(RAND(),Assumptions!$B$5,Assumptions!$B$6),NORMINV(RAND(),Assumptions!$B$8,Assumptions!$B$9))</f>
        <v>-0.217493506134368</v>
      </c>
      <c r="M409" s="8" t="n">
        <f aca="true">IF(G409="Bull",NORMINV(RAND(),Assumptions!$B$5,Assumptions!$B$6),NORMINV(RAND(),Assumptions!$B$8,Assumptions!$B$9))</f>
        <v>0.0591272946952185</v>
      </c>
      <c r="N409" s="8" t="n">
        <f aca="true">NORMINV(RAND(),Assumptions!$B$14,Assumptions!$B$15)</f>
        <v>0.0440885621096539</v>
      </c>
      <c r="O409" s="8" t="n">
        <f aca="true">NORMINV(RAND(),Assumptions!$B$14,Assumptions!$B$15)</f>
        <v>0.0564889263775409</v>
      </c>
      <c r="P409" s="8" t="n">
        <f aca="true">NORMINV(RAND(),Assumptions!$B$14,Assumptions!$B$15)</f>
        <v>0.0397121055794714</v>
      </c>
      <c r="Q409" s="8" t="n">
        <f aca="true">NORMINV(RAND(),Assumptions!$B$14,Assumptions!$B$15)</f>
        <v>0.0244300260847221</v>
      </c>
      <c r="R409" s="8" t="n">
        <f aca="true">NORMINV(RAND(),Assumptions!$B$14,Assumptions!$B$15)</f>
        <v>0.0260336349704782</v>
      </c>
      <c r="S409" s="8" t="n">
        <f aca="true">NORMINV(RAND(),Assumptions!$B$14,Assumptions!$B$15)</f>
        <v>0.033319582952756</v>
      </c>
      <c r="T409" s="8" t="n">
        <f aca="false">Assumptions!$B$19*H409+(1-Assumptions!$B$19)*N409</f>
        <v>-0.160254922747575</v>
      </c>
      <c r="U409" s="8" t="n">
        <f aca="false">Assumptions!$B$20*I409+(1-Assumptions!$B$20)*O409</f>
        <v>0.00817672251067617</v>
      </c>
      <c r="V409" s="8" t="n">
        <f aca="false">Assumptions!$B$21*J409+(1-Assumptions!$B$21)*P409</f>
        <v>0.291782805210911</v>
      </c>
      <c r="W409" s="8" t="n">
        <f aca="false">Assumptions!$B$22*K409+(1-Assumptions!$B$22)*Q409</f>
        <v>-0.257858563517715</v>
      </c>
      <c r="X409" s="8" t="n">
        <f aca="false">Assumptions!$B$23*L409+(1-Assumptions!$B$23)*R409</f>
        <v>-0.168788077913399</v>
      </c>
      <c r="Y409" s="8" t="n">
        <f aca="false">Assumptions!$B$24*M409+(1-Assumptions!$B$24)*S409</f>
        <v>0.0488042099982335</v>
      </c>
      <c r="Z409" s="6" t="n">
        <f aca="false">Assumptions!$B$27*(1+T409)</f>
        <v>251923.523175728</v>
      </c>
      <c r="AA409" s="6" t="n">
        <f aca="false">(Z409+Assumptions!$B$28)*(1+U409)</f>
        <v>405209.940295249</v>
      </c>
      <c r="AB409" s="6" t="n">
        <f aca="false">AA409*(1+V409)</f>
        <v>523443.233373942</v>
      </c>
      <c r="AC409" s="6" t="n">
        <f aca="false">AB409*(1+W409)</f>
        <v>388468.91313307</v>
      </c>
      <c r="AD409" s="6" t="n">
        <f aca="false">AC409*(1+X409)</f>
        <v>322899.991956232</v>
      </c>
      <c r="AE409" s="6" t="n">
        <f aca="false">AD409*(1+Y409)</f>
        <v>338658.870972092</v>
      </c>
      <c r="AF409" s="6" t="n">
        <f aca="false">Z409</f>
        <v>251923.523175728</v>
      </c>
      <c r="AG409" s="6" t="n">
        <f aca="false">MAX(AF409,AA409)</f>
        <v>405209.940295249</v>
      </c>
      <c r="AH409" s="6" t="n">
        <f aca="false">MAX(AG409,AB409)</f>
        <v>523443.233373942</v>
      </c>
      <c r="AI409" s="6" t="n">
        <f aca="false">MAX(AH409,AC409)</f>
        <v>523443.233373942</v>
      </c>
      <c r="AJ409" s="6" t="n">
        <f aca="false">MAX(AI409,AD409)</f>
        <v>523443.233373942</v>
      </c>
      <c r="AK409" s="6" t="n">
        <f aca="false">MAX(AJ409,AE409)</f>
        <v>523443.233373942</v>
      </c>
      <c r="AL409" s="8" t="n">
        <f aca="false">MIN(Z409/AF409-1,AA409/AG409-1,AB409/AH409-1,AC409/AI409-1,AD409/AJ409-1,AE409/AK409-1)</f>
        <v>-0.383123190121448</v>
      </c>
      <c r="AM409" s="6" t="n">
        <f aca="false">AE409-Assumptions!$B$35</f>
        <v>-102605.125690412</v>
      </c>
    </row>
    <row r="410" customFormat="false" ht="15" hidden="false" customHeight="false" outlineLevel="0" collapsed="false">
      <c r="A410" s="0" t="n">
        <f aca="false">ROW()-1</f>
        <v>409</v>
      </c>
      <c r="B410" s="0" t="str">
        <f aca="true">IF(RAND()&lt;Assumptions!$B$11,"Bull","Bear")</f>
        <v>Bull</v>
      </c>
      <c r="C410" s="0" t="str">
        <f aca="true">IF(B410="Bull",IF(RAND()&lt;Assumptions!$B$7,"Bull","Bear"),IF(RAND()&lt;Assumptions!$B$10,"Bear","Bull"))</f>
        <v>Bull</v>
      </c>
      <c r="D410" s="0" t="str">
        <f aca="true">IF(C410="Bull",IF(RAND()&lt;Assumptions!$B$7,"Bull","Bear"),IF(RAND()&lt;Assumptions!$B$10,"Bear","Bull"))</f>
        <v>Bear</v>
      </c>
      <c r="E410" s="0" t="str">
        <f aca="true">IF(D410="Bull",IF(RAND()&lt;Assumptions!$B$7,"Bull","Bear"),IF(RAND()&lt;Assumptions!$B$10,"Bear","Bull"))</f>
        <v>Bear</v>
      </c>
      <c r="F410" s="0" t="str">
        <f aca="true">IF(E410="Bull",IF(RAND()&lt;Assumptions!$B$7,"Bull","Bear"),IF(RAND()&lt;Assumptions!$B$10,"Bear","Bull"))</f>
        <v>Bull</v>
      </c>
      <c r="G410" s="0" t="str">
        <f aca="true">IF(F410="Bull",IF(RAND()&lt;Assumptions!$B$7,"Bull","Bear"),IF(RAND()&lt;Assumptions!$B$10,"Bear","Bull"))</f>
        <v>Bull</v>
      </c>
      <c r="H410" s="8" t="n">
        <f aca="true">IF(B410="Bull",NORMINV(RAND(),Assumptions!$B$5,Assumptions!$B$6),NORMINV(RAND(),Assumptions!$B$8,Assumptions!$B$9))</f>
        <v>0.0674609354292273</v>
      </c>
      <c r="I410" s="8" t="n">
        <f aca="true">IF(C410="Bull",NORMINV(RAND(),Assumptions!$B$5,Assumptions!$B$6),NORMINV(RAND(),Assumptions!$B$8,Assumptions!$B$9))</f>
        <v>0.076326349815202</v>
      </c>
      <c r="J410" s="8" t="n">
        <f aca="true">IF(D410="Bull",NORMINV(RAND(),Assumptions!$B$5,Assumptions!$B$6),NORMINV(RAND(),Assumptions!$B$8,Assumptions!$B$9))</f>
        <v>0.170297596175108</v>
      </c>
      <c r="K410" s="8" t="n">
        <f aca="true">IF(E410="Bull",NORMINV(RAND(),Assumptions!$B$5,Assumptions!$B$6),NORMINV(RAND(),Assumptions!$B$8,Assumptions!$B$9))</f>
        <v>-0.298539335775165</v>
      </c>
      <c r="L410" s="8" t="n">
        <f aca="true">IF(F410="Bull",NORMINV(RAND(),Assumptions!$B$5,Assumptions!$B$6),NORMINV(RAND(),Assumptions!$B$8,Assumptions!$B$9))</f>
        <v>0.185166714622711</v>
      </c>
      <c r="M410" s="8" t="n">
        <f aca="true">IF(G410="Bull",NORMINV(RAND(),Assumptions!$B$5,Assumptions!$B$6),NORMINV(RAND(),Assumptions!$B$8,Assumptions!$B$9))</f>
        <v>0.227886972504134</v>
      </c>
      <c r="N410" s="8" t="n">
        <f aca="true">NORMINV(RAND(),Assumptions!$B$14,Assumptions!$B$15)</f>
        <v>0.000428735195386332</v>
      </c>
      <c r="O410" s="8" t="n">
        <f aca="true">NORMINV(RAND(),Assumptions!$B$14,Assumptions!$B$15)</f>
        <v>0.0387183946318697</v>
      </c>
      <c r="P410" s="8" t="n">
        <f aca="true">NORMINV(RAND(),Assumptions!$B$14,Assumptions!$B$15)</f>
        <v>0.105965380155399</v>
      </c>
      <c r="Q410" s="8" t="n">
        <f aca="true">NORMINV(RAND(),Assumptions!$B$14,Assumptions!$B$15)</f>
        <v>0.0847463288284117</v>
      </c>
      <c r="R410" s="8" t="n">
        <f aca="true">NORMINV(RAND(),Assumptions!$B$14,Assumptions!$B$15)</f>
        <v>0.0541330683693651</v>
      </c>
      <c r="S410" s="8" t="n">
        <f aca="true">NORMINV(RAND(),Assumptions!$B$14,Assumptions!$B$15)</f>
        <v>0.0604427105654291</v>
      </c>
      <c r="T410" s="8" t="n">
        <f aca="false">Assumptions!$B$19*H410+(1-Assumptions!$B$19)*N410</f>
        <v>0.0674609354292273</v>
      </c>
      <c r="U410" s="8" t="n">
        <f aca="false">Assumptions!$B$20*I410+(1-Assumptions!$B$20)*O410</f>
        <v>0.076326349815202</v>
      </c>
      <c r="V410" s="8" t="n">
        <f aca="false">Assumptions!$B$21*J410+(1-Assumptions!$B$21)*P410</f>
        <v>0.170297596175108</v>
      </c>
      <c r="W410" s="8" t="n">
        <f aca="false">Assumptions!$B$22*K410+(1-Assumptions!$B$22)*Q410</f>
        <v>-0.298539335775165</v>
      </c>
      <c r="X410" s="8" t="n">
        <f aca="false">Assumptions!$B$23*L410+(1-Assumptions!$B$23)*R410</f>
        <v>0.158959985372042</v>
      </c>
      <c r="Y410" s="8" t="n">
        <f aca="false">Assumptions!$B$24*M410+(1-Assumptions!$B$24)*S410</f>
        <v>0.160909267728652</v>
      </c>
      <c r="Z410" s="6" t="n">
        <f aca="false">Assumptions!$B$27*(1+T410)</f>
        <v>320238.280628768</v>
      </c>
      <c r="AA410" s="6" t="n">
        <f aca="false">(Z410+Assumptions!$B$28)*(1+U410)</f>
        <v>506129.852132539</v>
      </c>
      <c r="AB410" s="6" t="n">
        <f aca="false">AA410*(1+V410)</f>
        <v>592322.549303173</v>
      </c>
      <c r="AC410" s="6" t="n">
        <f aca="false">AB410*(1+W410)</f>
        <v>415490.968869551</v>
      </c>
      <c r="AD410" s="6" t="n">
        <f aca="false">AC410*(1+X410)</f>
        <v>481537.407203271</v>
      </c>
      <c r="AE410" s="6" t="n">
        <f aca="false">AD410*(1+Y410)</f>
        <v>559021.238780303</v>
      </c>
      <c r="AF410" s="6" t="n">
        <f aca="false">Z410</f>
        <v>320238.280628768</v>
      </c>
      <c r="AG410" s="6" t="n">
        <f aca="false">MAX(AF410,AA410)</f>
        <v>506129.852132539</v>
      </c>
      <c r="AH410" s="6" t="n">
        <f aca="false">MAX(AG410,AB410)</f>
        <v>592322.549303173</v>
      </c>
      <c r="AI410" s="6" t="n">
        <f aca="false">MAX(AH410,AC410)</f>
        <v>592322.549303173</v>
      </c>
      <c r="AJ410" s="6" t="n">
        <f aca="false">MAX(AI410,AD410)</f>
        <v>592322.549303173</v>
      </c>
      <c r="AK410" s="6" t="n">
        <f aca="false">MAX(AJ410,AE410)</f>
        <v>592322.549303173</v>
      </c>
      <c r="AL410" s="8" t="n">
        <f aca="false">MIN(Z410/AF410-1,AA410/AG410-1,AB410/AH410-1,AC410/AI410-1,AD410/AJ410-1,AE410/AK410-1)</f>
        <v>-0.298539335775165</v>
      </c>
      <c r="AM410" s="6" t="n">
        <f aca="false">AE410-Assumptions!$B$35</f>
        <v>117757.242117799</v>
      </c>
    </row>
    <row r="411" customFormat="false" ht="15" hidden="false" customHeight="false" outlineLevel="0" collapsed="false">
      <c r="A411" s="0" t="n">
        <f aca="false">ROW()-1</f>
        <v>410</v>
      </c>
      <c r="B411" s="0" t="str">
        <f aca="true">IF(RAND()&lt;Assumptions!$B$11,"Bull","Bear")</f>
        <v>Bear</v>
      </c>
      <c r="C411" s="0" t="str">
        <f aca="true">IF(B411="Bull",IF(RAND()&lt;Assumptions!$B$7,"Bull","Bear"),IF(RAND()&lt;Assumptions!$B$10,"Bear","Bull"))</f>
        <v>Bull</v>
      </c>
      <c r="D411" s="0" t="str">
        <f aca="true">IF(C411="Bull",IF(RAND()&lt;Assumptions!$B$7,"Bull","Bear"),IF(RAND()&lt;Assumptions!$B$10,"Bear","Bull"))</f>
        <v>Bull</v>
      </c>
      <c r="E411" s="0" t="str">
        <f aca="true">IF(D411="Bull",IF(RAND()&lt;Assumptions!$B$7,"Bull","Bear"),IF(RAND()&lt;Assumptions!$B$10,"Bear","Bull"))</f>
        <v>Bull</v>
      </c>
      <c r="F411" s="0" t="str">
        <f aca="true">IF(E411="Bull",IF(RAND()&lt;Assumptions!$B$7,"Bull","Bear"),IF(RAND()&lt;Assumptions!$B$10,"Bear","Bull"))</f>
        <v>Bull</v>
      </c>
      <c r="G411" s="0" t="str">
        <f aca="true">IF(F411="Bull",IF(RAND()&lt;Assumptions!$B$7,"Bull","Bear"),IF(RAND()&lt;Assumptions!$B$10,"Bear","Bull"))</f>
        <v>Bull</v>
      </c>
      <c r="H411" s="8" t="n">
        <f aca="true">IF(B411="Bull",NORMINV(RAND(),Assumptions!$B$5,Assumptions!$B$6),NORMINV(RAND(),Assumptions!$B$8,Assumptions!$B$9))</f>
        <v>-0.0124778307107521</v>
      </c>
      <c r="I411" s="8" t="n">
        <f aca="true">IF(C411="Bull",NORMINV(RAND(),Assumptions!$B$5,Assumptions!$B$6),NORMINV(RAND(),Assumptions!$B$8,Assumptions!$B$9))</f>
        <v>0.195558854472853</v>
      </c>
      <c r="J411" s="8" t="n">
        <f aca="true">IF(D411="Bull",NORMINV(RAND(),Assumptions!$B$5,Assumptions!$B$6),NORMINV(RAND(),Assumptions!$B$8,Assumptions!$B$9))</f>
        <v>-0.025950114093549</v>
      </c>
      <c r="K411" s="8" t="n">
        <f aca="true">IF(E411="Bull",NORMINV(RAND(),Assumptions!$B$5,Assumptions!$B$6),NORMINV(RAND(),Assumptions!$B$8,Assumptions!$B$9))</f>
        <v>0.0629160076838053</v>
      </c>
      <c r="L411" s="8" t="n">
        <f aca="true">IF(F411="Bull",NORMINV(RAND(),Assumptions!$B$5,Assumptions!$B$6),NORMINV(RAND(),Assumptions!$B$8,Assumptions!$B$9))</f>
        <v>0.129420566654008</v>
      </c>
      <c r="M411" s="8" t="n">
        <f aca="true">IF(G411="Bull",NORMINV(RAND(),Assumptions!$B$5,Assumptions!$B$6),NORMINV(RAND(),Assumptions!$B$8,Assumptions!$B$9))</f>
        <v>0.170477451641689</v>
      </c>
      <c r="N411" s="8" t="n">
        <f aca="true">NORMINV(RAND(),Assumptions!$B$14,Assumptions!$B$15)</f>
        <v>0.0623477760944709</v>
      </c>
      <c r="O411" s="8" t="n">
        <f aca="true">NORMINV(RAND(),Assumptions!$B$14,Assumptions!$B$15)</f>
        <v>0.03185746161718</v>
      </c>
      <c r="P411" s="8" t="n">
        <f aca="true">NORMINV(RAND(),Assumptions!$B$14,Assumptions!$B$15)</f>
        <v>0.081174482187737</v>
      </c>
      <c r="Q411" s="8" t="n">
        <f aca="true">NORMINV(RAND(),Assumptions!$B$14,Assumptions!$B$15)</f>
        <v>0.0863475207215748</v>
      </c>
      <c r="R411" s="8" t="n">
        <f aca="true">NORMINV(RAND(),Assumptions!$B$14,Assumptions!$B$15)</f>
        <v>0.0348905004928905</v>
      </c>
      <c r="S411" s="8" t="n">
        <f aca="true">NORMINV(RAND(),Assumptions!$B$14,Assumptions!$B$15)</f>
        <v>0.0396186403894141</v>
      </c>
      <c r="T411" s="8" t="n">
        <f aca="false">Assumptions!$B$19*H411+(1-Assumptions!$B$19)*N411</f>
        <v>-0.0124778307107521</v>
      </c>
      <c r="U411" s="8" t="n">
        <f aca="false">Assumptions!$B$20*I411+(1-Assumptions!$B$20)*O411</f>
        <v>0.195558854472853</v>
      </c>
      <c r="V411" s="8" t="n">
        <f aca="false">Assumptions!$B$21*J411+(1-Assumptions!$B$21)*P411</f>
        <v>-0.025950114093549</v>
      </c>
      <c r="W411" s="8" t="n">
        <f aca="false">Assumptions!$B$22*K411+(1-Assumptions!$B$22)*Q411</f>
        <v>0.0629160076838053</v>
      </c>
      <c r="X411" s="8" t="n">
        <f aca="false">Assumptions!$B$23*L411+(1-Assumptions!$B$23)*R411</f>
        <v>0.110514553421785</v>
      </c>
      <c r="Y411" s="8" t="n">
        <f aca="false">Assumptions!$B$24*M411+(1-Assumptions!$B$24)*S411</f>
        <v>0.118133927140779</v>
      </c>
      <c r="Z411" s="6" t="n">
        <f aca="false">Assumptions!$B$27*(1+T411)</f>
        <v>296256.650786774</v>
      </c>
      <c r="AA411" s="6" t="n">
        <f aca="false">(Z411+Assumptions!$B$28)*(1+U411)</f>
        <v>533526.090215528</v>
      </c>
      <c r="AB411" s="6" t="n">
        <f aca="false">AA411*(1+V411)</f>
        <v>519681.02730255</v>
      </c>
      <c r="AC411" s="6" t="n">
        <f aca="false">AB411*(1+W411)</f>
        <v>552377.282809445</v>
      </c>
      <c r="AD411" s="6" t="n">
        <f aca="false">AC411*(1+X411)</f>
        <v>613423.01153947</v>
      </c>
      <c r="AE411" s="6" t="n">
        <f aca="false">AD411*(1+Y411)</f>
        <v>685889.080891151</v>
      </c>
      <c r="AF411" s="6" t="n">
        <f aca="false">Z411</f>
        <v>296256.650786774</v>
      </c>
      <c r="AG411" s="6" t="n">
        <f aca="false">MAX(AF411,AA411)</f>
        <v>533526.090215528</v>
      </c>
      <c r="AH411" s="6" t="n">
        <f aca="false">MAX(AG411,AB411)</f>
        <v>533526.090215528</v>
      </c>
      <c r="AI411" s="6" t="n">
        <f aca="false">MAX(AH411,AC411)</f>
        <v>552377.282809445</v>
      </c>
      <c r="AJ411" s="6" t="n">
        <f aca="false">MAX(AI411,AD411)</f>
        <v>613423.01153947</v>
      </c>
      <c r="AK411" s="6" t="n">
        <f aca="false">MAX(AJ411,AE411)</f>
        <v>685889.080891151</v>
      </c>
      <c r="AL411" s="8" t="n">
        <f aca="false">MIN(Z411/AF411-1,AA411/AG411-1,AB411/AH411-1,AC411/AI411-1,AD411/AJ411-1,AE411/AK411-1)</f>
        <v>-0.025950114093549</v>
      </c>
      <c r="AM411" s="6" t="n">
        <f aca="false">AE411-Assumptions!$B$35</f>
        <v>244625.084228647</v>
      </c>
    </row>
    <row r="412" customFormat="false" ht="15" hidden="false" customHeight="false" outlineLevel="0" collapsed="false">
      <c r="A412" s="0" t="n">
        <f aca="false">ROW()-1</f>
        <v>411</v>
      </c>
      <c r="B412" s="0" t="str">
        <f aca="true">IF(RAND()&lt;Assumptions!$B$11,"Bull","Bear")</f>
        <v>Bull</v>
      </c>
      <c r="C412" s="0" t="str">
        <f aca="true">IF(B412="Bull",IF(RAND()&lt;Assumptions!$B$7,"Bull","Bear"),IF(RAND()&lt;Assumptions!$B$10,"Bear","Bull"))</f>
        <v>Bull</v>
      </c>
      <c r="D412" s="0" t="str">
        <f aca="true">IF(C412="Bull",IF(RAND()&lt;Assumptions!$B$7,"Bull","Bear"),IF(RAND()&lt;Assumptions!$B$10,"Bear","Bull"))</f>
        <v>Bull</v>
      </c>
      <c r="E412" s="0" t="str">
        <f aca="true">IF(D412="Bull",IF(RAND()&lt;Assumptions!$B$7,"Bull","Bear"),IF(RAND()&lt;Assumptions!$B$10,"Bear","Bull"))</f>
        <v>Bull</v>
      </c>
      <c r="F412" s="0" t="str">
        <f aca="true">IF(E412="Bull",IF(RAND()&lt;Assumptions!$B$7,"Bull","Bear"),IF(RAND()&lt;Assumptions!$B$10,"Bear","Bull"))</f>
        <v>Bull</v>
      </c>
      <c r="G412" s="0" t="str">
        <f aca="true">IF(F412="Bull",IF(RAND()&lt;Assumptions!$B$7,"Bull","Bear"),IF(RAND()&lt;Assumptions!$B$10,"Bear","Bull"))</f>
        <v>Bull</v>
      </c>
      <c r="H412" s="8" t="n">
        <f aca="true">IF(B412="Bull",NORMINV(RAND(),Assumptions!$B$5,Assumptions!$B$6),NORMINV(RAND(),Assumptions!$B$8,Assumptions!$B$9))</f>
        <v>0.146802958638726</v>
      </c>
      <c r="I412" s="8" t="n">
        <f aca="true">IF(C412="Bull",NORMINV(RAND(),Assumptions!$B$5,Assumptions!$B$6),NORMINV(RAND(),Assumptions!$B$8,Assumptions!$B$9))</f>
        <v>0.189377381518294</v>
      </c>
      <c r="J412" s="8" t="n">
        <f aca="true">IF(D412="Bull",NORMINV(RAND(),Assumptions!$B$5,Assumptions!$B$6),NORMINV(RAND(),Assumptions!$B$8,Assumptions!$B$9))</f>
        <v>0.261454446914927</v>
      </c>
      <c r="K412" s="8" t="n">
        <f aca="true">IF(E412="Bull",NORMINV(RAND(),Assumptions!$B$5,Assumptions!$B$6),NORMINV(RAND(),Assumptions!$B$8,Assumptions!$B$9))</f>
        <v>0.210797922684355</v>
      </c>
      <c r="L412" s="8" t="n">
        <f aca="true">IF(F412="Bull",NORMINV(RAND(),Assumptions!$B$5,Assumptions!$B$6),NORMINV(RAND(),Assumptions!$B$8,Assumptions!$B$9))</f>
        <v>0.141119017445266</v>
      </c>
      <c r="M412" s="8" t="n">
        <f aca="true">IF(G412="Bull",NORMINV(RAND(),Assumptions!$B$5,Assumptions!$B$6),NORMINV(RAND(),Assumptions!$B$8,Assumptions!$B$9))</f>
        <v>0.206748765388643</v>
      </c>
      <c r="N412" s="8" t="n">
        <f aca="true">NORMINV(RAND(),Assumptions!$B$14,Assumptions!$B$15)</f>
        <v>0.00547019041008853</v>
      </c>
      <c r="O412" s="8" t="n">
        <f aca="true">NORMINV(RAND(),Assumptions!$B$14,Assumptions!$B$15)</f>
        <v>0.0679622335278273</v>
      </c>
      <c r="P412" s="8" t="n">
        <f aca="true">NORMINV(RAND(),Assumptions!$B$14,Assumptions!$B$15)</f>
        <v>0.0744070770755956</v>
      </c>
      <c r="Q412" s="8" t="n">
        <f aca="true">NORMINV(RAND(),Assumptions!$B$14,Assumptions!$B$15)</f>
        <v>0.0604037727852544</v>
      </c>
      <c r="R412" s="8" t="n">
        <f aca="true">NORMINV(RAND(),Assumptions!$B$14,Assumptions!$B$15)</f>
        <v>0.0653581209288056</v>
      </c>
      <c r="S412" s="8" t="n">
        <f aca="true">NORMINV(RAND(),Assumptions!$B$14,Assumptions!$B$15)</f>
        <v>0.0933519515830203</v>
      </c>
      <c r="T412" s="8" t="n">
        <f aca="false">Assumptions!$B$19*H412+(1-Assumptions!$B$19)*N412</f>
        <v>0.146802958638726</v>
      </c>
      <c r="U412" s="8" t="n">
        <f aca="false">Assumptions!$B$20*I412+(1-Assumptions!$B$20)*O412</f>
        <v>0.189377381518294</v>
      </c>
      <c r="V412" s="8" t="n">
        <f aca="false">Assumptions!$B$21*J412+(1-Assumptions!$B$21)*P412</f>
        <v>0.261454446914927</v>
      </c>
      <c r="W412" s="8" t="n">
        <f aca="false">Assumptions!$B$22*K412+(1-Assumptions!$B$22)*Q412</f>
        <v>0.210797922684355</v>
      </c>
      <c r="X412" s="8" t="n">
        <f aca="false">Assumptions!$B$23*L412+(1-Assumptions!$B$23)*R412</f>
        <v>0.125966838141974</v>
      </c>
      <c r="Y412" s="8" t="n">
        <f aca="false">Assumptions!$B$24*M412+(1-Assumptions!$B$24)*S412</f>
        <v>0.161390039866394</v>
      </c>
      <c r="Z412" s="6" t="n">
        <f aca="false">Assumptions!$B$27*(1+T412)</f>
        <v>344040.887591618</v>
      </c>
      <c r="AA412" s="6" t="n">
        <f aca="false">(Z412+Assumptions!$B$28)*(1+U412)</f>
        <v>587601.057246692</v>
      </c>
      <c r="AB412" s="6" t="n">
        <f aca="false">AA412*(1+V412)</f>
        <v>741231.966675753</v>
      </c>
      <c r="AC412" s="6" t="n">
        <f aca="false">AB412*(1+W412)</f>
        <v>897482.125478241</v>
      </c>
      <c r="AD412" s="6" t="n">
        <f aca="false">AC412*(1+X412)</f>
        <v>1010535.11111367</v>
      </c>
      <c r="AE412" s="6" t="n">
        <f aca="false">AD412*(1+Y412)</f>
        <v>1173625.4129827</v>
      </c>
      <c r="AF412" s="6" t="n">
        <f aca="false">Z412</f>
        <v>344040.887591618</v>
      </c>
      <c r="AG412" s="6" t="n">
        <f aca="false">MAX(AF412,AA412)</f>
        <v>587601.057246692</v>
      </c>
      <c r="AH412" s="6" t="n">
        <f aca="false">MAX(AG412,AB412)</f>
        <v>741231.966675753</v>
      </c>
      <c r="AI412" s="6" t="n">
        <f aca="false">MAX(AH412,AC412)</f>
        <v>897482.125478241</v>
      </c>
      <c r="AJ412" s="6" t="n">
        <f aca="false">MAX(AI412,AD412)</f>
        <v>1010535.11111367</v>
      </c>
      <c r="AK412" s="6" t="n">
        <f aca="false">MAX(AJ412,AE412)</f>
        <v>1173625.4129827</v>
      </c>
      <c r="AL412" s="8" t="n">
        <f aca="false">MIN(Z412/AF412-1,AA412/AG412-1,AB412/AH412-1,AC412/AI412-1,AD412/AJ412-1,AE412/AK412-1)</f>
        <v>0</v>
      </c>
      <c r="AM412" s="6" t="n">
        <f aca="false">AE412-Assumptions!$B$35</f>
        <v>732361.416320196</v>
      </c>
    </row>
    <row r="413" customFormat="false" ht="15" hidden="false" customHeight="false" outlineLevel="0" collapsed="false">
      <c r="A413" s="0" t="n">
        <f aca="false">ROW()-1</f>
        <v>412</v>
      </c>
      <c r="B413" s="0" t="str">
        <f aca="true">IF(RAND()&lt;Assumptions!$B$11,"Bull","Bear")</f>
        <v>Bull</v>
      </c>
      <c r="C413" s="0" t="str">
        <f aca="true">IF(B413="Bull",IF(RAND()&lt;Assumptions!$B$7,"Bull","Bear"),IF(RAND()&lt;Assumptions!$B$10,"Bear","Bull"))</f>
        <v>Bull</v>
      </c>
      <c r="D413" s="0" t="str">
        <f aca="true">IF(C413="Bull",IF(RAND()&lt;Assumptions!$B$7,"Bull","Bear"),IF(RAND()&lt;Assumptions!$B$10,"Bear","Bull"))</f>
        <v>Bull</v>
      </c>
      <c r="E413" s="0" t="str">
        <f aca="true">IF(D413="Bull",IF(RAND()&lt;Assumptions!$B$7,"Bull","Bear"),IF(RAND()&lt;Assumptions!$B$10,"Bear","Bull"))</f>
        <v>Bull</v>
      </c>
      <c r="F413" s="0" t="str">
        <f aca="true">IF(E413="Bull",IF(RAND()&lt;Assumptions!$B$7,"Bull","Bear"),IF(RAND()&lt;Assumptions!$B$10,"Bear","Bull"))</f>
        <v>Bull</v>
      </c>
      <c r="G413" s="0" t="str">
        <f aca="true">IF(F413="Bull",IF(RAND()&lt;Assumptions!$B$7,"Bull","Bear"),IF(RAND()&lt;Assumptions!$B$10,"Bear","Bull"))</f>
        <v>Bear</v>
      </c>
      <c r="H413" s="8" t="n">
        <f aca="true">IF(B413="Bull",NORMINV(RAND(),Assumptions!$B$5,Assumptions!$B$6),NORMINV(RAND(),Assumptions!$B$8,Assumptions!$B$9))</f>
        <v>0.118794579685221</v>
      </c>
      <c r="I413" s="8" t="n">
        <f aca="true">IF(C413="Bull",NORMINV(RAND(),Assumptions!$B$5,Assumptions!$B$6),NORMINV(RAND(),Assumptions!$B$8,Assumptions!$B$9))</f>
        <v>0.35730537600742</v>
      </c>
      <c r="J413" s="8" t="n">
        <f aca="true">IF(D413="Bull",NORMINV(RAND(),Assumptions!$B$5,Assumptions!$B$6),NORMINV(RAND(),Assumptions!$B$8,Assumptions!$B$9))</f>
        <v>-0.143901959889723</v>
      </c>
      <c r="K413" s="8" t="n">
        <f aca="true">IF(E413="Bull",NORMINV(RAND(),Assumptions!$B$5,Assumptions!$B$6),NORMINV(RAND(),Assumptions!$B$8,Assumptions!$B$9))</f>
        <v>0.0219047205948024</v>
      </c>
      <c r="L413" s="8" t="n">
        <f aca="true">IF(F413="Bull",NORMINV(RAND(),Assumptions!$B$5,Assumptions!$B$6),NORMINV(RAND(),Assumptions!$B$8,Assumptions!$B$9))</f>
        <v>0.194106339629407</v>
      </c>
      <c r="M413" s="8" t="n">
        <f aca="true">IF(G413="Bull",NORMINV(RAND(),Assumptions!$B$5,Assumptions!$B$6),NORMINV(RAND(),Assumptions!$B$8,Assumptions!$B$9))</f>
        <v>-0.236535363708822</v>
      </c>
      <c r="N413" s="8" t="n">
        <f aca="true">NORMINV(RAND(),Assumptions!$B$14,Assumptions!$B$15)</f>
        <v>0.02761942578944</v>
      </c>
      <c r="O413" s="8" t="n">
        <f aca="true">NORMINV(RAND(),Assumptions!$B$14,Assumptions!$B$15)</f>
        <v>0.019481623649301</v>
      </c>
      <c r="P413" s="8" t="n">
        <f aca="true">NORMINV(RAND(),Assumptions!$B$14,Assumptions!$B$15)</f>
        <v>0.0367415617177174</v>
      </c>
      <c r="Q413" s="8" t="n">
        <f aca="true">NORMINV(RAND(),Assumptions!$B$14,Assumptions!$B$15)</f>
        <v>0.00580432771339708</v>
      </c>
      <c r="R413" s="8" t="n">
        <f aca="true">NORMINV(RAND(),Assumptions!$B$14,Assumptions!$B$15)</f>
        <v>0.0602273205985393</v>
      </c>
      <c r="S413" s="8" t="n">
        <f aca="true">NORMINV(RAND(),Assumptions!$B$14,Assumptions!$B$15)</f>
        <v>0.0513252567877412</v>
      </c>
      <c r="T413" s="8" t="n">
        <f aca="false">Assumptions!$B$19*H413+(1-Assumptions!$B$19)*N413</f>
        <v>0.118794579685221</v>
      </c>
      <c r="U413" s="8" t="n">
        <f aca="false">Assumptions!$B$20*I413+(1-Assumptions!$B$20)*O413</f>
        <v>0.35730537600742</v>
      </c>
      <c r="V413" s="8" t="n">
        <f aca="false">Assumptions!$B$21*J413+(1-Assumptions!$B$21)*P413</f>
        <v>-0.143901959889723</v>
      </c>
      <c r="W413" s="8" t="n">
        <f aca="false">Assumptions!$B$22*K413+(1-Assumptions!$B$22)*Q413</f>
        <v>0.0219047205948024</v>
      </c>
      <c r="X413" s="8" t="n">
        <f aca="false">Assumptions!$B$23*L413+(1-Assumptions!$B$23)*R413</f>
        <v>0.167330535823233</v>
      </c>
      <c r="Y413" s="8" t="n">
        <f aca="false">Assumptions!$B$24*M413+(1-Assumptions!$B$24)*S413</f>
        <v>-0.121391115510197</v>
      </c>
      <c r="Z413" s="6" t="n">
        <f aca="false">Assumptions!$B$27*(1+T413)</f>
        <v>335638.373905566</v>
      </c>
      <c r="AA413" s="6" t="n">
        <f aca="false">(Z413+Assumptions!$B$28)*(1+U413)</f>
        <v>659159.575697527</v>
      </c>
      <c r="AB413" s="6" t="n">
        <f aca="false">AA413*(1+V413)</f>
        <v>564305.220874575</v>
      </c>
      <c r="AC413" s="6" t="n">
        <f aca="false">AB413*(1+W413)</f>
        <v>576666.16906802</v>
      </c>
      <c r="AD413" s="6" t="n">
        <f aca="false">AC413*(1+X413)</f>
        <v>673160.028129303</v>
      </c>
      <c r="AE413" s="6" t="n">
        <f aca="false">AD413*(1+Y413)</f>
        <v>591444.381397812</v>
      </c>
      <c r="AF413" s="6" t="n">
        <f aca="false">Z413</f>
        <v>335638.373905566</v>
      </c>
      <c r="AG413" s="6" t="n">
        <f aca="false">MAX(AF413,AA413)</f>
        <v>659159.575697527</v>
      </c>
      <c r="AH413" s="6" t="n">
        <f aca="false">MAX(AG413,AB413)</f>
        <v>659159.575697527</v>
      </c>
      <c r="AI413" s="6" t="n">
        <f aca="false">MAX(AH413,AC413)</f>
        <v>659159.575697527</v>
      </c>
      <c r="AJ413" s="6" t="n">
        <f aca="false">MAX(AI413,AD413)</f>
        <v>673160.028129303</v>
      </c>
      <c r="AK413" s="6" t="n">
        <f aca="false">MAX(AJ413,AE413)</f>
        <v>673160.028129303</v>
      </c>
      <c r="AL413" s="8" t="n">
        <f aca="false">MIN(Z413/AF413-1,AA413/AG413-1,AB413/AH413-1,AC413/AI413-1,AD413/AJ413-1,AE413/AK413-1)</f>
        <v>-0.143901959889723</v>
      </c>
      <c r="AM413" s="6" t="n">
        <f aca="false">AE413-Assumptions!$B$35</f>
        <v>150180.384735308</v>
      </c>
    </row>
    <row r="414" customFormat="false" ht="15" hidden="false" customHeight="false" outlineLevel="0" collapsed="false">
      <c r="A414" s="0" t="n">
        <f aca="false">ROW()-1</f>
        <v>413</v>
      </c>
      <c r="B414" s="0" t="str">
        <f aca="true">IF(RAND()&lt;Assumptions!$B$11,"Bull","Bear")</f>
        <v>Bull</v>
      </c>
      <c r="C414" s="0" t="str">
        <f aca="true">IF(B414="Bull",IF(RAND()&lt;Assumptions!$B$7,"Bull","Bear"),IF(RAND()&lt;Assumptions!$B$10,"Bear","Bull"))</f>
        <v>Bull</v>
      </c>
      <c r="D414" s="0" t="str">
        <f aca="true">IF(C414="Bull",IF(RAND()&lt;Assumptions!$B$7,"Bull","Bear"),IF(RAND()&lt;Assumptions!$B$10,"Bear","Bull"))</f>
        <v>Bull</v>
      </c>
      <c r="E414" s="0" t="str">
        <f aca="true">IF(D414="Bull",IF(RAND()&lt;Assumptions!$B$7,"Bull","Bear"),IF(RAND()&lt;Assumptions!$B$10,"Bear","Bull"))</f>
        <v>Bull</v>
      </c>
      <c r="F414" s="0" t="str">
        <f aca="true">IF(E414="Bull",IF(RAND()&lt;Assumptions!$B$7,"Bull","Bear"),IF(RAND()&lt;Assumptions!$B$10,"Bear","Bull"))</f>
        <v>Bull</v>
      </c>
      <c r="G414" s="0" t="str">
        <f aca="true">IF(F414="Bull",IF(RAND()&lt;Assumptions!$B$7,"Bull","Bear"),IF(RAND()&lt;Assumptions!$B$10,"Bear","Bull"))</f>
        <v>Bull</v>
      </c>
      <c r="H414" s="8" t="n">
        <f aca="true">IF(B414="Bull",NORMINV(RAND(),Assumptions!$B$5,Assumptions!$B$6),NORMINV(RAND(),Assumptions!$B$8,Assumptions!$B$9))</f>
        <v>0.32157233032389</v>
      </c>
      <c r="I414" s="8" t="n">
        <f aca="true">IF(C414="Bull",NORMINV(RAND(),Assumptions!$B$5,Assumptions!$B$6),NORMINV(RAND(),Assumptions!$B$8,Assumptions!$B$9))</f>
        <v>0.0040012177248254</v>
      </c>
      <c r="J414" s="8" t="n">
        <f aca="true">IF(D414="Bull",NORMINV(RAND(),Assumptions!$B$5,Assumptions!$B$6),NORMINV(RAND(),Assumptions!$B$8,Assumptions!$B$9))</f>
        <v>0.106392151140307</v>
      </c>
      <c r="K414" s="8" t="n">
        <f aca="true">IF(E414="Bull",NORMINV(RAND(),Assumptions!$B$5,Assumptions!$B$6),NORMINV(RAND(),Assumptions!$B$8,Assumptions!$B$9))</f>
        <v>0.147127903675155</v>
      </c>
      <c r="L414" s="8" t="n">
        <f aca="true">IF(F414="Bull",NORMINV(RAND(),Assumptions!$B$5,Assumptions!$B$6),NORMINV(RAND(),Assumptions!$B$8,Assumptions!$B$9))</f>
        <v>0.101783038601253</v>
      </c>
      <c r="M414" s="8" t="n">
        <f aca="true">IF(G414="Bull",NORMINV(RAND(),Assumptions!$B$5,Assumptions!$B$6),NORMINV(RAND(),Assumptions!$B$8,Assumptions!$B$9))</f>
        <v>0.22689018680065</v>
      </c>
      <c r="N414" s="8" t="n">
        <f aca="true">NORMINV(RAND(),Assumptions!$B$14,Assumptions!$B$15)</f>
        <v>0.00572747576720338</v>
      </c>
      <c r="O414" s="8" t="n">
        <f aca="true">NORMINV(RAND(),Assumptions!$B$14,Assumptions!$B$15)</f>
        <v>0.0343681370858404</v>
      </c>
      <c r="P414" s="8" t="n">
        <f aca="true">NORMINV(RAND(),Assumptions!$B$14,Assumptions!$B$15)</f>
        <v>0.0753855813169271</v>
      </c>
      <c r="Q414" s="8" t="n">
        <f aca="true">NORMINV(RAND(),Assumptions!$B$14,Assumptions!$B$15)</f>
        <v>0.0365062198675769</v>
      </c>
      <c r="R414" s="8" t="n">
        <f aca="true">NORMINV(RAND(),Assumptions!$B$14,Assumptions!$B$15)</f>
        <v>0.0514474699563034</v>
      </c>
      <c r="S414" s="8" t="n">
        <f aca="true">NORMINV(RAND(),Assumptions!$B$14,Assumptions!$B$15)</f>
        <v>0.0761786408129659</v>
      </c>
      <c r="T414" s="8" t="n">
        <f aca="false">Assumptions!$B$19*H414+(1-Assumptions!$B$19)*N414</f>
        <v>0.32157233032389</v>
      </c>
      <c r="U414" s="8" t="n">
        <f aca="false">Assumptions!$B$20*I414+(1-Assumptions!$B$20)*O414</f>
        <v>0.0040012177248254</v>
      </c>
      <c r="V414" s="8" t="n">
        <f aca="false">Assumptions!$B$21*J414+(1-Assumptions!$B$21)*P414</f>
        <v>0.106392151140307</v>
      </c>
      <c r="W414" s="8" t="n">
        <f aca="false">Assumptions!$B$22*K414+(1-Assumptions!$B$22)*Q414</f>
        <v>0.147127903675155</v>
      </c>
      <c r="X414" s="8" t="n">
        <f aca="false">Assumptions!$B$23*L414+(1-Assumptions!$B$23)*R414</f>
        <v>0.0917159248722627</v>
      </c>
      <c r="Y414" s="8" t="n">
        <f aca="false">Assumptions!$B$24*M414+(1-Assumptions!$B$24)*S414</f>
        <v>0.166605568405576</v>
      </c>
      <c r="Z414" s="6" t="n">
        <f aca="false">Assumptions!$B$27*(1+T414)</f>
        <v>396471.699097167</v>
      </c>
      <c r="AA414" s="6" t="n">
        <f aca="false">(Z414+Assumptions!$B$28)*(1+U414)</f>
        <v>548658.25134571</v>
      </c>
      <c r="AB414" s="6" t="n">
        <f aca="false">AA414*(1+V414)</f>
        <v>607031.182947259</v>
      </c>
      <c r="AC414" s="6" t="n">
        <f aca="false">AB414*(1+W414)</f>
        <v>696342.408359739</v>
      </c>
      <c r="AD414" s="6" t="n">
        <f aca="false">AC414*(1+X414)</f>
        <v>760208.096370232</v>
      </c>
      <c r="AE414" s="6" t="n">
        <f aca="false">AD414*(1+Y414)</f>
        <v>886862.998372515</v>
      </c>
      <c r="AF414" s="6" t="n">
        <f aca="false">Z414</f>
        <v>396471.699097167</v>
      </c>
      <c r="AG414" s="6" t="n">
        <f aca="false">MAX(AF414,AA414)</f>
        <v>548658.25134571</v>
      </c>
      <c r="AH414" s="6" t="n">
        <f aca="false">MAX(AG414,AB414)</f>
        <v>607031.182947259</v>
      </c>
      <c r="AI414" s="6" t="n">
        <f aca="false">MAX(AH414,AC414)</f>
        <v>696342.408359739</v>
      </c>
      <c r="AJ414" s="6" t="n">
        <f aca="false">MAX(AI414,AD414)</f>
        <v>760208.096370232</v>
      </c>
      <c r="AK414" s="6" t="n">
        <f aca="false">MAX(AJ414,AE414)</f>
        <v>886862.998372515</v>
      </c>
      <c r="AL414" s="8" t="n">
        <f aca="false">MIN(Z414/AF414-1,AA414/AG414-1,AB414/AH414-1,AC414/AI414-1,AD414/AJ414-1,AE414/AK414-1)</f>
        <v>0</v>
      </c>
      <c r="AM414" s="6" t="n">
        <f aca="false">AE414-Assumptions!$B$35</f>
        <v>445599.001710011</v>
      </c>
    </row>
    <row r="415" customFormat="false" ht="15" hidden="false" customHeight="false" outlineLevel="0" collapsed="false">
      <c r="A415" s="0" t="n">
        <f aca="false">ROW()-1</f>
        <v>414</v>
      </c>
      <c r="B415" s="0" t="str">
        <f aca="true">IF(RAND()&lt;Assumptions!$B$11,"Bull","Bear")</f>
        <v>Bull</v>
      </c>
      <c r="C415" s="0" t="str">
        <f aca="true">IF(B415="Bull",IF(RAND()&lt;Assumptions!$B$7,"Bull","Bear"),IF(RAND()&lt;Assumptions!$B$10,"Bear","Bull"))</f>
        <v>Bull</v>
      </c>
      <c r="D415" s="0" t="str">
        <f aca="true">IF(C415="Bull",IF(RAND()&lt;Assumptions!$B$7,"Bull","Bear"),IF(RAND()&lt;Assumptions!$B$10,"Bear","Bull"))</f>
        <v>Bull</v>
      </c>
      <c r="E415" s="0" t="str">
        <f aca="true">IF(D415="Bull",IF(RAND()&lt;Assumptions!$B$7,"Bull","Bear"),IF(RAND()&lt;Assumptions!$B$10,"Bear","Bull"))</f>
        <v>Bull</v>
      </c>
      <c r="F415" s="0" t="str">
        <f aca="true">IF(E415="Bull",IF(RAND()&lt;Assumptions!$B$7,"Bull","Bear"),IF(RAND()&lt;Assumptions!$B$10,"Bear","Bull"))</f>
        <v>Bull</v>
      </c>
      <c r="G415" s="0" t="str">
        <f aca="true">IF(F415="Bull",IF(RAND()&lt;Assumptions!$B$7,"Bull","Bear"),IF(RAND()&lt;Assumptions!$B$10,"Bear","Bull"))</f>
        <v>Bear</v>
      </c>
      <c r="H415" s="8" t="n">
        <f aca="true">IF(B415="Bull",NORMINV(RAND(),Assumptions!$B$5,Assumptions!$B$6),NORMINV(RAND(),Assumptions!$B$8,Assumptions!$B$9))</f>
        <v>0.2119506790844</v>
      </c>
      <c r="I415" s="8" t="n">
        <f aca="true">IF(C415="Bull",NORMINV(RAND(),Assumptions!$B$5,Assumptions!$B$6),NORMINV(RAND(),Assumptions!$B$8,Assumptions!$B$9))</f>
        <v>0.101817838150687</v>
      </c>
      <c r="J415" s="8" t="n">
        <f aca="true">IF(D415="Bull",NORMINV(RAND(),Assumptions!$B$5,Assumptions!$B$6),NORMINV(RAND(),Assumptions!$B$8,Assumptions!$B$9))</f>
        <v>0.141155257143249</v>
      </c>
      <c r="K415" s="8" t="n">
        <f aca="true">IF(E415="Bull",NORMINV(RAND(),Assumptions!$B$5,Assumptions!$B$6),NORMINV(RAND(),Assumptions!$B$8,Assumptions!$B$9))</f>
        <v>0.300384072979433</v>
      </c>
      <c r="L415" s="8" t="n">
        <f aca="true">IF(F415="Bull",NORMINV(RAND(),Assumptions!$B$5,Assumptions!$B$6),NORMINV(RAND(),Assumptions!$B$8,Assumptions!$B$9))</f>
        <v>0.100726501948404</v>
      </c>
      <c r="M415" s="8" t="n">
        <f aca="true">IF(G415="Bull",NORMINV(RAND(),Assumptions!$B$5,Assumptions!$B$6),NORMINV(RAND(),Assumptions!$B$8,Assumptions!$B$9))</f>
        <v>-0.0284283508325508</v>
      </c>
      <c r="N415" s="8" t="n">
        <f aca="true">NORMINV(RAND(),Assumptions!$B$14,Assumptions!$B$15)</f>
        <v>0.0708460702989338</v>
      </c>
      <c r="O415" s="8" t="n">
        <f aca="true">NORMINV(RAND(),Assumptions!$B$14,Assumptions!$B$15)</f>
        <v>0.0346936218617813</v>
      </c>
      <c r="P415" s="8" t="n">
        <f aca="true">NORMINV(RAND(),Assumptions!$B$14,Assumptions!$B$15)</f>
        <v>0.0229458592336329</v>
      </c>
      <c r="Q415" s="8" t="n">
        <f aca="true">NORMINV(RAND(),Assumptions!$B$14,Assumptions!$B$15)</f>
        <v>0.0539605055348172</v>
      </c>
      <c r="R415" s="8" t="n">
        <f aca="true">NORMINV(RAND(),Assumptions!$B$14,Assumptions!$B$15)</f>
        <v>0.0779172534736785</v>
      </c>
      <c r="S415" s="8" t="n">
        <f aca="true">NORMINV(RAND(),Assumptions!$B$14,Assumptions!$B$15)</f>
        <v>0.032590848079977</v>
      </c>
      <c r="T415" s="8" t="n">
        <f aca="false">Assumptions!$B$19*H415+(1-Assumptions!$B$19)*N415</f>
        <v>0.2119506790844</v>
      </c>
      <c r="U415" s="8" t="n">
        <f aca="false">Assumptions!$B$20*I415+(1-Assumptions!$B$20)*O415</f>
        <v>0.101817838150687</v>
      </c>
      <c r="V415" s="8" t="n">
        <f aca="false">Assumptions!$B$21*J415+(1-Assumptions!$B$21)*P415</f>
        <v>0.141155257143249</v>
      </c>
      <c r="W415" s="8" t="n">
        <f aca="false">Assumptions!$B$22*K415+(1-Assumptions!$B$22)*Q415</f>
        <v>0.300384072979433</v>
      </c>
      <c r="X415" s="8" t="n">
        <f aca="false">Assumptions!$B$23*L415+(1-Assumptions!$B$23)*R415</f>
        <v>0.096164652253459</v>
      </c>
      <c r="Y415" s="8" t="n">
        <f aca="false">Assumptions!$B$24*M415+(1-Assumptions!$B$24)*S415</f>
        <v>-0.00402067126753967</v>
      </c>
      <c r="Z415" s="6" t="n">
        <f aca="false">Assumptions!$B$27*(1+T415)</f>
        <v>363585.20372532</v>
      </c>
      <c r="AA415" s="6" t="n">
        <f aca="false">(Z415+Assumptions!$B$28)*(1+U415)</f>
        <v>565877.338874813</v>
      </c>
      <c r="AB415" s="6" t="n">
        <f aca="false">AA415*(1+V415)</f>
        <v>645753.900155224</v>
      </c>
      <c r="AC415" s="6" t="n">
        <f aca="false">AB415*(1+W415)</f>
        <v>839728.086826204</v>
      </c>
      <c r="AD415" s="6" t="n">
        <f aca="false">AC415*(1+X415)</f>
        <v>920480.246283309</v>
      </c>
      <c r="AE415" s="6" t="n">
        <f aca="false">AD415*(1+Y415)</f>
        <v>916779.297804739</v>
      </c>
      <c r="AF415" s="6" t="n">
        <f aca="false">Z415</f>
        <v>363585.20372532</v>
      </c>
      <c r="AG415" s="6" t="n">
        <f aca="false">MAX(AF415,AA415)</f>
        <v>565877.338874813</v>
      </c>
      <c r="AH415" s="6" t="n">
        <f aca="false">MAX(AG415,AB415)</f>
        <v>645753.900155224</v>
      </c>
      <c r="AI415" s="6" t="n">
        <f aca="false">MAX(AH415,AC415)</f>
        <v>839728.086826204</v>
      </c>
      <c r="AJ415" s="6" t="n">
        <f aca="false">MAX(AI415,AD415)</f>
        <v>920480.246283309</v>
      </c>
      <c r="AK415" s="6" t="n">
        <f aca="false">MAX(AJ415,AE415)</f>
        <v>920480.246283309</v>
      </c>
      <c r="AL415" s="8" t="n">
        <f aca="false">MIN(Z415/AF415-1,AA415/AG415-1,AB415/AH415-1,AC415/AI415-1,AD415/AJ415-1,AE415/AK415-1)</f>
        <v>-0.00402067126753969</v>
      </c>
      <c r="AM415" s="6" t="n">
        <f aca="false">AE415-Assumptions!$B$35</f>
        <v>475515.301142236</v>
      </c>
    </row>
    <row r="416" customFormat="false" ht="15" hidden="false" customHeight="false" outlineLevel="0" collapsed="false">
      <c r="A416" s="0" t="n">
        <f aca="false">ROW()-1</f>
        <v>415</v>
      </c>
      <c r="B416" s="0" t="str">
        <f aca="true">IF(RAND()&lt;Assumptions!$B$11,"Bull","Bear")</f>
        <v>Bear</v>
      </c>
      <c r="C416" s="0" t="str">
        <f aca="true">IF(B416="Bull",IF(RAND()&lt;Assumptions!$B$7,"Bull","Bear"),IF(RAND()&lt;Assumptions!$B$10,"Bear","Bull"))</f>
        <v>Bull</v>
      </c>
      <c r="D416" s="0" t="str">
        <f aca="true">IF(C416="Bull",IF(RAND()&lt;Assumptions!$B$7,"Bull","Bear"),IF(RAND()&lt;Assumptions!$B$10,"Bear","Bull"))</f>
        <v>Bull</v>
      </c>
      <c r="E416" s="0" t="str">
        <f aca="true">IF(D416="Bull",IF(RAND()&lt;Assumptions!$B$7,"Bull","Bear"),IF(RAND()&lt;Assumptions!$B$10,"Bear","Bull"))</f>
        <v>Bull</v>
      </c>
      <c r="F416" s="0" t="str">
        <f aca="true">IF(E416="Bull",IF(RAND()&lt;Assumptions!$B$7,"Bull","Bear"),IF(RAND()&lt;Assumptions!$B$10,"Bear","Bull"))</f>
        <v>Bull</v>
      </c>
      <c r="G416" s="0" t="str">
        <f aca="true">IF(F416="Bull",IF(RAND()&lt;Assumptions!$B$7,"Bull","Bear"),IF(RAND()&lt;Assumptions!$B$10,"Bear","Bull"))</f>
        <v>Bull</v>
      </c>
      <c r="H416" s="8" t="n">
        <f aca="true">IF(B416="Bull",NORMINV(RAND(),Assumptions!$B$5,Assumptions!$B$6),NORMINV(RAND(),Assumptions!$B$8,Assumptions!$B$9))</f>
        <v>-0.192702001106153</v>
      </c>
      <c r="I416" s="8" t="n">
        <f aca="true">IF(C416="Bull",NORMINV(RAND(),Assumptions!$B$5,Assumptions!$B$6),NORMINV(RAND(),Assumptions!$B$8,Assumptions!$B$9))</f>
        <v>0.337930048384383</v>
      </c>
      <c r="J416" s="8" t="n">
        <f aca="true">IF(D416="Bull",NORMINV(RAND(),Assumptions!$B$5,Assumptions!$B$6),NORMINV(RAND(),Assumptions!$B$8,Assumptions!$B$9))</f>
        <v>0.21139602057175</v>
      </c>
      <c r="K416" s="8" t="n">
        <f aca="true">IF(E416="Bull",NORMINV(RAND(),Assumptions!$B$5,Assumptions!$B$6),NORMINV(RAND(),Assumptions!$B$8,Assumptions!$B$9))</f>
        <v>0.0161989943942865</v>
      </c>
      <c r="L416" s="8" t="n">
        <f aca="true">IF(F416="Bull",NORMINV(RAND(),Assumptions!$B$5,Assumptions!$B$6),NORMINV(RAND(),Assumptions!$B$8,Assumptions!$B$9))</f>
        <v>0.247952634359087</v>
      </c>
      <c r="M416" s="8" t="n">
        <f aca="true">IF(G416="Bull",NORMINV(RAND(),Assumptions!$B$5,Assumptions!$B$6),NORMINV(RAND(),Assumptions!$B$8,Assumptions!$B$9))</f>
        <v>0.172849345923427</v>
      </c>
      <c r="N416" s="8" t="n">
        <f aca="true">NORMINV(RAND(),Assumptions!$B$14,Assumptions!$B$15)</f>
        <v>0.0385520461137748</v>
      </c>
      <c r="O416" s="8" t="n">
        <f aca="true">NORMINV(RAND(),Assumptions!$B$14,Assumptions!$B$15)</f>
        <v>0.00809255058464919</v>
      </c>
      <c r="P416" s="8" t="n">
        <f aca="true">NORMINV(RAND(),Assumptions!$B$14,Assumptions!$B$15)</f>
        <v>0.000994022958365162</v>
      </c>
      <c r="Q416" s="8" t="n">
        <f aca="true">NORMINV(RAND(),Assumptions!$B$14,Assumptions!$B$15)</f>
        <v>0.103243443485378</v>
      </c>
      <c r="R416" s="8" t="n">
        <f aca="true">NORMINV(RAND(),Assumptions!$B$14,Assumptions!$B$15)</f>
        <v>-0.0158162866624101</v>
      </c>
      <c r="S416" s="8" t="n">
        <f aca="true">NORMINV(RAND(),Assumptions!$B$14,Assumptions!$B$15)</f>
        <v>0.0335809494068043</v>
      </c>
      <c r="T416" s="8" t="n">
        <f aca="false">Assumptions!$B$19*H416+(1-Assumptions!$B$19)*N416</f>
        <v>-0.192702001106153</v>
      </c>
      <c r="U416" s="8" t="n">
        <f aca="false">Assumptions!$B$20*I416+(1-Assumptions!$B$20)*O416</f>
        <v>0.337930048384383</v>
      </c>
      <c r="V416" s="8" t="n">
        <f aca="false">Assumptions!$B$21*J416+(1-Assumptions!$B$21)*P416</f>
        <v>0.21139602057175</v>
      </c>
      <c r="W416" s="8" t="n">
        <f aca="false">Assumptions!$B$22*K416+(1-Assumptions!$B$22)*Q416</f>
        <v>0.0161989943942865</v>
      </c>
      <c r="X416" s="8" t="n">
        <f aca="false">Assumptions!$B$23*L416+(1-Assumptions!$B$23)*R416</f>
        <v>0.195198850154788</v>
      </c>
      <c r="Y416" s="8" t="n">
        <f aca="false">Assumptions!$B$24*M416+(1-Assumptions!$B$24)*S416</f>
        <v>0.117141987316778</v>
      </c>
      <c r="Z416" s="6" t="n">
        <f aca="false">Assumptions!$B$27*(1+T416)</f>
        <v>242189.399668154</v>
      </c>
      <c r="AA416" s="6" t="n">
        <f aca="false">(Z416+Assumptions!$B$28)*(1+U416)</f>
        <v>524721.982473855</v>
      </c>
      <c r="AB416" s="6" t="n">
        <f aca="false">AA416*(1+V416)</f>
        <v>635646.121475348</v>
      </c>
      <c r="AC416" s="6" t="n">
        <f aca="false">AB416*(1+W416)</f>
        <v>645942.949433877</v>
      </c>
      <c r="AD416" s="6" t="n">
        <f aca="false">AC416*(1+X416)</f>
        <v>772030.270428962</v>
      </c>
      <c r="AE416" s="6" t="n">
        <f aca="false">AD416*(1+Y416)</f>
        <v>862467.43057572</v>
      </c>
      <c r="AF416" s="6" t="n">
        <f aca="false">Z416</f>
        <v>242189.399668154</v>
      </c>
      <c r="AG416" s="6" t="n">
        <f aca="false">MAX(AF416,AA416)</f>
        <v>524721.982473855</v>
      </c>
      <c r="AH416" s="6" t="n">
        <f aca="false">MAX(AG416,AB416)</f>
        <v>635646.121475348</v>
      </c>
      <c r="AI416" s="6" t="n">
        <f aca="false">MAX(AH416,AC416)</f>
        <v>645942.949433877</v>
      </c>
      <c r="AJ416" s="6" t="n">
        <f aca="false">MAX(AI416,AD416)</f>
        <v>772030.270428962</v>
      </c>
      <c r="AK416" s="6" t="n">
        <f aca="false">MAX(AJ416,AE416)</f>
        <v>862467.43057572</v>
      </c>
      <c r="AL416" s="8" t="n">
        <f aca="false">MIN(Z416/AF416-1,AA416/AG416-1,AB416/AH416-1,AC416/AI416-1,AD416/AJ416-1,AE416/AK416-1)</f>
        <v>0</v>
      </c>
      <c r="AM416" s="6" t="n">
        <f aca="false">AE416-Assumptions!$B$35</f>
        <v>421203.433913216</v>
      </c>
    </row>
    <row r="417" customFormat="false" ht="15" hidden="false" customHeight="false" outlineLevel="0" collapsed="false">
      <c r="A417" s="0" t="n">
        <f aca="false">ROW()-1</f>
        <v>416</v>
      </c>
      <c r="B417" s="0" t="str">
        <f aca="true">IF(RAND()&lt;Assumptions!$B$11,"Bull","Bear")</f>
        <v>Bull</v>
      </c>
      <c r="C417" s="0" t="str">
        <f aca="true">IF(B417="Bull",IF(RAND()&lt;Assumptions!$B$7,"Bull","Bear"),IF(RAND()&lt;Assumptions!$B$10,"Bear","Bull"))</f>
        <v>Bull</v>
      </c>
      <c r="D417" s="0" t="str">
        <f aca="true">IF(C417="Bull",IF(RAND()&lt;Assumptions!$B$7,"Bull","Bear"),IF(RAND()&lt;Assumptions!$B$10,"Bear","Bull"))</f>
        <v>Bull</v>
      </c>
      <c r="E417" s="0" t="str">
        <f aca="true">IF(D417="Bull",IF(RAND()&lt;Assumptions!$B$7,"Bull","Bear"),IF(RAND()&lt;Assumptions!$B$10,"Bear","Bull"))</f>
        <v>Bull</v>
      </c>
      <c r="F417" s="0" t="str">
        <f aca="true">IF(E417="Bull",IF(RAND()&lt;Assumptions!$B$7,"Bull","Bear"),IF(RAND()&lt;Assumptions!$B$10,"Bear","Bull"))</f>
        <v>Bull</v>
      </c>
      <c r="G417" s="0" t="str">
        <f aca="true">IF(F417="Bull",IF(RAND()&lt;Assumptions!$B$7,"Bull","Bear"),IF(RAND()&lt;Assumptions!$B$10,"Bear","Bull"))</f>
        <v>Bear</v>
      </c>
      <c r="H417" s="8" t="n">
        <f aca="true">IF(B417="Bull",NORMINV(RAND(),Assumptions!$B$5,Assumptions!$B$6),NORMINV(RAND(),Assumptions!$B$8,Assumptions!$B$9))</f>
        <v>0.111439248313053</v>
      </c>
      <c r="I417" s="8" t="n">
        <f aca="true">IF(C417="Bull",NORMINV(RAND(),Assumptions!$B$5,Assumptions!$B$6),NORMINV(RAND(),Assumptions!$B$8,Assumptions!$B$9))</f>
        <v>0.32485265043486</v>
      </c>
      <c r="J417" s="8" t="n">
        <f aca="true">IF(D417="Bull",NORMINV(RAND(),Assumptions!$B$5,Assumptions!$B$6),NORMINV(RAND(),Assumptions!$B$8,Assumptions!$B$9))</f>
        <v>0.374709576647236</v>
      </c>
      <c r="K417" s="8" t="n">
        <f aca="true">IF(E417="Bull",NORMINV(RAND(),Assumptions!$B$5,Assumptions!$B$6),NORMINV(RAND(),Assumptions!$B$8,Assumptions!$B$9))</f>
        <v>0.256865113750188</v>
      </c>
      <c r="L417" s="8" t="n">
        <f aca="true">IF(F417="Bull",NORMINV(RAND(),Assumptions!$B$5,Assumptions!$B$6),NORMINV(RAND(),Assumptions!$B$8,Assumptions!$B$9))</f>
        <v>0.00933579404120083</v>
      </c>
      <c r="M417" s="8" t="n">
        <f aca="true">IF(G417="Bull",NORMINV(RAND(),Assumptions!$B$5,Assumptions!$B$6),NORMINV(RAND(),Assumptions!$B$8,Assumptions!$B$9))</f>
        <v>-0.277809720667036</v>
      </c>
      <c r="N417" s="8" t="n">
        <f aca="true">NORMINV(RAND(),Assumptions!$B$14,Assumptions!$B$15)</f>
        <v>0.0458910663616581</v>
      </c>
      <c r="O417" s="8" t="n">
        <f aca="true">NORMINV(RAND(),Assumptions!$B$14,Assumptions!$B$15)</f>
        <v>0.0625643007980791</v>
      </c>
      <c r="P417" s="8" t="n">
        <f aca="true">NORMINV(RAND(),Assumptions!$B$14,Assumptions!$B$15)</f>
        <v>0.0301286405798799</v>
      </c>
      <c r="Q417" s="8" t="n">
        <f aca="true">NORMINV(RAND(),Assumptions!$B$14,Assumptions!$B$15)</f>
        <v>0.0939060801389074</v>
      </c>
      <c r="R417" s="8" t="n">
        <f aca="true">NORMINV(RAND(),Assumptions!$B$14,Assumptions!$B$15)</f>
        <v>0.101177447954206</v>
      </c>
      <c r="S417" s="8" t="n">
        <f aca="true">NORMINV(RAND(),Assumptions!$B$14,Assumptions!$B$15)</f>
        <v>0.0730054867891552</v>
      </c>
      <c r="T417" s="8" t="n">
        <f aca="false">Assumptions!$B$19*H417+(1-Assumptions!$B$19)*N417</f>
        <v>0.111439248313053</v>
      </c>
      <c r="U417" s="8" t="n">
        <f aca="false">Assumptions!$B$20*I417+(1-Assumptions!$B$20)*O417</f>
        <v>0.32485265043486</v>
      </c>
      <c r="V417" s="8" t="n">
        <f aca="false">Assumptions!$B$21*J417+(1-Assumptions!$B$21)*P417</f>
        <v>0.374709576647236</v>
      </c>
      <c r="W417" s="8" t="n">
        <f aca="false">Assumptions!$B$22*K417+(1-Assumptions!$B$22)*Q417</f>
        <v>0.256865113750188</v>
      </c>
      <c r="X417" s="8" t="n">
        <f aca="false">Assumptions!$B$23*L417+(1-Assumptions!$B$23)*R417</f>
        <v>0.0277041248238018</v>
      </c>
      <c r="Y417" s="8" t="n">
        <f aca="false">Assumptions!$B$24*M417+(1-Assumptions!$B$24)*S417</f>
        <v>-0.13748363768456</v>
      </c>
      <c r="Z417" s="6" t="n">
        <f aca="false">Assumptions!$B$27*(1+T417)</f>
        <v>333431.774493916</v>
      </c>
      <c r="AA417" s="6" t="n">
        <f aca="false">(Z417+Assumptions!$B$28)*(1+U417)</f>
        <v>640475.867742692</v>
      </c>
      <c r="AB417" s="6" t="n">
        <f aca="false">AA417*(1+V417)</f>
        <v>880468.308997328</v>
      </c>
      <c r="AC417" s="6" t="n">
        <f aca="false">AB417*(1+W417)</f>
        <v>1106629.90134136</v>
      </c>
      <c r="AD417" s="6" t="n">
        <f aca="false">AC417*(1+X417)</f>
        <v>1137288.11426187</v>
      </c>
      <c r="AE417" s="6" t="n">
        <f aca="false">AD417*(1+Y417)</f>
        <v>980929.607217738</v>
      </c>
      <c r="AF417" s="6" t="n">
        <f aca="false">Z417</f>
        <v>333431.774493916</v>
      </c>
      <c r="AG417" s="6" t="n">
        <f aca="false">MAX(AF417,AA417)</f>
        <v>640475.867742692</v>
      </c>
      <c r="AH417" s="6" t="n">
        <f aca="false">MAX(AG417,AB417)</f>
        <v>880468.308997328</v>
      </c>
      <c r="AI417" s="6" t="n">
        <f aca="false">MAX(AH417,AC417)</f>
        <v>1106629.90134136</v>
      </c>
      <c r="AJ417" s="6" t="n">
        <f aca="false">MAX(AI417,AD417)</f>
        <v>1137288.11426187</v>
      </c>
      <c r="AK417" s="6" t="n">
        <f aca="false">MAX(AJ417,AE417)</f>
        <v>1137288.11426187</v>
      </c>
      <c r="AL417" s="8" t="n">
        <f aca="false">MIN(Z417/AF417-1,AA417/AG417-1,AB417/AH417-1,AC417/AI417-1,AD417/AJ417-1,AE417/AK417-1)</f>
        <v>-0.13748363768456</v>
      </c>
      <c r="AM417" s="6" t="n">
        <f aca="false">AE417-Assumptions!$B$35</f>
        <v>539665.610555235</v>
      </c>
    </row>
    <row r="418" customFormat="false" ht="15" hidden="false" customHeight="false" outlineLevel="0" collapsed="false">
      <c r="A418" s="0" t="n">
        <f aca="false">ROW()-1</f>
        <v>417</v>
      </c>
      <c r="B418" s="0" t="str">
        <f aca="true">IF(RAND()&lt;Assumptions!$B$11,"Bull","Bear")</f>
        <v>Bull</v>
      </c>
      <c r="C418" s="0" t="str">
        <f aca="true">IF(B418="Bull",IF(RAND()&lt;Assumptions!$B$7,"Bull","Bear"),IF(RAND()&lt;Assumptions!$B$10,"Bear","Bull"))</f>
        <v>Bull</v>
      </c>
      <c r="D418" s="0" t="str">
        <f aca="true">IF(C418="Bull",IF(RAND()&lt;Assumptions!$B$7,"Bull","Bear"),IF(RAND()&lt;Assumptions!$B$10,"Bear","Bull"))</f>
        <v>Bull</v>
      </c>
      <c r="E418" s="0" t="str">
        <f aca="true">IF(D418="Bull",IF(RAND()&lt;Assumptions!$B$7,"Bull","Bear"),IF(RAND()&lt;Assumptions!$B$10,"Bear","Bull"))</f>
        <v>Bull</v>
      </c>
      <c r="F418" s="0" t="str">
        <f aca="true">IF(E418="Bull",IF(RAND()&lt;Assumptions!$B$7,"Bull","Bear"),IF(RAND()&lt;Assumptions!$B$10,"Bear","Bull"))</f>
        <v>Bear</v>
      </c>
      <c r="G418" s="0" t="str">
        <f aca="true">IF(F418="Bull",IF(RAND()&lt;Assumptions!$B$7,"Bull","Bear"),IF(RAND()&lt;Assumptions!$B$10,"Bear","Bull"))</f>
        <v>Bear</v>
      </c>
      <c r="H418" s="8" t="n">
        <f aca="true">IF(B418="Bull",NORMINV(RAND(),Assumptions!$B$5,Assumptions!$B$6),NORMINV(RAND(),Assumptions!$B$8,Assumptions!$B$9))</f>
        <v>0.215390872809476</v>
      </c>
      <c r="I418" s="8" t="n">
        <f aca="true">IF(C418="Bull",NORMINV(RAND(),Assumptions!$B$5,Assumptions!$B$6),NORMINV(RAND(),Assumptions!$B$8,Assumptions!$B$9))</f>
        <v>0.345636837792164</v>
      </c>
      <c r="J418" s="8" t="n">
        <f aca="true">IF(D418="Bull",NORMINV(RAND(),Assumptions!$B$5,Assumptions!$B$6),NORMINV(RAND(),Assumptions!$B$8,Assumptions!$B$9))</f>
        <v>0.221104957519012</v>
      </c>
      <c r="K418" s="8" t="n">
        <f aca="true">IF(E418="Bull",NORMINV(RAND(),Assumptions!$B$5,Assumptions!$B$6),NORMINV(RAND(),Assumptions!$B$8,Assumptions!$B$9))</f>
        <v>0.254161929080159</v>
      </c>
      <c r="L418" s="8" t="n">
        <f aca="true">IF(F418="Bull",NORMINV(RAND(),Assumptions!$B$5,Assumptions!$B$6),NORMINV(RAND(),Assumptions!$B$8,Assumptions!$B$9))</f>
        <v>-0.077175346186517</v>
      </c>
      <c r="M418" s="8" t="n">
        <f aca="true">IF(G418="Bull",NORMINV(RAND(),Assumptions!$B$5,Assumptions!$B$6),NORMINV(RAND(),Assumptions!$B$8,Assumptions!$B$9))</f>
        <v>-0.0758043911797185</v>
      </c>
      <c r="N418" s="8" t="n">
        <f aca="true">NORMINV(RAND(),Assumptions!$B$14,Assumptions!$B$15)</f>
        <v>0.00668897697209998</v>
      </c>
      <c r="O418" s="8" t="n">
        <f aca="true">NORMINV(RAND(),Assumptions!$B$14,Assumptions!$B$15)</f>
        <v>0.0443434185441847</v>
      </c>
      <c r="P418" s="8" t="n">
        <f aca="true">NORMINV(RAND(),Assumptions!$B$14,Assumptions!$B$15)</f>
        <v>0.0429312016680951</v>
      </c>
      <c r="Q418" s="8" t="n">
        <f aca="true">NORMINV(RAND(),Assumptions!$B$14,Assumptions!$B$15)</f>
        <v>0.0294558425244658</v>
      </c>
      <c r="R418" s="8" t="n">
        <f aca="true">NORMINV(RAND(),Assumptions!$B$14,Assumptions!$B$15)</f>
        <v>0.077918998470703</v>
      </c>
      <c r="S418" s="8" t="n">
        <f aca="true">NORMINV(RAND(),Assumptions!$B$14,Assumptions!$B$15)</f>
        <v>0.0671306249282787</v>
      </c>
      <c r="T418" s="8" t="n">
        <f aca="false">Assumptions!$B$19*H418+(1-Assumptions!$B$19)*N418</f>
        <v>0.215390872809476</v>
      </c>
      <c r="U418" s="8" t="n">
        <f aca="false">Assumptions!$B$20*I418+(1-Assumptions!$B$20)*O418</f>
        <v>0.345636837792164</v>
      </c>
      <c r="V418" s="8" t="n">
        <f aca="false">Assumptions!$B$21*J418+(1-Assumptions!$B$21)*P418</f>
        <v>0.221104957519012</v>
      </c>
      <c r="W418" s="8" t="n">
        <f aca="false">Assumptions!$B$22*K418+(1-Assumptions!$B$22)*Q418</f>
        <v>0.254161929080159</v>
      </c>
      <c r="X418" s="8" t="n">
        <f aca="false">Assumptions!$B$23*L418+(1-Assumptions!$B$23)*R418</f>
        <v>-0.046156477255073</v>
      </c>
      <c r="Y418" s="8" t="n">
        <f aca="false">Assumptions!$B$24*M418+(1-Assumptions!$B$24)*S418</f>
        <v>-0.0186303847365196</v>
      </c>
      <c r="Z418" s="6" t="n">
        <f aca="false">Assumptions!$B$27*(1+T418)</f>
        <v>364617.261842843</v>
      </c>
      <c r="AA418" s="6" t="n">
        <f aca="false">(Z418+Assumptions!$B$28)*(1+U418)</f>
        <v>692487.944899465</v>
      </c>
      <c r="AB418" s="6" t="n">
        <f aca="false">AA418*(1+V418)</f>
        <v>845600.462538889</v>
      </c>
      <c r="AC418" s="6" t="n">
        <f aca="false">AB418*(1+W418)</f>
        <v>1060519.90732885</v>
      </c>
      <c r="AD418" s="6" t="n">
        <f aca="false">AC418*(1+X418)</f>
        <v>1011570.04434767</v>
      </c>
      <c r="AE418" s="6" t="n">
        <f aca="false">AD418*(1+Y418)</f>
        <v>992724.105233537</v>
      </c>
      <c r="AF418" s="6" t="n">
        <f aca="false">Z418</f>
        <v>364617.261842843</v>
      </c>
      <c r="AG418" s="6" t="n">
        <f aca="false">MAX(AF418,AA418)</f>
        <v>692487.944899465</v>
      </c>
      <c r="AH418" s="6" t="n">
        <f aca="false">MAX(AG418,AB418)</f>
        <v>845600.462538889</v>
      </c>
      <c r="AI418" s="6" t="n">
        <f aca="false">MAX(AH418,AC418)</f>
        <v>1060519.90732885</v>
      </c>
      <c r="AJ418" s="6" t="n">
        <f aca="false">MAX(AI418,AD418)</f>
        <v>1060519.90732885</v>
      </c>
      <c r="AK418" s="6" t="n">
        <f aca="false">MAX(AJ418,AE418)</f>
        <v>1060519.90732885</v>
      </c>
      <c r="AL418" s="8" t="n">
        <f aca="false">MIN(Z418/AF418-1,AA418/AG418-1,AB418/AH418-1,AC418/AI418-1,AD418/AJ418-1,AE418/AK418-1)</f>
        <v>-0.0639269490622482</v>
      </c>
      <c r="AM418" s="6" t="n">
        <f aca="false">AE418-Assumptions!$B$35</f>
        <v>551460.108571033</v>
      </c>
    </row>
    <row r="419" customFormat="false" ht="15" hidden="false" customHeight="false" outlineLevel="0" collapsed="false">
      <c r="A419" s="0" t="n">
        <f aca="false">ROW()-1</f>
        <v>418</v>
      </c>
      <c r="B419" s="0" t="str">
        <f aca="true">IF(RAND()&lt;Assumptions!$B$11,"Bull","Bear")</f>
        <v>Bull</v>
      </c>
      <c r="C419" s="0" t="str">
        <f aca="true">IF(B419="Bull",IF(RAND()&lt;Assumptions!$B$7,"Bull","Bear"),IF(RAND()&lt;Assumptions!$B$10,"Bear","Bull"))</f>
        <v>Bear</v>
      </c>
      <c r="D419" s="0" t="str">
        <f aca="true">IF(C419="Bull",IF(RAND()&lt;Assumptions!$B$7,"Bull","Bear"),IF(RAND()&lt;Assumptions!$B$10,"Bear","Bull"))</f>
        <v>Bull</v>
      </c>
      <c r="E419" s="0" t="str">
        <f aca="true">IF(D419="Bull",IF(RAND()&lt;Assumptions!$B$7,"Bull","Bear"),IF(RAND()&lt;Assumptions!$B$10,"Bear","Bull"))</f>
        <v>Bear</v>
      </c>
      <c r="F419" s="0" t="str">
        <f aca="true">IF(E419="Bull",IF(RAND()&lt;Assumptions!$B$7,"Bull","Bear"),IF(RAND()&lt;Assumptions!$B$10,"Bear","Bull"))</f>
        <v>Bear</v>
      </c>
      <c r="G419" s="0" t="str">
        <f aca="true">IF(F419="Bull",IF(RAND()&lt;Assumptions!$B$7,"Bull","Bear"),IF(RAND()&lt;Assumptions!$B$10,"Bear","Bull"))</f>
        <v>Bear</v>
      </c>
      <c r="H419" s="8" t="n">
        <f aca="true">IF(B419="Bull",NORMINV(RAND(),Assumptions!$B$5,Assumptions!$B$6),NORMINV(RAND(),Assumptions!$B$8,Assumptions!$B$9))</f>
        <v>0.275189600779579</v>
      </c>
      <c r="I419" s="8" t="n">
        <f aca="true">IF(C419="Bull",NORMINV(RAND(),Assumptions!$B$5,Assumptions!$B$6),NORMINV(RAND(),Assumptions!$B$8,Assumptions!$B$9))</f>
        <v>-0.0895992156460282</v>
      </c>
      <c r="J419" s="8" t="n">
        <f aca="true">IF(D419="Bull",NORMINV(RAND(),Assumptions!$B$5,Assumptions!$B$6),NORMINV(RAND(),Assumptions!$B$8,Assumptions!$B$9))</f>
        <v>0.306208458368493</v>
      </c>
      <c r="K419" s="8" t="n">
        <f aca="true">IF(E419="Bull",NORMINV(RAND(),Assumptions!$B$5,Assumptions!$B$6),NORMINV(RAND(),Assumptions!$B$8,Assumptions!$B$9))</f>
        <v>-0.331424752879903</v>
      </c>
      <c r="L419" s="8" t="n">
        <f aca="true">IF(F419="Bull",NORMINV(RAND(),Assumptions!$B$5,Assumptions!$B$6),NORMINV(RAND(),Assumptions!$B$8,Assumptions!$B$9))</f>
        <v>-0.264702149375918</v>
      </c>
      <c r="M419" s="8" t="n">
        <f aca="true">IF(G419="Bull",NORMINV(RAND(),Assumptions!$B$5,Assumptions!$B$6),NORMINV(RAND(),Assumptions!$B$8,Assumptions!$B$9))</f>
        <v>0.16096912229638</v>
      </c>
      <c r="N419" s="8" t="n">
        <f aca="true">NORMINV(RAND(),Assumptions!$B$14,Assumptions!$B$15)</f>
        <v>0.0574939739187463</v>
      </c>
      <c r="O419" s="8" t="n">
        <f aca="true">NORMINV(RAND(),Assumptions!$B$14,Assumptions!$B$15)</f>
        <v>-0.0106390170826812</v>
      </c>
      <c r="P419" s="8" t="n">
        <f aca="true">NORMINV(RAND(),Assumptions!$B$14,Assumptions!$B$15)</f>
        <v>0.097543932218335</v>
      </c>
      <c r="Q419" s="8" t="n">
        <f aca="true">NORMINV(RAND(),Assumptions!$B$14,Assumptions!$B$15)</f>
        <v>0.0242938472866321</v>
      </c>
      <c r="R419" s="8" t="n">
        <f aca="true">NORMINV(RAND(),Assumptions!$B$14,Assumptions!$B$15)</f>
        <v>0.0618711372213812</v>
      </c>
      <c r="S419" s="8" t="n">
        <f aca="true">NORMINV(RAND(),Assumptions!$B$14,Assumptions!$B$15)</f>
        <v>0.0571916808271338</v>
      </c>
      <c r="T419" s="8" t="n">
        <f aca="false">Assumptions!$B$19*H419+(1-Assumptions!$B$19)*N419</f>
        <v>0.275189600779579</v>
      </c>
      <c r="U419" s="8" t="n">
        <f aca="false">Assumptions!$B$20*I419+(1-Assumptions!$B$20)*O419</f>
        <v>-0.0895992156460282</v>
      </c>
      <c r="V419" s="8" t="n">
        <f aca="false">Assumptions!$B$21*J419+(1-Assumptions!$B$21)*P419</f>
        <v>0.306208458368493</v>
      </c>
      <c r="W419" s="8" t="n">
        <f aca="false">Assumptions!$B$22*K419+(1-Assumptions!$B$22)*Q419</f>
        <v>-0.331424752879903</v>
      </c>
      <c r="X419" s="8" t="n">
        <f aca="false">Assumptions!$B$23*L419+(1-Assumptions!$B$23)*R419</f>
        <v>-0.199387492056458</v>
      </c>
      <c r="Y419" s="8" t="n">
        <f aca="false">Assumptions!$B$24*M419+(1-Assumptions!$B$24)*S419</f>
        <v>0.119458145708681</v>
      </c>
      <c r="Z419" s="6" t="n">
        <f aca="false">Assumptions!$B$27*(1+T419)</f>
        <v>382556.880233874</v>
      </c>
      <c r="AA419" s="6" t="n">
        <f aca="false">(Z419+Assumptions!$B$28)*(1+U419)</f>
        <v>484840.201478023</v>
      </c>
      <c r="AB419" s="6" t="n">
        <f aca="false">AA419*(1+V419)</f>
        <v>633302.372127678</v>
      </c>
      <c r="AC419" s="6" t="n">
        <f aca="false">AB419*(1+W419)</f>
        <v>423410.289947006</v>
      </c>
      <c r="AD419" s="6" t="n">
        <f aca="false">AC419*(1+X419)</f>
        <v>338987.574123574</v>
      </c>
      <c r="AE419" s="6" t="n">
        <f aca="false">AD419*(1+Y419)</f>
        <v>379482.401146661</v>
      </c>
      <c r="AF419" s="6" t="n">
        <f aca="false">Z419</f>
        <v>382556.880233874</v>
      </c>
      <c r="AG419" s="6" t="n">
        <f aca="false">MAX(AF419,AA419)</f>
        <v>484840.201478023</v>
      </c>
      <c r="AH419" s="6" t="n">
        <f aca="false">MAX(AG419,AB419)</f>
        <v>633302.372127678</v>
      </c>
      <c r="AI419" s="6" t="n">
        <f aca="false">MAX(AH419,AC419)</f>
        <v>633302.372127678</v>
      </c>
      <c r="AJ419" s="6" t="n">
        <f aca="false">MAX(AI419,AD419)</f>
        <v>633302.372127678</v>
      </c>
      <c r="AK419" s="6" t="n">
        <f aca="false">MAX(AJ419,AE419)</f>
        <v>633302.372127678</v>
      </c>
      <c r="AL419" s="8" t="n">
        <f aca="false">MIN(Z419/AF419-1,AA419/AG419-1,AB419/AH419-1,AC419/AI419-1,AD419/AJ419-1,AE419/AK419-1)</f>
        <v>-0.464730294654206</v>
      </c>
      <c r="AM419" s="6" t="n">
        <f aca="false">AE419-Assumptions!$B$35</f>
        <v>-61781.5955158428</v>
      </c>
    </row>
    <row r="420" customFormat="false" ht="15" hidden="false" customHeight="false" outlineLevel="0" collapsed="false">
      <c r="A420" s="0" t="n">
        <f aca="false">ROW()-1</f>
        <v>419</v>
      </c>
      <c r="B420" s="0" t="str">
        <f aca="true">IF(RAND()&lt;Assumptions!$B$11,"Bull","Bear")</f>
        <v>Bull</v>
      </c>
      <c r="C420" s="0" t="str">
        <f aca="true">IF(B420="Bull",IF(RAND()&lt;Assumptions!$B$7,"Bull","Bear"),IF(RAND()&lt;Assumptions!$B$10,"Bear","Bull"))</f>
        <v>Bull</v>
      </c>
      <c r="D420" s="0" t="str">
        <f aca="true">IF(C420="Bull",IF(RAND()&lt;Assumptions!$B$7,"Bull","Bear"),IF(RAND()&lt;Assumptions!$B$10,"Bear","Bull"))</f>
        <v>Bull</v>
      </c>
      <c r="E420" s="0" t="str">
        <f aca="true">IF(D420="Bull",IF(RAND()&lt;Assumptions!$B$7,"Bull","Bear"),IF(RAND()&lt;Assumptions!$B$10,"Bear","Bull"))</f>
        <v>Bull</v>
      </c>
      <c r="F420" s="0" t="str">
        <f aca="true">IF(E420="Bull",IF(RAND()&lt;Assumptions!$B$7,"Bull","Bear"),IF(RAND()&lt;Assumptions!$B$10,"Bear","Bull"))</f>
        <v>Bull</v>
      </c>
      <c r="G420" s="0" t="str">
        <f aca="true">IF(F420="Bull",IF(RAND()&lt;Assumptions!$B$7,"Bull","Bear"),IF(RAND()&lt;Assumptions!$B$10,"Bear","Bull"))</f>
        <v>Bull</v>
      </c>
      <c r="H420" s="8" t="n">
        <f aca="true">IF(B420="Bull",NORMINV(RAND(),Assumptions!$B$5,Assumptions!$B$6),NORMINV(RAND(),Assumptions!$B$8,Assumptions!$B$9))</f>
        <v>0.16492688240245</v>
      </c>
      <c r="I420" s="8" t="n">
        <f aca="true">IF(C420="Bull",NORMINV(RAND(),Assumptions!$B$5,Assumptions!$B$6),NORMINV(RAND(),Assumptions!$B$8,Assumptions!$B$9))</f>
        <v>0.16296292836641</v>
      </c>
      <c r="J420" s="8" t="n">
        <f aca="true">IF(D420="Bull",NORMINV(RAND(),Assumptions!$B$5,Assumptions!$B$6),NORMINV(RAND(),Assumptions!$B$8,Assumptions!$B$9))</f>
        <v>0.161652990317056</v>
      </c>
      <c r="K420" s="8" t="n">
        <f aca="true">IF(E420="Bull",NORMINV(RAND(),Assumptions!$B$5,Assumptions!$B$6),NORMINV(RAND(),Assumptions!$B$8,Assumptions!$B$9))</f>
        <v>0.158004087179235</v>
      </c>
      <c r="L420" s="8" t="n">
        <f aca="true">IF(F420="Bull",NORMINV(RAND(),Assumptions!$B$5,Assumptions!$B$6),NORMINV(RAND(),Assumptions!$B$8,Assumptions!$B$9))</f>
        <v>0.103801837197132</v>
      </c>
      <c r="M420" s="8" t="n">
        <f aca="true">IF(G420="Bull",NORMINV(RAND(),Assumptions!$B$5,Assumptions!$B$6),NORMINV(RAND(),Assumptions!$B$8,Assumptions!$B$9))</f>
        <v>0.0514356541028041</v>
      </c>
      <c r="N420" s="8" t="n">
        <f aca="true">NORMINV(RAND(),Assumptions!$B$14,Assumptions!$B$15)</f>
        <v>0.0446737034339257</v>
      </c>
      <c r="O420" s="8" t="n">
        <f aca="true">NORMINV(RAND(),Assumptions!$B$14,Assumptions!$B$15)</f>
        <v>0.0928840193655427</v>
      </c>
      <c r="P420" s="8" t="n">
        <f aca="true">NORMINV(RAND(),Assumptions!$B$14,Assumptions!$B$15)</f>
        <v>0.00364996843593426</v>
      </c>
      <c r="Q420" s="8" t="n">
        <f aca="true">NORMINV(RAND(),Assumptions!$B$14,Assumptions!$B$15)</f>
        <v>0.0548731032792911</v>
      </c>
      <c r="R420" s="8" t="n">
        <f aca="true">NORMINV(RAND(),Assumptions!$B$14,Assumptions!$B$15)</f>
        <v>0.0519330674649155</v>
      </c>
      <c r="S420" s="8" t="n">
        <f aca="true">NORMINV(RAND(),Assumptions!$B$14,Assumptions!$B$15)</f>
        <v>0.0658790475788638</v>
      </c>
      <c r="T420" s="8" t="n">
        <f aca="false">Assumptions!$B$19*H420+(1-Assumptions!$B$19)*N420</f>
        <v>0.16492688240245</v>
      </c>
      <c r="U420" s="8" t="n">
        <f aca="false">Assumptions!$B$20*I420+(1-Assumptions!$B$20)*O420</f>
        <v>0.16296292836641</v>
      </c>
      <c r="V420" s="8" t="n">
        <f aca="false">Assumptions!$B$21*J420+(1-Assumptions!$B$21)*P420</f>
        <v>0.161652990317056</v>
      </c>
      <c r="W420" s="8" t="n">
        <f aca="false">Assumptions!$B$22*K420+(1-Assumptions!$B$22)*Q420</f>
        <v>0.158004087179235</v>
      </c>
      <c r="X420" s="8" t="n">
        <f aca="false">Assumptions!$B$23*L420+(1-Assumptions!$B$23)*R420</f>
        <v>0.0934280832506884</v>
      </c>
      <c r="Y420" s="8" t="n">
        <f aca="false">Assumptions!$B$24*M420+(1-Assumptions!$B$24)*S420</f>
        <v>0.057213011493228</v>
      </c>
      <c r="Z420" s="6" t="n">
        <f aca="false">Assumptions!$B$27*(1+T420)</f>
        <v>349478.064720735</v>
      </c>
      <c r="AA420" s="6" t="n">
        <f aca="false">(Z420+Assumptions!$B$28)*(1+U420)</f>
        <v>580874.472802414</v>
      </c>
      <c r="AB420" s="6" t="n">
        <f aca="false">AA420*(1+V420)</f>
        <v>674774.568329767</v>
      </c>
      <c r="AC420" s="6" t="n">
        <f aca="false">AB420*(1+W420)</f>
        <v>781391.708050474</v>
      </c>
      <c r="AD420" s="6" t="n">
        <f aca="false">AC420*(1+X420)</f>
        <v>854395.637601611</v>
      </c>
      <c r="AE420" s="6" t="n">
        <f aca="false">AD420*(1+Y420)</f>
        <v>903278.185035476</v>
      </c>
      <c r="AF420" s="6" t="n">
        <f aca="false">Z420</f>
        <v>349478.064720735</v>
      </c>
      <c r="AG420" s="6" t="n">
        <f aca="false">MAX(AF420,AA420)</f>
        <v>580874.472802414</v>
      </c>
      <c r="AH420" s="6" t="n">
        <f aca="false">MAX(AG420,AB420)</f>
        <v>674774.568329767</v>
      </c>
      <c r="AI420" s="6" t="n">
        <f aca="false">MAX(AH420,AC420)</f>
        <v>781391.708050474</v>
      </c>
      <c r="AJ420" s="6" t="n">
        <f aca="false">MAX(AI420,AD420)</f>
        <v>854395.637601611</v>
      </c>
      <c r="AK420" s="6" t="n">
        <f aca="false">MAX(AJ420,AE420)</f>
        <v>903278.185035476</v>
      </c>
      <c r="AL420" s="8" t="n">
        <f aca="false">MIN(Z420/AF420-1,AA420/AG420-1,AB420/AH420-1,AC420/AI420-1,AD420/AJ420-1,AE420/AK420-1)</f>
        <v>0</v>
      </c>
      <c r="AM420" s="6" t="n">
        <f aca="false">AE420-Assumptions!$B$35</f>
        <v>462014.188372973</v>
      </c>
    </row>
    <row r="421" customFormat="false" ht="15" hidden="false" customHeight="false" outlineLevel="0" collapsed="false">
      <c r="A421" s="0" t="n">
        <f aca="false">ROW()-1</f>
        <v>420</v>
      </c>
      <c r="B421" s="0" t="str">
        <f aca="true">IF(RAND()&lt;Assumptions!$B$11,"Bull","Bear")</f>
        <v>Bull</v>
      </c>
      <c r="C421" s="0" t="str">
        <f aca="true">IF(B421="Bull",IF(RAND()&lt;Assumptions!$B$7,"Bull","Bear"),IF(RAND()&lt;Assumptions!$B$10,"Bear","Bull"))</f>
        <v>Bull</v>
      </c>
      <c r="D421" s="0" t="str">
        <f aca="true">IF(C421="Bull",IF(RAND()&lt;Assumptions!$B$7,"Bull","Bear"),IF(RAND()&lt;Assumptions!$B$10,"Bear","Bull"))</f>
        <v>Bull</v>
      </c>
      <c r="E421" s="0" t="str">
        <f aca="true">IF(D421="Bull",IF(RAND()&lt;Assumptions!$B$7,"Bull","Bear"),IF(RAND()&lt;Assumptions!$B$10,"Bear","Bull"))</f>
        <v>Bull</v>
      </c>
      <c r="F421" s="0" t="str">
        <f aca="true">IF(E421="Bull",IF(RAND()&lt;Assumptions!$B$7,"Bull","Bear"),IF(RAND()&lt;Assumptions!$B$10,"Bear","Bull"))</f>
        <v>Bull</v>
      </c>
      <c r="G421" s="0" t="str">
        <f aca="true">IF(F421="Bull",IF(RAND()&lt;Assumptions!$B$7,"Bull","Bear"),IF(RAND()&lt;Assumptions!$B$10,"Bear","Bull"))</f>
        <v>Bull</v>
      </c>
      <c r="H421" s="8" t="n">
        <f aca="true">IF(B421="Bull",NORMINV(RAND(),Assumptions!$B$5,Assumptions!$B$6),NORMINV(RAND(),Assumptions!$B$8,Assumptions!$B$9))</f>
        <v>0.143764110722269</v>
      </c>
      <c r="I421" s="8" t="n">
        <f aca="true">IF(C421="Bull",NORMINV(RAND(),Assumptions!$B$5,Assumptions!$B$6),NORMINV(RAND(),Assumptions!$B$8,Assumptions!$B$9))</f>
        <v>0.226941300013651</v>
      </c>
      <c r="J421" s="8" t="n">
        <f aca="true">IF(D421="Bull",NORMINV(RAND(),Assumptions!$B$5,Assumptions!$B$6),NORMINV(RAND(),Assumptions!$B$8,Assumptions!$B$9))</f>
        <v>0.307311338896381</v>
      </c>
      <c r="K421" s="8" t="n">
        <f aca="true">IF(E421="Bull",NORMINV(RAND(),Assumptions!$B$5,Assumptions!$B$6),NORMINV(RAND(),Assumptions!$B$8,Assumptions!$B$9))</f>
        <v>0.164761654439705</v>
      </c>
      <c r="L421" s="8" t="n">
        <f aca="true">IF(F421="Bull",NORMINV(RAND(),Assumptions!$B$5,Assumptions!$B$6),NORMINV(RAND(),Assumptions!$B$8,Assumptions!$B$9))</f>
        <v>0.197174671801569</v>
      </c>
      <c r="M421" s="8" t="n">
        <f aca="true">IF(G421="Bull",NORMINV(RAND(),Assumptions!$B$5,Assumptions!$B$6),NORMINV(RAND(),Assumptions!$B$8,Assumptions!$B$9))</f>
        <v>0.170160047258756</v>
      </c>
      <c r="N421" s="8" t="n">
        <f aca="true">NORMINV(RAND(),Assumptions!$B$14,Assumptions!$B$15)</f>
        <v>0.049181495658169</v>
      </c>
      <c r="O421" s="8" t="n">
        <f aca="true">NORMINV(RAND(),Assumptions!$B$14,Assumptions!$B$15)</f>
        <v>0.014377396020253</v>
      </c>
      <c r="P421" s="8" t="n">
        <f aca="true">NORMINV(RAND(),Assumptions!$B$14,Assumptions!$B$15)</f>
        <v>0.0132838545743331</v>
      </c>
      <c r="Q421" s="8" t="n">
        <f aca="true">NORMINV(RAND(),Assumptions!$B$14,Assumptions!$B$15)</f>
        <v>0.0292361555893899</v>
      </c>
      <c r="R421" s="8" t="n">
        <f aca="true">NORMINV(RAND(),Assumptions!$B$14,Assumptions!$B$15)</f>
        <v>0.0244665072967868</v>
      </c>
      <c r="S421" s="8" t="n">
        <f aca="true">NORMINV(RAND(),Assumptions!$B$14,Assumptions!$B$15)</f>
        <v>0.0499776045622561</v>
      </c>
      <c r="T421" s="8" t="n">
        <f aca="false">Assumptions!$B$19*H421+(1-Assumptions!$B$19)*N421</f>
        <v>0.143764110722269</v>
      </c>
      <c r="U421" s="8" t="n">
        <f aca="false">Assumptions!$B$20*I421+(1-Assumptions!$B$20)*O421</f>
        <v>0.226941300013651</v>
      </c>
      <c r="V421" s="8" t="n">
        <f aca="false">Assumptions!$B$21*J421+(1-Assumptions!$B$21)*P421</f>
        <v>0.307311338896381</v>
      </c>
      <c r="W421" s="8" t="n">
        <f aca="false">Assumptions!$B$22*K421+(1-Assumptions!$B$22)*Q421</f>
        <v>0.164761654439705</v>
      </c>
      <c r="X421" s="8" t="n">
        <f aca="false">Assumptions!$B$23*L421+(1-Assumptions!$B$23)*R421</f>
        <v>0.162633038900613</v>
      </c>
      <c r="Y421" s="8" t="n">
        <f aca="false">Assumptions!$B$24*M421+(1-Assumptions!$B$24)*S421</f>
        <v>0.122087070180156</v>
      </c>
      <c r="Z421" s="6" t="n">
        <f aca="false">Assumptions!$B$27*(1+T421)</f>
        <v>343129.233216681</v>
      </c>
      <c r="AA421" s="6" t="n">
        <f aca="false">(Z421+Assumptions!$B$28)*(1+U421)</f>
        <v>605040.622477609</v>
      </c>
      <c r="AB421" s="6" t="n">
        <f aca="false">AA421*(1+V421)</f>
        <v>790976.466257903</v>
      </c>
      <c r="AC421" s="6" t="n">
        <f aca="false">AB421*(1+W421)</f>
        <v>921299.057461426</v>
      </c>
      <c r="AD421" s="6" t="n">
        <f aca="false">AC421*(1+X421)</f>
        <v>1071132.72291265</v>
      </c>
      <c r="AE421" s="6" t="n">
        <f aca="false">AD421*(1+Y421)</f>
        <v>1201904.17882715</v>
      </c>
      <c r="AF421" s="6" t="n">
        <f aca="false">Z421</f>
        <v>343129.233216681</v>
      </c>
      <c r="AG421" s="6" t="n">
        <f aca="false">MAX(AF421,AA421)</f>
        <v>605040.622477609</v>
      </c>
      <c r="AH421" s="6" t="n">
        <f aca="false">MAX(AG421,AB421)</f>
        <v>790976.466257903</v>
      </c>
      <c r="AI421" s="6" t="n">
        <f aca="false">MAX(AH421,AC421)</f>
        <v>921299.057461426</v>
      </c>
      <c r="AJ421" s="6" t="n">
        <f aca="false">MAX(AI421,AD421)</f>
        <v>1071132.72291265</v>
      </c>
      <c r="AK421" s="6" t="n">
        <f aca="false">MAX(AJ421,AE421)</f>
        <v>1201904.17882715</v>
      </c>
      <c r="AL421" s="8" t="n">
        <f aca="false">MIN(Z421/AF421-1,AA421/AG421-1,AB421/AH421-1,AC421/AI421-1,AD421/AJ421-1,AE421/AK421-1)</f>
        <v>0</v>
      </c>
      <c r="AM421" s="6" t="n">
        <f aca="false">AE421-Assumptions!$B$35</f>
        <v>760640.182164643</v>
      </c>
    </row>
    <row r="422" customFormat="false" ht="15" hidden="false" customHeight="false" outlineLevel="0" collapsed="false">
      <c r="A422" s="0" t="n">
        <f aca="false">ROW()-1</f>
        <v>421</v>
      </c>
      <c r="B422" s="0" t="str">
        <f aca="true">IF(RAND()&lt;Assumptions!$B$11,"Bull","Bear")</f>
        <v>Bear</v>
      </c>
      <c r="C422" s="0" t="str">
        <f aca="true">IF(B422="Bull",IF(RAND()&lt;Assumptions!$B$7,"Bull","Bear"),IF(RAND()&lt;Assumptions!$B$10,"Bear","Bull"))</f>
        <v>Bull</v>
      </c>
      <c r="D422" s="0" t="str">
        <f aca="true">IF(C422="Bull",IF(RAND()&lt;Assumptions!$B$7,"Bull","Bear"),IF(RAND()&lt;Assumptions!$B$10,"Bear","Bull"))</f>
        <v>Bull</v>
      </c>
      <c r="E422" s="0" t="str">
        <f aca="true">IF(D422="Bull",IF(RAND()&lt;Assumptions!$B$7,"Bull","Bear"),IF(RAND()&lt;Assumptions!$B$10,"Bear","Bull"))</f>
        <v>Bear</v>
      </c>
      <c r="F422" s="0" t="str">
        <f aca="true">IF(E422="Bull",IF(RAND()&lt;Assumptions!$B$7,"Bull","Bear"),IF(RAND()&lt;Assumptions!$B$10,"Bear","Bull"))</f>
        <v>Bear</v>
      </c>
      <c r="G422" s="0" t="str">
        <f aca="true">IF(F422="Bull",IF(RAND()&lt;Assumptions!$B$7,"Bull","Bear"),IF(RAND()&lt;Assumptions!$B$10,"Bear","Bull"))</f>
        <v>Bull</v>
      </c>
      <c r="H422" s="8" t="n">
        <f aca="true">IF(B422="Bull",NORMINV(RAND(),Assumptions!$B$5,Assumptions!$B$6),NORMINV(RAND(),Assumptions!$B$8,Assumptions!$B$9))</f>
        <v>-0.0753629019514125</v>
      </c>
      <c r="I422" s="8" t="n">
        <f aca="true">IF(C422="Bull",NORMINV(RAND(),Assumptions!$B$5,Assumptions!$B$6),NORMINV(RAND(),Assumptions!$B$8,Assumptions!$B$9))</f>
        <v>0.363130255098947</v>
      </c>
      <c r="J422" s="8" t="n">
        <f aca="true">IF(D422="Bull",NORMINV(RAND(),Assumptions!$B$5,Assumptions!$B$6),NORMINV(RAND(),Assumptions!$B$8,Assumptions!$B$9))</f>
        <v>0.0658379248051623</v>
      </c>
      <c r="K422" s="8" t="n">
        <f aca="true">IF(E422="Bull",NORMINV(RAND(),Assumptions!$B$5,Assumptions!$B$6),NORMINV(RAND(),Assumptions!$B$8,Assumptions!$B$9))</f>
        <v>-0.320062302234038</v>
      </c>
      <c r="L422" s="8" t="n">
        <f aca="true">IF(F422="Bull",NORMINV(RAND(),Assumptions!$B$5,Assumptions!$B$6),NORMINV(RAND(),Assumptions!$B$8,Assumptions!$B$9))</f>
        <v>0.156751991270176</v>
      </c>
      <c r="M422" s="8" t="n">
        <f aca="true">IF(G422="Bull",NORMINV(RAND(),Assumptions!$B$5,Assumptions!$B$6),NORMINV(RAND(),Assumptions!$B$8,Assumptions!$B$9))</f>
        <v>0.0196124832762724</v>
      </c>
      <c r="N422" s="8" t="n">
        <f aca="true">NORMINV(RAND(),Assumptions!$B$14,Assumptions!$B$15)</f>
        <v>0.0458878545705309</v>
      </c>
      <c r="O422" s="8" t="n">
        <f aca="true">NORMINV(RAND(),Assumptions!$B$14,Assumptions!$B$15)</f>
        <v>0.038896006633028</v>
      </c>
      <c r="P422" s="8" t="n">
        <f aca="true">NORMINV(RAND(),Assumptions!$B$14,Assumptions!$B$15)</f>
        <v>0.00860289802588932</v>
      </c>
      <c r="Q422" s="8" t="n">
        <f aca="true">NORMINV(RAND(),Assumptions!$B$14,Assumptions!$B$15)</f>
        <v>0.0218686736910138</v>
      </c>
      <c r="R422" s="8" t="n">
        <f aca="true">NORMINV(RAND(),Assumptions!$B$14,Assumptions!$B$15)</f>
        <v>0.0655514416014189</v>
      </c>
      <c r="S422" s="8" t="n">
        <f aca="true">NORMINV(RAND(),Assumptions!$B$14,Assumptions!$B$15)</f>
        <v>0.0792867843914901</v>
      </c>
      <c r="T422" s="8" t="n">
        <f aca="false">Assumptions!$B$19*H422+(1-Assumptions!$B$19)*N422</f>
        <v>-0.0753629019514125</v>
      </c>
      <c r="U422" s="8" t="n">
        <f aca="false">Assumptions!$B$20*I422+(1-Assumptions!$B$20)*O422</f>
        <v>0.363130255098947</v>
      </c>
      <c r="V422" s="8" t="n">
        <f aca="false">Assumptions!$B$21*J422+(1-Assumptions!$B$21)*P422</f>
        <v>0.0658379248051623</v>
      </c>
      <c r="W422" s="8" t="n">
        <f aca="false">Assumptions!$B$22*K422+(1-Assumptions!$B$22)*Q422</f>
        <v>-0.320062302234038</v>
      </c>
      <c r="X422" s="8" t="n">
        <f aca="false">Assumptions!$B$23*L422+(1-Assumptions!$B$23)*R422</f>
        <v>0.138511881336424</v>
      </c>
      <c r="Y422" s="8" t="n">
        <f aca="false">Assumptions!$B$24*M422+(1-Assumptions!$B$24)*S422</f>
        <v>0.0434822037223595</v>
      </c>
      <c r="Z422" s="6" t="n">
        <f aca="false">Assumptions!$B$27*(1+T422)</f>
        <v>277391.129414576</v>
      </c>
      <c r="AA422" s="6" t="n">
        <f aca="false">(Z422+Assumptions!$B$28)*(1+U422)</f>
        <v>582589.779265918</v>
      </c>
      <c r="AB422" s="6" t="n">
        <f aca="false">AA422*(1+V422)</f>
        <v>620946.281345484</v>
      </c>
      <c r="AC422" s="6" t="n">
        <f aca="false">AB422*(1+W422)</f>
        <v>422204.784974384</v>
      </c>
      <c r="AD422" s="6" t="n">
        <f aca="false">AC422*(1+X422)</f>
        <v>480685.164050426</v>
      </c>
      <c r="AE422" s="6" t="n">
        <f aca="false">AD422*(1+Y422)</f>
        <v>501586.414279983</v>
      </c>
      <c r="AF422" s="6" t="n">
        <f aca="false">Z422</f>
        <v>277391.129414576</v>
      </c>
      <c r="AG422" s="6" t="n">
        <f aca="false">MAX(AF422,AA422)</f>
        <v>582589.779265918</v>
      </c>
      <c r="AH422" s="6" t="n">
        <f aca="false">MAX(AG422,AB422)</f>
        <v>620946.281345484</v>
      </c>
      <c r="AI422" s="6" t="n">
        <f aca="false">MAX(AH422,AC422)</f>
        <v>620946.281345484</v>
      </c>
      <c r="AJ422" s="6" t="n">
        <f aca="false">MAX(AI422,AD422)</f>
        <v>620946.281345484</v>
      </c>
      <c r="AK422" s="6" t="n">
        <f aca="false">MAX(AJ422,AE422)</f>
        <v>620946.281345484</v>
      </c>
      <c r="AL422" s="8" t="n">
        <f aca="false">MIN(Z422/AF422-1,AA422/AG422-1,AB422/AH422-1,AC422/AI422-1,AD422/AJ422-1,AE422/AK422-1)</f>
        <v>-0.320062302234038</v>
      </c>
      <c r="AM422" s="6" t="n">
        <f aca="false">AE422-Assumptions!$B$35</f>
        <v>60322.417617479</v>
      </c>
    </row>
    <row r="423" customFormat="false" ht="15" hidden="false" customHeight="false" outlineLevel="0" collapsed="false">
      <c r="A423" s="0" t="n">
        <f aca="false">ROW()-1</f>
        <v>422</v>
      </c>
      <c r="B423" s="0" t="str">
        <f aca="true">IF(RAND()&lt;Assumptions!$B$11,"Bull","Bear")</f>
        <v>Bull</v>
      </c>
      <c r="C423" s="0" t="str">
        <f aca="true">IF(B423="Bull",IF(RAND()&lt;Assumptions!$B$7,"Bull","Bear"),IF(RAND()&lt;Assumptions!$B$10,"Bear","Bull"))</f>
        <v>Bull</v>
      </c>
      <c r="D423" s="0" t="str">
        <f aca="true">IF(C423="Bull",IF(RAND()&lt;Assumptions!$B$7,"Bull","Bear"),IF(RAND()&lt;Assumptions!$B$10,"Bear","Bull"))</f>
        <v>Bull</v>
      </c>
      <c r="E423" s="0" t="str">
        <f aca="true">IF(D423="Bull",IF(RAND()&lt;Assumptions!$B$7,"Bull","Bear"),IF(RAND()&lt;Assumptions!$B$10,"Bear","Bull"))</f>
        <v>Bear</v>
      </c>
      <c r="F423" s="0" t="str">
        <f aca="true">IF(E423="Bull",IF(RAND()&lt;Assumptions!$B$7,"Bull","Bear"),IF(RAND()&lt;Assumptions!$B$10,"Bear","Bull"))</f>
        <v>Bull</v>
      </c>
      <c r="G423" s="0" t="str">
        <f aca="true">IF(F423="Bull",IF(RAND()&lt;Assumptions!$B$7,"Bull","Bear"),IF(RAND()&lt;Assumptions!$B$10,"Bear","Bull"))</f>
        <v>Bear</v>
      </c>
      <c r="H423" s="8" t="n">
        <f aca="true">IF(B423="Bull",NORMINV(RAND(),Assumptions!$B$5,Assumptions!$B$6),NORMINV(RAND(),Assumptions!$B$8,Assumptions!$B$9))</f>
        <v>0.0928467653728758</v>
      </c>
      <c r="I423" s="8" t="n">
        <f aca="true">IF(C423="Bull",NORMINV(RAND(),Assumptions!$B$5,Assumptions!$B$6),NORMINV(RAND(),Assumptions!$B$8,Assumptions!$B$9))</f>
        <v>0.159256481408199</v>
      </c>
      <c r="J423" s="8" t="n">
        <f aca="true">IF(D423="Bull",NORMINV(RAND(),Assumptions!$B$5,Assumptions!$B$6),NORMINV(RAND(),Assumptions!$B$8,Assumptions!$B$9))</f>
        <v>0.266633731731057</v>
      </c>
      <c r="K423" s="8" t="n">
        <f aca="true">IF(E423="Bull",NORMINV(RAND(),Assumptions!$B$5,Assumptions!$B$6),NORMINV(RAND(),Assumptions!$B$8,Assumptions!$B$9))</f>
        <v>0.119547072013397</v>
      </c>
      <c r="L423" s="8" t="n">
        <f aca="true">IF(F423="Bull",NORMINV(RAND(),Assumptions!$B$5,Assumptions!$B$6),NORMINV(RAND(),Assumptions!$B$8,Assumptions!$B$9))</f>
        <v>0.121512420530543</v>
      </c>
      <c r="M423" s="8" t="n">
        <f aca="true">IF(G423="Bull",NORMINV(RAND(),Assumptions!$B$5,Assumptions!$B$6),NORMINV(RAND(),Assumptions!$B$8,Assumptions!$B$9))</f>
        <v>0.150732809441122</v>
      </c>
      <c r="N423" s="8" t="n">
        <f aca="true">NORMINV(RAND(),Assumptions!$B$14,Assumptions!$B$15)</f>
        <v>0.0443039763827782</v>
      </c>
      <c r="O423" s="8" t="n">
        <f aca="true">NORMINV(RAND(),Assumptions!$B$14,Assumptions!$B$15)</f>
        <v>0.0620708494443293</v>
      </c>
      <c r="P423" s="8" t="n">
        <f aca="true">NORMINV(RAND(),Assumptions!$B$14,Assumptions!$B$15)</f>
        <v>0.0593124117851531</v>
      </c>
      <c r="Q423" s="8" t="n">
        <f aca="true">NORMINV(RAND(),Assumptions!$B$14,Assumptions!$B$15)</f>
        <v>0.0273661735698865</v>
      </c>
      <c r="R423" s="8" t="n">
        <f aca="true">NORMINV(RAND(),Assumptions!$B$14,Assumptions!$B$15)</f>
        <v>0.0722343866221147</v>
      </c>
      <c r="S423" s="8" t="n">
        <f aca="true">NORMINV(RAND(),Assumptions!$B$14,Assumptions!$B$15)</f>
        <v>0.0450690636767133</v>
      </c>
      <c r="T423" s="8" t="n">
        <f aca="false">Assumptions!$B$19*H423+(1-Assumptions!$B$19)*N423</f>
        <v>0.0928467653728758</v>
      </c>
      <c r="U423" s="8" t="n">
        <f aca="false">Assumptions!$B$20*I423+(1-Assumptions!$B$20)*O423</f>
        <v>0.159256481408199</v>
      </c>
      <c r="V423" s="8" t="n">
        <f aca="false">Assumptions!$B$21*J423+(1-Assumptions!$B$21)*P423</f>
        <v>0.266633731731057</v>
      </c>
      <c r="W423" s="8" t="n">
        <f aca="false">Assumptions!$B$22*K423+(1-Assumptions!$B$22)*Q423</f>
        <v>0.119547072013397</v>
      </c>
      <c r="X423" s="8" t="n">
        <f aca="false">Assumptions!$B$23*L423+(1-Assumptions!$B$23)*R423</f>
        <v>0.111656813748857</v>
      </c>
      <c r="Y423" s="8" t="n">
        <f aca="false">Assumptions!$B$24*M423+(1-Assumptions!$B$24)*S423</f>
        <v>0.108467311135359</v>
      </c>
      <c r="Z423" s="6" t="n">
        <f aca="false">Assumptions!$B$27*(1+T423)</f>
        <v>327854.029611863</v>
      </c>
      <c r="AA423" s="6" t="n">
        <f aca="false">(Z423+Assumptions!$B$28)*(1+U423)</f>
        <v>553955.380994577</v>
      </c>
      <c r="AB423" s="6" t="n">
        <f aca="false">AA423*(1+V423)</f>
        <v>701658.571441661</v>
      </c>
      <c r="AC423" s="6" t="n">
        <f aca="false">AB423*(1+W423)</f>
        <v>785539.799210614</v>
      </c>
      <c r="AD423" s="6" t="n">
        <f aca="false">AC423*(1+X423)</f>
        <v>873250.670263388</v>
      </c>
      <c r="AE423" s="6" t="n">
        <f aca="false">AD423*(1+Y423)</f>
        <v>967969.822414008</v>
      </c>
      <c r="AF423" s="6" t="n">
        <f aca="false">Z423</f>
        <v>327854.029611863</v>
      </c>
      <c r="AG423" s="6" t="n">
        <f aca="false">MAX(AF423,AA423)</f>
        <v>553955.380994577</v>
      </c>
      <c r="AH423" s="6" t="n">
        <f aca="false">MAX(AG423,AB423)</f>
        <v>701658.571441661</v>
      </c>
      <c r="AI423" s="6" t="n">
        <f aca="false">MAX(AH423,AC423)</f>
        <v>785539.799210614</v>
      </c>
      <c r="AJ423" s="6" t="n">
        <f aca="false">MAX(AI423,AD423)</f>
        <v>873250.670263388</v>
      </c>
      <c r="AK423" s="6" t="n">
        <f aca="false">MAX(AJ423,AE423)</f>
        <v>967969.822414008</v>
      </c>
      <c r="AL423" s="8" t="n">
        <f aca="false">MIN(Z423/AF423-1,AA423/AG423-1,AB423/AH423-1,AC423/AI423-1,AD423/AJ423-1,AE423/AK423-1)</f>
        <v>0</v>
      </c>
      <c r="AM423" s="6" t="n">
        <f aca="false">AE423-Assumptions!$B$35</f>
        <v>526705.825751504</v>
      </c>
    </row>
    <row r="424" customFormat="false" ht="15" hidden="false" customHeight="false" outlineLevel="0" collapsed="false">
      <c r="A424" s="0" t="n">
        <f aca="false">ROW()-1</f>
        <v>423</v>
      </c>
      <c r="B424" s="0" t="str">
        <f aca="true">IF(RAND()&lt;Assumptions!$B$11,"Bull","Bear")</f>
        <v>Bear</v>
      </c>
      <c r="C424" s="0" t="str">
        <f aca="true">IF(B424="Bull",IF(RAND()&lt;Assumptions!$B$7,"Bull","Bear"),IF(RAND()&lt;Assumptions!$B$10,"Bear","Bull"))</f>
        <v>Bear</v>
      </c>
      <c r="D424" s="0" t="str">
        <f aca="true">IF(C424="Bull",IF(RAND()&lt;Assumptions!$B$7,"Bull","Bear"),IF(RAND()&lt;Assumptions!$B$10,"Bear","Bull"))</f>
        <v>Bear</v>
      </c>
      <c r="E424" s="0" t="str">
        <f aca="true">IF(D424="Bull",IF(RAND()&lt;Assumptions!$B$7,"Bull","Bear"),IF(RAND()&lt;Assumptions!$B$10,"Bear","Bull"))</f>
        <v>Bull</v>
      </c>
      <c r="F424" s="0" t="str">
        <f aca="true">IF(E424="Bull",IF(RAND()&lt;Assumptions!$B$7,"Bull","Bear"),IF(RAND()&lt;Assumptions!$B$10,"Bear","Bull"))</f>
        <v>Bull</v>
      </c>
      <c r="G424" s="0" t="str">
        <f aca="true">IF(F424="Bull",IF(RAND()&lt;Assumptions!$B$7,"Bull","Bear"),IF(RAND()&lt;Assumptions!$B$10,"Bear","Bull"))</f>
        <v>Bull</v>
      </c>
      <c r="H424" s="8" t="n">
        <f aca="true">IF(B424="Bull",NORMINV(RAND(),Assumptions!$B$5,Assumptions!$B$6),NORMINV(RAND(),Assumptions!$B$8,Assumptions!$B$9))</f>
        <v>-0.051501908233755</v>
      </c>
      <c r="I424" s="8" t="n">
        <f aca="true">IF(C424="Bull",NORMINV(RAND(),Assumptions!$B$5,Assumptions!$B$6),NORMINV(RAND(),Assumptions!$B$8,Assumptions!$B$9))</f>
        <v>-0.144746966849256</v>
      </c>
      <c r="J424" s="8" t="n">
        <f aca="true">IF(D424="Bull",NORMINV(RAND(),Assumptions!$B$5,Assumptions!$B$6),NORMINV(RAND(),Assumptions!$B$8,Assumptions!$B$9))</f>
        <v>0.0128432949143736</v>
      </c>
      <c r="K424" s="8" t="n">
        <f aca="true">IF(E424="Bull",NORMINV(RAND(),Assumptions!$B$5,Assumptions!$B$6),NORMINV(RAND(),Assumptions!$B$8,Assumptions!$B$9))</f>
        <v>0.0743537492457986</v>
      </c>
      <c r="L424" s="8" t="n">
        <f aca="true">IF(F424="Bull",NORMINV(RAND(),Assumptions!$B$5,Assumptions!$B$6),NORMINV(RAND(),Assumptions!$B$8,Assumptions!$B$9))</f>
        <v>0.374046111057485</v>
      </c>
      <c r="M424" s="8" t="n">
        <f aca="true">IF(G424="Bull",NORMINV(RAND(),Assumptions!$B$5,Assumptions!$B$6),NORMINV(RAND(),Assumptions!$B$8,Assumptions!$B$9))</f>
        <v>0.0819284480290035</v>
      </c>
      <c r="N424" s="8" t="n">
        <f aca="true">NORMINV(RAND(),Assumptions!$B$14,Assumptions!$B$15)</f>
        <v>0.0752014084112107</v>
      </c>
      <c r="O424" s="8" t="n">
        <f aca="true">NORMINV(RAND(),Assumptions!$B$14,Assumptions!$B$15)</f>
        <v>0.0183712819536604</v>
      </c>
      <c r="P424" s="8" t="n">
        <f aca="true">NORMINV(RAND(),Assumptions!$B$14,Assumptions!$B$15)</f>
        <v>0.0508931362617051</v>
      </c>
      <c r="Q424" s="8" t="n">
        <f aca="true">NORMINV(RAND(),Assumptions!$B$14,Assumptions!$B$15)</f>
        <v>0.0694296113961839</v>
      </c>
      <c r="R424" s="8" t="n">
        <f aca="true">NORMINV(RAND(),Assumptions!$B$14,Assumptions!$B$15)</f>
        <v>0.101021602907771</v>
      </c>
      <c r="S424" s="8" t="n">
        <f aca="true">NORMINV(RAND(),Assumptions!$B$14,Assumptions!$B$15)</f>
        <v>0.0876685690478945</v>
      </c>
      <c r="T424" s="8" t="n">
        <f aca="false">Assumptions!$B$19*H424+(1-Assumptions!$B$19)*N424</f>
        <v>-0.051501908233755</v>
      </c>
      <c r="U424" s="8" t="n">
        <f aca="false">Assumptions!$B$20*I424+(1-Assumptions!$B$20)*O424</f>
        <v>-0.144746966849256</v>
      </c>
      <c r="V424" s="8" t="n">
        <f aca="false">Assumptions!$B$21*J424+(1-Assumptions!$B$21)*P424</f>
        <v>0.0128432949143736</v>
      </c>
      <c r="W424" s="8" t="n">
        <f aca="false">Assumptions!$B$22*K424+(1-Assumptions!$B$22)*Q424</f>
        <v>0.0743537492457986</v>
      </c>
      <c r="X424" s="8" t="n">
        <f aca="false">Assumptions!$B$23*L424+(1-Assumptions!$B$23)*R424</f>
        <v>0.319441209427542</v>
      </c>
      <c r="Y424" s="8" t="n">
        <f aca="false">Assumptions!$B$24*M424+(1-Assumptions!$B$24)*S424</f>
        <v>0.0842244964365599</v>
      </c>
      <c r="Z424" s="6" t="n">
        <f aca="false">Assumptions!$B$27*(1+T424)</f>
        <v>284549.427529874</v>
      </c>
      <c r="AA424" s="6" t="n">
        <f aca="false">(Z424+Assumptions!$B$28)*(1+U424)</f>
        <v>371649.715948844</v>
      </c>
      <c r="AB424" s="6" t="n">
        <f aca="false">AA424*(1+V424)</f>
        <v>376422.922855618</v>
      </c>
      <c r="AC424" s="6" t="n">
        <f aca="false">AB424*(1+W424)</f>
        <v>404411.378471995</v>
      </c>
      <c r="AD424" s="6" t="n">
        <f aca="false">AC424*(1+X424)</f>
        <v>533597.038317349</v>
      </c>
      <c r="AE424" s="6" t="n">
        <f aca="false">AD424*(1+Y424)</f>
        <v>578538.980169667</v>
      </c>
      <c r="AF424" s="6" t="n">
        <f aca="false">Z424</f>
        <v>284549.427529874</v>
      </c>
      <c r="AG424" s="6" t="n">
        <f aca="false">MAX(AF424,AA424)</f>
        <v>371649.715948844</v>
      </c>
      <c r="AH424" s="6" t="n">
        <f aca="false">MAX(AG424,AB424)</f>
        <v>376422.922855618</v>
      </c>
      <c r="AI424" s="6" t="n">
        <f aca="false">MAX(AH424,AC424)</f>
        <v>404411.378471995</v>
      </c>
      <c r="AJ424" s="6" t="n">
        <f aca="false">MAX(AI424,AD424)</f>
        <v>533597.038317349</v>
      </c>
      <c r="AK424" s="6" t="n">
        <f aca="false">MAX(AJ424,AE424)</f>
        <v>578538.980169667</v>
      </c>
      <c r="AL424" s="8" t="n">
        <f aca="false">MIN(Z424/AF424-1,AA424/AG424-1,AB424/AH424-1,AC424/AI424-1,AD424/AJ424-1,AE424/AK424-1)</f>
        <v>0</v>
      </c>
      <c r="AM424" s="6" t="n">
        <f aca="false">AE424-Assumptions!$B$35</f>
        <v>137274.983507164</v>
      </c>
    </row>
    <row r="425" customFormat="false" ht="15" hidden="false" customHeight="false" outlineLevel="0" collapsed="false">
      <c r="A425" s="0" t="n">
        <f aca="false">ROW()-1</f>
        <v>424</v>
      </c>
      <c r="B425" s="0" t="str">
        <f aca="true">IF(RAND()&lt;Assumptions!$B$11,"Bull","Bear")</f>
        <v>Bull</v>
      </c>
      <c r="C425" s="0" t="str">
        <f aca="true">IF(B425="Bull",IF(RAND()&lt;Assumptions!$B$7,"Bull","Bear"),IF(RAND()&lt;Assumptions!$B$10,"Bear","Bull"))</f>
        <v>Bull</v>
      </c>
      <c r="D425" s="0" t="str">
        <f aca="true">IF(C425="Bull",IF(RAND()&lt;Assumptions!$B$7,"Bull","Bear"),IF(RAND()&lt;Assumptions!$B$10,"Bear","Bull"))</f>
        <v>Bull</v>
      </c>
      <c r="E425" s="0" t="str">
        <f aca="true">IF(D425="Bull",IF(RAND()&lt;Assumptions!$B$7,"Bull","Bear"),IF(RAND()&lt;Assumptions!$B$10,"Bear","Bull"))</f>
        <v>Bull</v>
      </c>
      <c r="F425" s="0" t="str">
        <f aca="true">IF(E425="Bull",IF(RAND()&lt;Assumptions!$B$7,"Bull","Bear"),IF(RAND()&lt;Assumptions!$B$10,"Bear","Bull"))</f>
        <v>Bull</v>
      </c>
      <c r="G425" s="0" t="str">
        <f aca="true">IF(F425="Bull",IF(RAND()&lt;Assumptions!$B$7,"Bull","Bear"),IF(RAND()&lt;Assumptions!$B$10,"Bear","Bull"))</f>
        <v>Bull</v>
      </c>
      <c r="H425" s="8" t="n">
        <f aca="true">IF(B425="Bull",NORMINV(RAND(),Assumptions!$B$5,Assumptions!$B$6),NORMINV(RAND(),Assumptions!$B$8,Assumptions!$B$9))</f>
        <v>0.136161315296173</v>
      </c>
      <c r="I425" s="8" t="n">
        <f aca="true">IF(C425="Bull",NORMINV(RAND(),Assumptions!$B$5,Assumptions!$B$6),NORMINV(RAND(),Assumptions!$B$8,Assumptions!$B$9))</f>
        <v>0.262121541025657</v>
      </c>
      <c r="J425" s="8" t="n">
        <f aca="true">IF(D425="Bull",NORMINV(RAND(),Assumptions!$B$5,Assumptions!$B$6),NORMINV(RAND(),Assumptions!$B$8,Assumptions!$B$9))</f>
        <v>0.055152876269758</v>
      </c>
      <c r="K425" s="8" t="n">
        <f aca="true">IF(E425="Bull",NORMINV(RAND(),Assumptions!$B$5,Assumptions!$B$6),NORMINV(RAND(),Assumptions!$B$8,Assumptions!$B$9))</f>
        <v>0.067974284483611</v>
      </c>
      <c r="L425" s="8" t="n">
        <f aca="true">IF(F425="Bull",NORMINV(RAND(),Assumptions!$B$5,Assumptions!$B$6),NORMINV(RAND(),Assumptions!$B$8,Assumptions!$B$9))</f>
        <v>0.148085640156324</v>
      </c>
      <c r="M425" s="8" t="n">
        <f aca="true">IF(G425="Bull",NORMINV(RAND(),Assumptions!$B$5,Assumptions!$B$6),NORMINV(RAND(),Assumptions!$B$8,Assumptions!$B$9))</f>
        <v>-0.000893937216091073</v>
      </c>
      <c r="N425" s="8" t="n">
        <f aca="true">NORMINV(RAND(),Assumptions!$B$14,Assumptions!$B$15)</f>
        <v>0.0319836266196757</v>
      </c>
      <c r="O425" s="8" t="n">
        <f aca="true">NORMINV(RAND(),Assumptions!$B$14,Assumptions!$B$15)</f>
        <v>0.0643316956854587</v>
      </c>
      <c r="P425" s="8" t="n">
        <f aca="true">NORMINV(RAND(),Assumptions!$B$14,Assumptions!$B$15)</f>
        <v>0.0269345156667437</v>
      </c>
      <c r="Q425" s="8" t="n">
        <f aca="true">NORMINV(RAND(),Assumptions!$B$14,Assumptions!$B$15)</f>
        <v>0.0401437508516833</v>
      </c>
      <c r="R425" s="8" t="n">
        <f aca="true">NORMINV(RAND(),Assumptions!$B$14,Assumptions!$B$15)</f>
        <v>0.0105436265887023</v>
      </c>
      <c r="S425" s="8" t="n">
        <f aca="true">NORMINV(RAND(),Assumptions!$B$14,Assumptions!$B$15)</f>
        <v>0.0664592279733573</v>
      </c>
      <c r="T425" s="8" t="n">
        <f aca="false">Assumptions!$B$19*H425+(1-Assumptions!$B$19)*N425</f>
        <v>0.136161315296173</v>
      </c>
      <c r="U425" s="8" t="n">
        <f aca="false">Assumptions!$B$20*I425+(1-Assumptions!$B$20)*O425</f>
        <v>0.262121541025657</v>
      </c>
      <c r="V425" s="8" t="n">
        <f aca="false">Assumptions!$B$21*J425+(1-Assumptions!$B$21)*P425</f>
        <v>0.055152876269758</v>
      </c>
      <c r="W425" s="8" t="n">
        <f aca="false">Assumptions!$B$22*K425+(1-Assumptions!$B$22)*Q425</f>
        <v>0.067974284483611</v>
      </c>
      <c r="X425" s="8" t="n">
        <f aca="false">Assumptions!$B$23*L425+(1-Assumptions!$B$23)*R425</f>
        <v>0.1205772374428</v>
      </c>
      <c r="Y425" s="8" t="n">
        <f aca="false">Assumptions!$B$24*M425+(1-Assumptions!$B$24)*S425</f>
        <v>0.0260473288596883</v>
      </c>
      <c r="Z425" s="6" t="n">
        <f aca="false">Assumptions!$B$27*(1+T425)</f>
        <v>340848.394588852</v>
      </c>
      <c r="AA425" s="6" t="n">
        <f aca="false">(Z425+Assumptions!$B$28)*(1+U425)</f>
        <v>619510.332188451</v>
      </c>
      <c r="AB425" s="6" t="n">
        <f aca="false">AA425*(1+V425)</f>
        <v>653678.108887478</v>
      </c>
      <c r="AC425" s="6" t="n">
        <f aca="false">AB425*(1+W425)</f>
        <v>698111.410621704</v>
      </c>
      <c r="AD425" s="6" t="n">
        <f aca="false">AC425*(1+X425)</f>
        <v>782287.755941765</v>
      </c>
      <c r="AE425" s="6" t="n">
        <f aca="false">AD425*(1+Y425)</f>
        <v>802664.262383688</v>
      </c>
      <c r="AF425" s="6" t="n">
        <f aca="false">Z425</f>
        <v>340848.394588852</v>
      </c>
      <c r="AG425" s="6" t="n">
        <f aca="false">MAX(AF425,AA425)</f>
        <v>619510.332188451</v>
      </c>
      <c r="AH425" s="6" t="n">
        <f aca="false">MAX(AG425,AB425)</f>
        <v>653678.108887478</v>
      </c>
      <c r="AI425" s="6" t="n">
        <f aca="false">MAX(AH425,AC425)</f>
        <v>698111.410621704</v>
      </c>
      <c r="AJ425" s="6" t="n">
        <f aca="false">MAX(AI425,AD425)</f>
        <v>782287.755941765</v>
      </c>
      <c r="AK425" s="6" t="n">
        <f aca="false">MAX(AJ425,AE425)</f>
        <v>802664.262383688</v>
      </c>
      <c r="AL425" s="8" t="n">
        <f aca="false">MIN(Z425/AF425-1,AA425/AG425-1,AB425/AH425-1,AC425/AI425-1,AD425/AJ425-1,AE425/AK425-1)</f>
        <v>0</v>
      </c>
      <c r="AM425" s="6" t="n">
        <f aca="false">AE425-Assumptions!$B$35</f>
        <v>361400.265721184</v>
      </c>
    </row>
    <row r="426" customFormat="false" ht="15" hidden="false" customHeight="false" outlineLevel="0" collapsed="false">
      <c r="A426" s="0" t="n">
        <f aca="false">ROW()-1</f>
        <v>425</v>
      </c>
      <c r="B426" s="0" t="str">
        <f aca="true">IF(RAND()&lt;Assumptions!$B$11,"Bull","Bear")</f>
        <v>Bear</v>
      </c>
      <c r="C426" s="0" t="str">
        <f aca="true">IF(B426="Bull",IF(RAND()&lt;Assumptions!$B$7,"Bull","Bear"),IF(RAND()&lt;Assumptions!$B$10,"Bear","Bull"))</f>
        <v>Bear</v>
      </c>
      <c r="D426" s="0" t="str">
        <f aca="true">IF(C426="Bull",IF(RAND()&lt;Assumptions!$B$7,"Bull","Bear"),IF(RAND()&lt;Assumptions!$B$10,"Bear","Bull"))</f>
        <v>Bear</v>
      </c>
      <c r="E426" s="0" t="str">
        <f aca="true">IF(D426="Bull",IF(RAND()&lt;Assumptions!$B$7,"Bull","Bear"),IF(RAND()&lt;Assumptions!$B$10,"Bear","Bull"))</f>
        <v>Bull</v>
      </c>
      <c r="F426" s="0" t="str">
        <f aca="true">IF(E426="Bull",IF(RAND()&lt;Assumptions!$B$7,"Bull","Bear"),IF(RAND()&lt;Assumptions!$B$10,"Bear","Bull"))</f>
        <v>Bull</v>
      </c>
      <c r="G426" s="0" t="str">
        <f aca="true">IF(F426="Bull",IF(RAND()&lt;Assumptions!$B$7,"Bull","Bear"),IF(RAND()&lt;Assumptions!$B$10,"Bear","Bull"))</f>
        <v>Bull</v>
      </c>
      <c r="H426" s="8" t="n">
        <f aca="true">IF(B426="Bull",NORMINV(RAND(),Assumptions!$B$5,Assumptions!$B$6),NORMINV(RAND(),Assumptions!$B$8,Assumptions!$B$9))</f>
        <v>0.260011267173297</v>
      </c>
      <c r="I426" s="8" t="n">
        <f aca="true">IF(C426="Bull",NORMINV(RAND(),Assumptions!$B$5,Assumptions!$B$6),NORMINV(RAND(),Assumptions!$B$8,Assumptions!$B$9))</f>
        <v>-0.0588180044878363</v>
      </c>
      <c r="J426" s="8" t="n">
        <f aca="true">IF(D426="Bull",NORMINV(RAND(),Assumptions!$B$5,Assumptions!$B$6),NORMINV(RAND(),Assumptions!$B$8,Assumptions!$B$9))</f>
        <v>-0.0399045411603263</v>
      </c>
      <c r="K426" s="8" t="n">
        <f aca="true">IF(E426="Bull",NORMINV(RAND(),Assumptions!$B$5,Assumptions!$B$6),NORMINV(RAND(),Assumptions!$B$8,Assumptions!$B$9))</f>
        <v>0.142155836547955</v>
      </c>
      <c r="L426" s="8" t="n">
        <f aca="true">IF(F426="Bull",NORMINV(RAND(),Assumptions!$B$5,Assumptions!$B$6),NORMINV(RAND(),Assumptions!$B$8,Assumptions!$B$9))</f>
        <v>0.0635209449700065</v>
      </c>
      <c r="M426" s="8" t="n">
        <f aca="true">IF(G426="Bull",NORMINV(RAND(),Assumptions!$B$5,Assumptions!$B$6),NORMINV(RAND(),Assumptions!$B$8,Assumptions!$B$9))</f>
        <v>0.135363683030593</v>
      </c>
      <c r="N426" s="8" t="n">
        <f aca="true">NORMINV(RAND(),Assumptions!$B$14,Assumptions!$B$15)</f>
        <v>0.0618256657636021</v>
      </c>
      <c r="O426" s="8" t="n">
        <f aca="true">NORMINV(RAND(),Assumptions!$B$14,Assumptions!$B$15)</f>
        <v>0.0117907978980068</v>
      </c>
      <c r="P426" s="8" t="n">
        <f aca="true">NORMINV(RAND(),Assumptions!$B$14,Assumptions!$B$15)</f>
        <v>-0.00301031737828665</v>
      </c>
      <c r="Q426" s="8" t="n">
        <f aca="true">NORMINV(RAND(),Assumptions!$B$14,Assumptions!$B$15)</f>
        <v>0.0267734506786695</v>
      </c>
      <c r="R426" s="8" t="n">
        <f aca="true">NORMINV(RAND(),Assumptions!$B$14,Assumptions!$B$15)</f>
        <v>0.0290646052364196</v>
      </c>
      <c r="S426" s="8" t="n">
        <f aca="true">NORMINV(RAND(),Assumptions!$B$14,Assumptions!$B$15)</f>
        <v>0.0385053810972043</v>
      </c>
      <c r="T426" s="8" t="n">
        <f aca="false">Assumptions!$B$19*H426+(1-Assumptions!$B$19)*N426</f>
        <v>0.260011267173297</v>
      </c>
      <c r="U426" s="8" t="n">
        <f aca="false">Assumptions!$B$20*I426+(1-Assumptions!$B$20)*O426</f>
        <v>-0.0588180044878363</v>
      </c>
      <c r="V426" s="8" t="n">
        <f aca="false">Assumptions!$B$21*J426+(1-Assumptions!$B$21)*P426</f>
        <v>-0.0399045411603263</v>
      </c>
      <c r="W426" s="8" t="n">
        <f aca="false">Assumptions!$B$22*K426+(1-Assumptions!$B$22)*Q426</f>
        <v>0.142155836547955</v>
      </c>
      <c r="X426" s="8" t="n">
        <f aca="false">Assumptions!$B$23*L426+(1-Assumptions!$B$23)*R426</f>
        <v>0.0566296770232891</v>
      </c>
      <c r="Y426" s="8" t="n">
        <f aca="false">Assumptions!$B$24*M426+(1-Assumptions!$B$24)*S426</f>
        <v>0.0966203622572377</v>
      </c>
      <c r="Z426" s="6" t="n">
        <f aca="false">Assumptions!$B$27*(1+T426)</f>
        <v>378003.380151989</v>
      </c>
      <c r="AA426" s="6" t="n">
        <f aca="false">(Z426+Assumptions!$B$28)*(1+U426)</f>
        <v>496947.274968617</v>
      </c>
      <c r="AB426" s="6" t="n">
        <f aca="false">AA426*(1+V426)</f>
        <v>477116.82198012</v>
      </c>
      <c r="AC426" s="6" t="n">
        <f aca="false">AB426*(1+W426)</f>
        <v>544941.762939805</v>
      </c>
      <c r="AD426" s="6" t="n">
        <f aca="false">AC426*(1+X426)</f>
        <v>575801.638971588</v>
      </c>
      <c r="AE426" s="6" t="n">
        <f aca="false">AD426*(1+Y426)</f>
        <v>631435.801917334</v>
      </c>
      <c r="AF426" s="6" t="n">
        <f aca="false">Z426</f>
        <v>378003.380151989</v>
      </c>
      <c r="AG426" s="6" t="n">
        <f aca="false">MAX(AF426,AA426)</f>
        <v>496947.274968617</v>
      </c>
      <c r="AH426" s="6" t="n">
        <f aca="false">MAX(AG426,AB426)</f>
        <v>496947.274968617</v>
      </c>
      <c r="AI426" s="6" t="n">
        <f aca="false">MAX(AH426,AC426)</f>
        <v>544941.762939805</v>
      </c>
      <c r="AJ426" s="6" t="n">
        <f aca="false">MAX(AI426,AD426)</f>
        <v>575801.638971588</v>
      </c>
      <c r="AK426" s="6" t="n">
        <f aca="false">MAX(AJ426,AE426)</f>
        <v>631435.801917334</v>
      </c>
      <c r="AL426" s="8" t="n">
        <f aca="false">MIN(Z426/AF426-1,AA426/AG426-1,AB426/AH426-1,AC426/AI426-1,AD426/AJ426-1,AE426/AK426-1)</f>
        <v>-0.0399045411603263</v>
      </c>
      <c r="AM426" s="6" t="n">
        <f aca="false">AE426-Assumptions!$B$35</f>
        <v>190171.805254831</v>
      </c>
    </row>
    <row r="427" customFormat="false" ht="15" hidden="false" customHeight="false" outlineLevel="0" collapsed="false">
      <c r="A427" s="0" t="n">
        <f aca="false">ROW()-1</f>
        <v>426</v>
      </c>
      <c r="B427" s="0" t="str">
        <f aca="true">IF(RAND()&lt;Assumptions!$B$11,"Bull","Bear")</f>
        <v>Bull</v>
      </c>
      <c r="C427" s="0" t="str">
        <f aca="true">IF(B427="Bull",IF(RAND()&lt;Assumptions!$B$7,"Bull","Bear"),IF(RAND()&lt;Assumptions!$B$10,"Bear","Bull"))</f>
        <v>Bull</v>
      </c>
      <c r="D427" s="0" t="str">
        <f aca="true">IF(C427="Bull",IF(RAND()&lt;Assumptions!$B$7,"Bull","Bear"),IF(RAND()&lt;Assumptions!$B$10,"Bear","Bull"))</f>
        <v>Bear</v>
      </c>
      <c r="E427" s="0" t="str">
        <f aca="true">IF(D427="Bull",IF(RAND()&lt;Assumptions!$B$7,"Bull","Bear"),IF(RAND()&lt;Assumptions!$B$10,"Bear","Bull"))</f>
        <v>Bear</v>
      </c>
      <c r="F427" s="0" t="str">
        <f aca="true">IF(E427="Bull",IF(RAND()&lt;Assumptions!$B$7,"Bull","Bear"),IF(RAND()&lt;Assumptions!$B$10,"Bear","Bull"))</f>
        <v>Bear</v>
      </c>
      <c r="G427" s="0" t="str">
        <f aca="true">IF(F427="Bull",IF(RAND()&lt;Assumptions!$B$7,"Bull","Bear"),IF(RAND()&lt;Assumptions!$B$10,"Bear","Bull"))</f>
        <v>Bull</v>
      </c>
      <c r="H427" s="8" t="n">
        <f aca="true">IF(B427="Bull",NORMINV(RAND(),Assumptions!$B$5,Assumptions!$B$6),NORMINV(RAND(),Assumptions!$B$8,Assumptions!$B$9))</f>
        <v>0.206462787197956</v>
      </c>
      <c r="I427" s="8" t="n">
        <f aca="true">IF(C427="Bull",NORMINV(RAND(),Assumptions!$B$5,Assumptions!$B$6),NORMINV(RAND(),Assumptions!$B$8,Assumptions!$B$9))</f>
        <v>-0.046147699695725</v>
      </c>
      <c r="J427" s="8" t="n">
        <f aca="true">IF(D427="Bull",NORMINV(RAND(),Assumptions!$B$5,Assumptions!$B$6),NORMINV(RAND(),Assumptions!$B$8,Assumptions!$B$9))</f>
        <v>-0.0295413595252145</v>
      </c>
      <c r="K427" s="8" t="n">
        <f aca="true">IF(E427="Bull",NORMINV(RAND(),Assumptions!$B$5,Assumptions!$B$6),NORMINV(RAND(),Assumptions!$B$8,Assumptions!$B$9))</f>
        <v>-0.27569444658907</v>
      </c>
      <c r="L427" s="8" t="n">
        <f aca="true">IF(F427="Bull",NORMINV(RAND(),Assumptions!$B$5,Assumptions!$B$6),NORMINV(RAND(),Assumptions!$B$8,Assumptions!$B$9))</f>
        <v>-0.333483564742869</v>
      </c>
      <c r="M427" s="8" t="n">
        <f aca="true">IF(G427="Bull",NORMINV(RAND(),Assumptions!$B$5,Assumptions!$B$6),NORMINV(RAND(),Assumptions!$B$8,Assumptions!$B$9))</f>
        <v>0.228066996977643</v>
      </c>
      <c r="N427" s="8" t="n">
        <f aca="true">NORMINV(RAND(),Assumptions!$B$14,Assumptions!$B$15)</f>
        <v>0.0525804966458274</v>
      </c>
      <c r="O427" s="8" t="n">
        <f aca="true">NORMINV(RAND(),Assumptions!$B$14,Assumptions!$B$15)</f>
        <v>0.0490232750889746</v>
      </c>
      <c r="P427" s="8" t="n">
        <f aca="true">NORMINV(RAND(),Assumptions!$B$14,Assumptions!$B$15)</f>
        <v>0.0692105299920929</v>
      </c>
      <c r="Q427" s="8" t="n">
        <f aca="true">NORMINV(RAND(),Assumptions!$B$14,Assumptions!$B$15)</f>
        <v>0.00718666073721744</v>
      </c>
      <c r="R427" s="8" t="n">
        <f aca="true">NORMINV(RAND(),Assumptions!$B$14,Assumptions!$B$15)</f>
        <v>0.0932632266857315</v>
      </c>
      <c r="S427" s="8" t="n">
        <f aca="true">NORMINV(RAND(),Assumptions!$B$14,Assumptions!$B$15)</f>
        <v>0.024751717258558</v>
      </c>
      <c r="T427" s="8" t="n">
        <f aca="false">Assumptions!$B$19*H427+(1-Assumptions!$B$19)*N427</f>
        <v>0.206462787197956</v>
      </c>
      <c r="U427" s="8" t="n">
        <f aca="false">Assumptions!$B$20*I427+(1-Assumptions!$B$20)*O427</f>
        <v>-0.046147699695725</v>
      </c>
      <c r="V427" s="8" t="n">
        <f aca="false">Assumptions!$B$21*J427+(1-Assumptions!$B$21)*P427</f>
        <v>-0.0295413595252145</v>
      </c>
      <c r="W427" s="8" t="n">
        <f aca="false">Assumptions!$B$22*K427+(1-Assumptions!$B$22)*Q427</f>
        <v>-0.27569444658907</v>
      </c>
      <c r="X427" s="8" t="n">
        <f aca="false">Assumptions!$B$23*L427+(1-Assumptions!$B$23)*R427</f>
        <v>-0.248134206457149</v>
      </c>
      <c r="Y427" s="8" t="n">
        <f aca="false">Assumptions!$B$24*M427+(1-Assumptions!$B$24)*S427</f>
        <v>0.146740885090009</v>
      </c>
      <c r="Z427" s="6" t="n">
        <f aca="false">Assumptions!$B$27*(1+T427)</f>
        <v>361938.836159387</v>
      </c>
      <c r="AA427" s="6" t="n">
        <f aca="false">(Z427+Assumptions!$B$28)*(1+U427)</f>
        <v>488314.036485725</v>
      </c>
      <c r="AB427" s="6" t="n">
        <f aca="false">AA427*(1+V427)</f>
        <v>473888.575972691</v>
      </c>
      <c r="AC427" s="6" t="n">
        <f aca="false">AB427*(1+W427)</f>
        <v>343240.127275018</v>
      </c>
      <c r="AD427" s="6" t="n">
        <f aca="false">AC427*(1+X427)</f>
        <v>258070.51066938</v>
      </c>
      <c r="AE427" s="6" t="n">
        <f aca="false">AD427*(1+Y427)</f>
        <v>295940.005820636</v>
      </c>
      <c r="AF427" s="6" t="n">
        <f aca="false">Z427</f>
        <v>361938.836159387</v>
      </c>
      <c r="AG427" s="6" t="n">
        <f aca="false">MAX(AF427,AA427)</f>
        <v>488314.036485725</v>
      </c>
      <c r="AH427" s="6" t="n">
        <f aca="false">MAX(AG427,AB427)</f>
        <v>488314.036485725</v>
      </c>
      <c r="AI427" s="6" t="n">
        <f aca="false">MAX(AH427,AC427)</f>
        <v>488314.036485725</v>
      </c>
      <c r="AJ427" s="6" t="n">
        <f aca="false">MAX(AI427,AD427)</f>
        <v>488314.036485725</v>
      </c>
      <c r="AK427" s="6" t="n">
        <f aca="false">MAX(AJ427,AE427)</f>
        <v>488314.036485725</v>
      </c>
      <c r="AL427" s="8" t="n">
        <f aca="false">MIN(Z427/AF427-1,AA427/AG427-1,AB427/AH427-1,AC427/AI427-1,AD427/AJ427-1,AE427/AK427-1)</f>
        <v>-0.471507080716643</v>
      </c>
      <c r="AM427" s="6" t="n">
        <f aca="false">AE427-Assumptions!$B$35</f>
        <v>-145323.990841868</v>
      </c>
    </row>
    <row r="428" customFormat="false" ht="15" hidden="false" customHeight="false" outlineLevel="0" collapsed="false">
      <c r="A428" s="0" t="n">
        <f aca="false">ROW()-1</f>
        <v>427</v>
      </c>
      <c r="B428" s="0" t="str">
        <f aca="true">IF(RAND()&lt;Assumptions!$B$11,"Bull","Bear")</f>
        <v>Bull</v>
      </c>
      <c r="C428" s="0" t="str">
        <f aca="true">IF(B428="Bull",IF(RAND()&lt;Assumptions!$B$7,"Bull","Bear"),IF(RAND()&lt;Assumptions!$B$10,"Bear","Bull"))</f>
        <v>Bull</v>
      </c>
      <c r="D428" s="0" t="str">
        <f aca="true">IF(C428="Bull",IF(RAND()&lt;Assumptions!$B$7,"Bull","Bear"),IF(RAND()&lt;Assumptions!$B$10,"Bear","Bull"))</f>
        <v>Bear</v>
      </c>
      <c r="E428" s="0" t="str">
        <f aca="true">IF(D428="Bull",IF(RAND()&lt;Assumptions!$B$7,"Bull","Bear"),IF(RAND()&lt;Assumptions!$B$10,"Bear","Bull"))</f>
        <v>Bull</v>
      </c>
      <c r="F428" s="0" t="str">
        <f aca="true">IF(E428="Bull",IF(RAND()&lt;Assumptions!$B$7,"Bull","Bear"),IF(RAND()&lt;Assumptions!$B$10,"Bear","Bull"))</f>
        <v>Bull</v>
      </c>
      <c r="G428" s="0" t="str">
        <f aca="true">IF(F428="Bull",IF(RAND()&lt;Assumptions!$B$7,"Bull","Bear"),IF(RAND()&lt;Assumptions!$B$10,"Bear","Bull"))</f>
        <v>Bull</v>
      </c>
      <c r="H428" s="8" t="n">
        <f aca="true">IF(B428="Bull",NORMINV(RAND(),Assumptions!$B$5,Assumptions!$B$6),NORMINV(RAND(),Assumptions!$B$8,Assumptions!$B$9))</f>
        <v>0.177796147314606</v>
      </c>
      <c r="I428" s="8" t="n">
        <f aca="true">IF(C428="Bull",NORMINV(RAND(),Assumptions!$B$5,Assumptions!$B$6),NORMINV(RAND(),Assumptions!$B$8,Assumptions!$B$9))</f>
        <v>0.336439766748087</v>
      </c>
      <c r="J428" s="8" t="n">
        <f aca="true">IF(D428="Bull",NORMINV(RAND(),Assumptions!$B$5,Assumptions!$B$6),NORMINV(RAND(),Assumptions!$B$8,Assumptions!$B$9))</f>
        <v>-0.160299350465531</v>
      </c>
      <c r="K428" s="8" t="n">
        <f aca="true">IF(E428="Bull",NORMINV(RAND(),Assumptions!$B$5,Assumptions!$B$6),NORMINV(RAND(),Assumptions!$B$8,Assumptions!$B$9))</f>
        <v>0.0882957568220273</v>
      </c>
      <c r="L428" s="8" t="n">
        <f aca="true">IF(F428="Bull",NORMINV(RAND(),Assumptions!$B$5,Assumptions!$B$6),NORMINV(RAND(),Assumptions!$B$8,Assumptions!$B$9))</f>
        <v>0.210872344981896</v>
      </c>
      <c r="M428" s="8" t="n">
        <f aca="true">IF(G428="Bull",NORMINV(RAND(),Assumptions!$B$5,Assumptions!$B$6),NORMINV(RAND(),Assumptions!$B$8,Assumptions!$B$9))</f>
        <v>0.278990890681452</v>
      </c>
      <c r="N428" s="8" t="n">
        <f aca="true">NORMINV(RAND(),Assumptions!$B$14,Assumptions!$B$15)</f>
        <v>0.0644328515646192</v>
      </c>
      <c r="O428" s="8" t="n">
        <f aca="true">NORMINV(RAND(),Assumptions!$B$14,Assumptions!$B$15)</f>
        <v>0.049929103910729</v>
      </c>
      <c r="P428" s="8" t="n">
        <f aca="true">NORMINV(RAND(),Assumptions!$B$14,Assumptions!$B$15)</f>
        <v>0.0311246788983148</v>
      </c>
      <c r="Q428" s="8" t="n">
        <f aca="true">NORMINV(RAND(),Assumptions!$B$14,Assumptions!$B$15)</f>
        <v>0.064916394296582</v>
      </c>
      <c r="R428" s="8" t="n">
        <f aca="true">NORMINV(RAND(),Assumptions!$B$14,Assumptions!$B$15)</f>
        <v>0.0677299089360824</v>
      </c>
      <c r="S428" s="8" t="n">
        <f aca="true">NORMINV(RAND(),Assumptions!$B$14,Assumptions!$B$15)</f>
        <v>0.0768394529756433</v>
      </c>
      <c r="T428" s="8" t="n">
        <f aca="false">Assumptions!$B$19*H428+(1-Assumptions!$B$19)*N428</f>
        <v>0.177796147314606</v>
      </c>
      <c r="U428" s="8" t="n">
        <f aca="false">Assumptions!$B$20*I428+(1-Assumptions!$B$20)*O428</f>
        <v>0.336439766748087</v>
      </c>
      <c r="V428" s="8" t="n">
        <f aca="false">Assumptions!$B$21*J428+(1-Assumptions!$B$21)*P428</f>
        <v>-0.160299350465531</v>
      </c>
      <c r="W428" s="8" t="n">
        <f aca="false">Assumptions!$B$22*K428+(1-Assumptions!$B$22)*Q428</f>
        <v>0.0882957568220273</v>
      </c>
      <c r="X428" s="8" t="n">
        <f aca="false">Assumptions!$B$23*L428+(1-Assumptions!$B$23)*R428</f>
        <v>0.182243857772734</v>
      </c>
      <c r="Y428" s="8" t="n">
        <f aca="false">Assumptions!$B$24*M428+(1-Assumptions!$B$24)*S428</f>
        <v>0.198130315599129</v>
      </c>
      <c r="Z428" s="6" t="n">
        <f aca="false">Assumptions!$B$27*(1+T428)</f>
        <v>353338.844194382</v>
      </c>
      <c r="AA428" s="6" t="n">
        <f aca="false">(Z428+Assumptions!$B$28)*(1+U428)</f>
        <v>672682.047530391</v>
      </c>
      <c r="AB428" s="6" t="n">
        <f aca="false">AA428*(1+V428)</f>
        <v>564851.552241446</v>
      </c>
      <c r="AC428" s="6" t="n">
        <f aca="false">AB428*(1+W428)</f>
        <v>614725.547538701</v>
      </c>
      <c r="AD428" s="6" t="n">
        <f aca="false">AC428*(1+X428)</f>
        <v>726755.50279361</v>
      </c>
      <c r="AE428" s="6" t="n">
        <f aca="false">AD428*(1+Y428)</f>
        <v>870747.799925512</v>
      </c>
      <c r="AF428" s="6" t="n">
        <f aca="false">Z428</f>
        <v>353338.844194382</v>
      </c>
      <c r="AG428" s="6" t="n">
        <f aca="false">MAX(AF428,AA428)</f>
        <v>672682.047530391</v>
      </c>
      <c r="AH428" s="6" t="n">
        <f aca="false">MAX(AG428,AB428)</f>
        <v>672682.047530391</v>
      </c>
      <c r="AI428" s="6" t="n">
        <f aca="false">MAX(AH428,AC428)</f>
        <v>672682.047530391</v>
      </c>
      <c r="AJ428" s="6" t="n">
        <f aca="false">MAX(AI428,AD428)</f>
        <v>726755.50279361</v>
      </c>
      <c r="AK428" s="6" t="n">
        <f aca="false">MAX(AJ428,AE428)</f>
        <v>870747.799925512</v>
      </c>
      <c r="AL428" s="8" t="n">
        <f aca="false">MIN(Z428/AF428-1,AA428/AG428-1,AB428/AH428-1,AC428/AI428-1,AD428/AJ428-1,AE428/AK428-1)</f>
        <v>-0.160299350465531</v>
      </c>
      <c r="AM428" s="6" t="n">
        <f aca="false">AE428-Assumptions!$B$35</f>
        <v>429483.803263008</v>
      </c>
    </row>
    <row r="429" customFormat="false" ht="15" hidden="false" customHeight="false" outlineLevel="0" collapsed="false">
      <c r="A429" s="0" t="n">
        <f aca="false">ROW()-1</f>
        <v>428</v>
      </c>
      <c r="B429" s="0" t="str">
        <f aca="true">IF(RAND()&lt;Assumptions!$B$11,"Bull","Bear")</f>
        <v>Bull</v>
      </c>
      <c r="C429" s="0" t="str">
        <f aca="true">IF(B429="Bull",IF(RAND()&lt;Assumptions!$B$7,"Bull","Bear"),IF(RAND()&lt;Assumptions!$B$10,"Bear","Bull"))</f>
        <v>Bull</v>
      </c>
      <c r="D429" s="0" t="str">
        <f aca="true">IF(C429="Bull",IF(RAND()&lt;Assumptions!$B$7,"Bull","Bear"),IF(RAND()&lt;Assumptions!$B$10,"Bear","Bull"))</f>
        <v>Bull</v>
      </c>
      <c r="E429" s="0" t="str">
        <f aca="true">IF(D429="Bull",IF(RAND()&lt;Assumptions!$B$7,"Bull","Bear"),IF(RAND()&lt;Assumptions!$B$10,"Bear","Bull"))</f>
        <v>Bull</v>
      </c>
      <c r="F429" s="0" t="str">
        <f aca="true">IF(E429="Bull",IF(RAND()&lt;Assumptions!$B$7,"Bull","Bear"),IF(RAND()&lt;Assumptions!$B$10,"Bear","Bull"))</f>
        <v>Bull</v>
      </c>
      <c r="G429" s="0" t="str">
        <f aca="true">IF(F429="Bull",IF(RAND()&lt;Assumptions!$B$7,"Bull","Bear"),IF(RAND()&lt;Assumptions!$B$10,"Bear","Bull"))</f>
        <v>Bull</v>
      </c>
      <c r="H429" s="8" t="n">
        <f aca="true">IF(B429="Bull",NORMINV(RAND(),Assumptions!$B$5,Assumptions!$B$6),NORMINV(RAND(),Assumptions!$B$8,Assumptions!$B$9))</f>
        <v>0.208544256034143</v>
      </c>
      <c r="I429" s="8" t="n">
        <f aca="true">IF(C429="Bull",NORMINV(RAND(),Assumptions!$B$5,Assumptions!$B$6),NORMINV(RAND(),Assumptions!$B$8,Assumptions!$B$9))</f>
        <v>0.14039910434656</v>
      </c>
      <c r="J429" s="8" t="n">
        <f aca="true">IF(D429="Bull",NORMINV(RAND(),Assumptions!$B$5,Assumptions!$B$6),NORMINV(RAND(),Assumptions!$B$8,Assumptions!$B$9))</f>
        <v>-0.126051914452274</v>
      </c>
      <c r="K429" s="8" t="n">
        <f aca="true">IF(E429="Bull",NORMINV(RAND(),Assumptions!$B$5,Assumptions!$B$6),NORMINV(RAND(),Assumptions!$B$8,Assumptions!$B$9))</f>
        <v>0.337787385465594</v>
      </c>
      <c r="L429" s="8" t="n">
        <f aca="true">IF(F429="Bull",NORMINV(RAND(),Assumptions!$B$5,Assumptions!$B$6),NORMINV(RAND(),Assumptions!$B$8,Assumptions!$B$9))</f>
        <v>0.218188882041617</v>
      </c>
      <c r="M429" s="8" t="n">
        <f aca="true">IF(G429="Bull",NORMINV(RAND(),Assumptions!$B$5,Assumptions!$B$6),NORMINV(RAND(),Assumptions!$B$8,Assumptions!$B$9))</f>
        <v>-0.0137433963452807</v>
      </c>
      <c r="N429" s="8" t="n">
        <f aca="true">NORMINV(RAND(),Assumptions!$B$14,Assumptions!$B$15)</f>
        <v>0.0467401493044265</v>
      </c>
      <c r="O429" s="8" t="n">
        <f aca="true">NORMINV(RAND(),Assumptions!$B$14,Assumptions!$B$15)</f>
        <v>0.0227476403514611</v>
      </c>
      <c r="P429" s="8" t="n">
        <f aca="true">NORMINV(RAND(),Assumptions!$B$14,Assumptions!$B$15)</f>
        <v>0.0254951997444843</v>
      </c>
      <c r="Q429" s="8" t="n">
        <f aca="true">NORMINV(RAND(),Assumptions!$B$14,Assumptions!$B$15)</f>
        <v>0.0540409354531764</v>
      </c>
      <c r="R429" s="8" t="n">
        <f aca="true">NORMINV(RAND(),Assumptions!$B$14,Assumptions!$B$15)</f>
        <v>0.111603088601591</v>
      </c>
      <c r="S429" s="8" t="n">
        <f aca="true">NORMINV(RAND(),Assumptions!$B$14,Assumptions!$B$15)</f>
        <v>0.0578104767040192</v>
      </c>
      <c r="T429" s="8" t="n">
        <f aca="false">Assumptions!$B$19*H429+(1-Assumptions!$B$19)*N429</f>
        <v>0.208544256034143</v>
      </c>
      <c r="U429" s="8" t="n">
        <f aca="false">Assumptions!$B$20*I429+(1-Assumptions!$B$20)*O429</f>
        <v>0.14039910434656</v>
      </c>
      <c r="V429" s="8" t="n">
        <f aca="false">Assumptions!$B$21*J429+(1-Assumptions!$B$21)*P429</f>
        <v>-0.126051914452274</v>
      </c>
      <c r="W429" s="8" t="n">
        <f aca="false">Assumptions!$B$22*K429+(1-Assumptions!$B$22)*Q429</f>
        <v>0.337787385465594</v>
      </c>
      <c r="X429" s="8" t="n">
        <f aca="false">Assumptions!$B$23*L429+(1-Assumptions!$B$23)*R429</f>
        <v>0.196871723353611</v>
      </c>
      <c r="Y429" s="8" t="n">
        <f aca="false">Assumptions!$B$24*M429+(1-Assumptions!$B$24)*S429</f>
        <v>0.0148781528744393</v>
      </c>
      <c r="Z429" s="6" t="n">
        <f aca="false">Assumptions!$B$27*(1+T429)</f>
        <v>362563.276810243</v>
      </c>
      <c r="AA429" s="6" t="n">
        <f aca="false">(Z429+Assumptions!$B$28)*(1+U429)</f>
        <v>584526.701795339</v>
      </c>
      <c r="AB429" s="6" t="n">
        <f aca="false">AA429*(1+V429)</f>
        <v>510845.991985563</v>
      </c>
      <c r="AC429" s="6" t="n">
        <f aca="false">AB429*(1+W429)</f>
        <v>683403.323993944</v>
      </c>
      <c r="AD429" s="6" t="n">
        <f aca="false">AC429*(1+X429)</f>
        <v>817946.114134218</v>
      </c>
      <c r="AE429" s="6" t="n">
        <f aca="false">AD429*(1+Y429)</f>
        <v>830115.64146336</v>
      </c>
      <c r="AF429" s="6" t="n">
        <f aca="false">Z429</f>
        <v>362563.276810243</v>
      </c>
      <c r="AG429" s="6" t="n">
        <f aca="false">MAX(AF429,AA429)</f>
        <v>584526.701795339</v>
      </c>
      <c r="AH429" s="6" t="n">
        <f aca="false">MAX(AG429,AB429)</f>
        <v>584526.701795339</v>
      </c>
      <c r="AI429" s="6" t="n">
        <f aca="false">MAX(AH429,AC429)</f>
        <v>683403.323993944</v>
      </c>
      <c r="AJ429" s="6" t="n">
        <f aca="false">MAX(AI429,AD429)</f>
        <v>817946.114134218</v>
      </c>
      <c r="AK429" s="6" t="n">
        <f aca="false">MAX(AJ429,AE429)</f>
        <v>830115.64146336</v>
      </c>
      <c r="AL429" s="8" t="n">
        <f aca="false">MIN(Z429/AF429-1,AA429/AG429-1,AB429/AH429-1,AC429/AI429-1,AD429/AJ429-1,AE429/AK429-1)</f>
        <v>-0.126051914452274</v>
      </c>
      <c r="AM429" s="6" t="n">
        <f aca="false">AE429-Assumptions!$B$35</f>
        <v>388851.644800857</v>
      </c>
    </row>
    <row r="430" customFormat="false" ht="15" hidden="false" customHeight="false" outlineLevel="0" collapsed="false">
      <c r="A430" s="0" t="n">
        <f aca="false">ROW()-1</f>
        <v>429</v>
      </c>
      <c r="B430" s="0" t="str">
        <f aca="true">IF(RAND()&lt;Assumptions!$B$11,"Bull","Bear")</f>
        <v>Bear</v>
      </c>
      <c r="C430" s="0" t="str">
        <f aca="true">IF(B430="Bull",IF(RAND()&lt;Assumptions!$B$7,"Bull","Bear"),IF(RAND()&lt;Assumptions!$B$10,"Bear","Bull"))</f>
        <v>Bear</v>
      </c>
      <c r="D430" s="0" t="str">
        <f aca="true">IF(C430="Bull",IF(RAND()&lt;Assumptions!$B$7,"Bull","Bear"),IF(RAND()&lt;Assumptions!$B$10,"Bear","Bull"))</f>
        <v>Bull</v>
      </c>
      <c r="E430" s="0" t="str">
        <f aca="true">IF(D430="Bull",IF(RAND()&lt;Assumptions!$B$7,"Bull","Bear"),IF(RAND()&lt;Assumptions!$B$10,"Bear","Bull"))</f>
        <v>Bull</v>
      </c>
      <c r="F430" s="0" t="str">
        <f aca="true">IF(E430="Bull",IF(RAND()&lt;Assumptions!$B$7,"Bull","Bear"),IF(RAND()&lt;Assumptions!$B$10,"Bear","Bull"))</f>
        <v>Bear</v>
      </c>
      <c r="G430" s="0" t="str">
        <f aca="true">IF(F430="Bull",IF(RAND()&lt;Assumptions!$B$7,"Bull","Bear"),IF(RAND()&lt;Assumptions!$B$10,"Bear","Bull"))</f>
        <v>Bull</v>
      </c>
      <c r="H430" s="8" t="n">
        <f aca="true">IF(B430="Bull",NORMINV(RAND(),Assumptions!$B$5,Assumptions!$B$6),NORMINV(RAND(),Assumptions!$B$8,Assumptions!$B$9))</f>
        <v>-0.391306336079497</v>
      </c>
      <c r="I430" s="8" t="n">
        <f aca="true">IF(C430="Bull",NORMINV(RAND(),Assumptions!$B$5,Assumptions!$B$6),NORMINV(RAND(),Assumptions!$B$8,Assumptions!$B$9))</f>
        <v>0.163495316463599</v>
      </c>
      <c r="J430" s="8" t="n">
        <f aca="true">IF(D430="Bull",NORMINV(RAND(),Assumptions!$B$5,Assumptions!$B$6),NORMINV(RAND(),Assumptions!$B$8,Assumptions!$B$9))</f>
        <v>0.198034352058054</v>
      </c>
      <c r="K430" s="8" t="n">
        <f aca="true">IF(E430="Bull",NORMINV(RAND(),Assumptions!$B$5,Assumptions!$B$6),NORMINV(RAND(),Assumptions!$B$8,Assumptions!$B$9))</f>
        <v>0.160363622936345</v>
      </c>
      <c r="L430" s="8" t="n">
        <f aca="true">IF(F430="Bull",NORMINV(RAND(),Assumptions!$B$5,Assumptions!$B$6),NORMINV(RAND(),Assumptions!$B$8,Assumptions!$B$9))</f>
        <v>-0.00756757972879152</v>
      </c>
      <c r="M430" s="8" t="n">
        <f aca="true">IF(G430="Bull",NORMINV(RAND(),Assumptions!$B$5,Assumptions!$B$6),NORMINV(RAND(),Assumptions!$B$8,Assumptions!$B$9))</f>
        <v>0.0355022515621047</v>
      </c>
      <c r="N430" s="8" t="n">
        <f aca="true">NORMINV(RAND(),Assumptions!$B$14,Assumptions!$B$15)</f>
        <v>0.0758712731482929</v>
      </c>
      <c r="O430" s="8" t="n">
        <f aca="true">NORMINV(RAND(),Assumptions!$B$14,Assumptions!$B$15)</f>
        <v>0.0581578982439053</v>
      </c>
      <c r="P430" s="8" t="n">
        <f aca="true">NORMINV(RAND(),Assumptions!$B$14,Assumptions!$B$15)</f>
        <v>0.0410835605553581</v>
      </c>
      <c r="Q430" s="8" t="n">
        <f aca="true">NORMINV(RAND(),Assumptions!$B$14,Assumptions!$B$15)</f>
        <v>0.0590172193205271</v>
      </c>
      <c r="R430" s="8" t="n">
        <f aca="true">NORMINV(RAND(),Assumptions!$B$14,Assumptions!$B$15)</f>
        <v>0.00801599654831883</v>
      </c>
      <c r="S430" s="8" t="n">
        <f aca="true">NORMINV(RAND(),Assumptions!$B$14,Assumptions!$B$15)</f>
        <v>-0.00797495045736282</v>
      </c>
      <c r="T430" s="8" t="n">
        <f aca="false">Assumptions!$B$19*H430+(1-Assumptions!$B$19)*N430</f>
        <v>-0.391306336079497</v>
      </c>
      <c r="U430" s="8" t="n">
        <f aca="false">Assumptions!$B$20*I430+(1-Assumptions!$B$20)*O430</f>
        <v>0.163495316463599</v>
      </c>
      <c r="V430" s="8" t="n">
        <f aca="false">Assumptions!$B$21*J430+(1-Assumptions!$B$21)*P430</f>
        <v>0.198034352058054</v>
      </c>
      <c r="W430" s="8" t="n">
        <f aca="false">Assumptions!$B$22*K430+(1-Assumptions!$B$22)*Q430</f>
        <v>0.160363622936345</v>
      </c>
      <c r="X430" s="8" t="n">
        <f aca="false">Assumptions!$B$23*L430+(1-Assumptions!$B$23)*R430</f>
        <v>-0.00445086447336945</v>
      </c>
      <c r="Y430" s="8" t="n">
        <f aca="false">Assumptions!$B$24*M430+(1-Assumptions!$B$24)*S430</f>
        <v>0.0181113707543177</v>
      </c>
      <c r="Z430" s="6" t="n">
        <f aca="false">Assumptions!$B$27*(1+T430)</f>
        <v>182608.099176151</v>
      </c>
      <c r="AA430" s="6" t="n">
        <f aca="false">(Z430+Assumptions!$B$28)*(1+U430)</f>
        <v>386987.965609312</v>
      </c>
      <c r="AB430" s="6" t="n">
        <f aca="false">AA430*(1+V430)</f>
        <v>463624.876633017</v>
      </c>
      <c r="AC430" s="6" t="n">
        <f aca="false">AB430*(1+W430)</f>
        <v>537973.441533303</v>
      </c>
      <c r="AD430" s="6" t="n">
        <f aca="false">AC430*(1+X430)</f>
        <v>535578.994654766</v>
      </c>
      <c r="AE430" s="6" t="n">
        <f aca="false">AD430*(1+Y430)</f>
        <v>545279.064395184</v>
      </c>
      <c r="AF430" s="6" t="n">
        <f aca="false">Z430</f>
        <v>182608.099176151</v>
      </c>
      <c r="AG430" s="6" t="n">
        <f aca="false">MAX(AF430,AA430)</f>
        <v>386987.965609312</v>
      </c>
      <c r="AH430" s="6" t="n">
        <f aca="false">MAX(AG430,AB430)</f>
        <v>463624.876633017</v>
      </c>
      <c r="AI430" s="6" t="n">
        <f aca="false">MAX(AH430,AC430)</f>
        <v>537973.441533303</v>
      </c>
      <c r="AJ430" s="6" t="n">
        <f aca="false">MAX(AI430,AD430)</f>
        <v>537973.441533303</v>
      </c>
      <c r="AK430" s="6" t="n">
        <f aca="false">MAX(AJ430,AE430)</f>
        <v>545279.064395184</v>
      </c>
      <c r="AL430" s="8" t="n">
        <f aca="false">MIN(Z430/AF430-1,AA430/AG430-1,AB430/AH430-1,AC430/AI430-1,AD430/AJ430-1,AE430/AK430-1)</f>
        <v>-0.0044508644733694</v>
      </c>
      <c r="AM430" s="6" t="n">
        <f aca="false">AE430-Assumptions!$B$35</f>
        <v>104015.06773268</v>
      </c>
    </row>
    <row r="431" customFormat="false" ht="15" hidden="false" customHeight="false" outlineLevel="0" collapsed="false">
      <c r="A431" s="0" t="n">
        <f aca="false">ROW()-1</f>
        <v>430</v>
      </c>
      <c r="B431" s="0" t="str">
        <f aca="true">IF(RAND()&lt;Assumptions!$B$11,"Bull","Bear")</f>
        <v>Bear</v>
      </c>
      <c r="C431" s="0" t="str">
        <f aca="true">IF(B431="Bull",IF(RAND()&lt;Assumptions!$B$7,"Bull","Bear"),IF(RAND()&lt;Assumptions!$B$10,"Bear","Bull"))</f>
        <v>Bull</v>
      </c>
      <c r="D431" s="0" t="str">
        <f aca="true">IF(C431="Bull",IF(RAND()&lt;Assumptions!$B$7,"Bull","Bear"),IF(RAND()&lt;Assumptions!$B$10,"Bear","Bull"))</f>
        <v>Bull</v>
      </c>
      <c r="E431" s="0" t="str">
        <f aca="true">IF(D431="Bull",IF(RAND()&lt;Assumptions!$B$7,"Bull","Bear"),IF(RAND()&lt;Assumptions!$B$10,"Bear","Bull"))</f>
        <v>Bull</v>
      </c>
      <c r="F431" s="0" t="str">
        <f aca="true">IF(E431="Bull",IF(RAND()&lt;Assumptions!$B$7,"Bull","Bear"),IF(RAND()&lt;Assumptions!$B$10,"Bear","Bull"))</f>
        <v>Bear</v>
      </c>
      <c r="G431" s="0" t="str">
        <f aca="true">IF(F431="Bull",IF(RAND()&lt;Assumptions!$B$7,"Bull","Bear"),IF(RAND()&lt;Assumptions!$B$10,"Bear","Bull"))</f>
        <v>Bear</v>
      </c>
      <c r="H431" s="8" t="n">
        <f aca="true">IF(B431="Bull",NORMINV(RAND(),Assumptions!$B$5,Assumptions!$B$6),NORMINV(RAND(),Assumptions!$B$8,Assumptions!$B$9))</f>
        <v>0.162907386771394</v>
      </c>
      <c r="I431" s="8" t="n">
        <f aca="true">IF(C431="Bull",NORMINV(RAND(),Assumptions!$B$5,Assumptions!$B$6),NORMINV(RAND(),Assumptions!$B$8,Assumptions!$B$9))</f>
        <v>0.122214114007544</v>
      </c>
      <c r="J431" s="8" t="n">
        <f aca="true">IF(D431="Bull",NORMINV(RAND(),Assumptions!$B$5,Assumptions!$B$6),NORMINV(RAND(),Assumptions!$B$8,Assumptions!$B$9))</f>
        <v>0.280987731793697</v>
      </c>
      <c r="K431" s="8" t="n">
        <f aca="true">IF(E431="Bull",NORMINV(RAND(),Assumptions!$B$5,Assumptions!$B$6),NORMINV(RAND(),Assumptions!$B$8,Assumptions!$B$9))</f>
        <v>0.202500531590834</v>
      </c>
      <c r="L431" s="8" t="n">
        <f aca="true">IF(F431="Bull",NORMINV(RAND(),Assumptions!$B$5,Assumptions!$B$6),NORMINV(RAND(),Assumptions!$B$8,Assumptions!$B$9))</f>
        <v>-0.0457763006096882</v>
      </c>
      <c r="M431" s="8" t="n">
        <f aca="true">IF(G431="Bull",NORMINV(RAND(),Assumptions!$B$5,Assumptions!$B$6),NORMINV(RAND(),Assumptions!$B$8,Assumptions!$B$9))</f>
        <v>-0.162688003332773</v>
      </c>
      <c r="N431" s="8" t="n">
        <f aca="true">NORMINV(RAND(),Assumptions!$B$14,Assumptions!$B$15)</f>
        <v>0.0800861778267674</v>
      </c>
      <c r="O431" s="8" t="n">
        <f aca="true">NORMINV(RAND(),Assumptions!$B$14,Assumptions!$B$15)</f>
        <v>0.0700868537011705</v>
      </c>
      <c r="P431" s="8" t="n">
        <f aca="true">NORMINV(RAND(),Assumptions!$B$14,Assumptions!$B$15)</f>
        <v>0.0416152659653609</v>
      </c>
      <c r="Q431" s="8" t="n">
        <f aca="true">NORMINV(RAND(),Assumptions!$B$14,Assumptions!$B$15)</f>
        <v>0.0774916748817744</v>
      </c>
      <c r="R431" s="8" t="n">
        <f aca="true">NORMINV(RAND(),Assumptions!$B$14,Assumptions!$B$15)</f>
        <v>0.10578546458384</v>
      </c>
      <c r="S431" s="8" t="n">
        <f aca="true">NORMINV(RAND(),Assumptions!$B$14,Assumptions!$B$15)</f>
        <v>0.0534784318932117</v>
      </c>
      <c r="T431" s="8" t="n">
        <f aca="false">Assumptions!$B$19*H431+(1-Assumptions!$B$19)*N431</f>
        <v>0.162907386771394</v>
      </c>
      <c r="U431" s="8" t="n">
        <f aca="false">Assumptions!$B$20*I431+(1-Assumptions!$B$20)*O431</f>
        <v>0.122214114007544</v>
      </c>
      <c r="V431" s="8" t="n">
        <f aca="false">Assumptions!$B$21*J431+(1-Assumptions!$B$21)*P431</f>
        <v>0.280987731793697</v>
      </c>
      <c r="W431" s="8" t="n">
        <f aca="false">Assumptions!$B$22*K431+(1-Assumptions!$B$22)*Q431</f>
        <v>0.202500531590834</v>
      </c>
      <c r="X431" s="8" t="n">
        <f aca="false">Assumptions!$B$23*L431+(1-Assumptions!$B$23)*R431</f>
        <v>-0.0154639475709826</v>
      </c>
      <c r="Y431" s="8" t="n">
        <f aca="false">Assumptions!$B$24*M431+(1-Assumptions!$B$24)*S431</f>
        <v>-0.0762214292423792</v>
      </c>
      <c r="Z431" s="6" t="n">
        <f aca="false">Assumptions!$B$27*(1+T431)</f>
        <v>348872.216031418</v>
      </c>
      <c r="AA431" s="6" t="n">
        <f aca="false">(Z431+Assumptions!$B$28)*(1+U431)</f>
        <v>559841.441916678</v>
      </c>
      <c r="AB431" s="6" t="n">
        <f aca="false">AA431*(1+V431)</f>
        <v>717150.018844959</v>
      </c>
      <c r="AC431" s="6" t="n">
        <f aca="false">AB431*(1+W431)</f>
        <v>862373.278891439</v>
      </c>
      <c r="AD431" s="6" t="n">
        <f aca="false">AC431*(1+X431)</f>
        <v>849037.583720045</v>
      </c>
      <c r="AE431" s="6" t="n">
        <f aca="false">AD431*(1+Y431)</f>
        <v>784322.725608407</v>
      </c>
      <c r="AF431" s="6" t="n">
        <f aca="false">Z431</f>
        <v>348872.216031418</v>
      </c>
      <c r="AG431" s="6" t="n">
        <f aca="false">MAX(AF431,AA431)</f>
        <v>559841.441916678</v>
      </c>
      <c r="AH431" s="6" t="n">
        <f aca="false">MAX(AG431,AB431)</f>
        <v>717150.018844959</v>
      </c>
      <c r="AI431" s="6" t="n">
        <f aca="false">MAX(AH431,AC431)</f>
        <v>862373.278891439</v>
      </c>
      <c r="AJ431" s="6" t="n">
        <f aca="false">MAX(AI431,AD431)</f>
        <v>862373.278891439</v>
      </c>
      <c r="AK431" s="6" t="n">
        <f aca="false">MAX(AJ431,AE431)</f>
        <v>862373.278891439</v>
      </c>
      <c r="AL431" s="8" t="n">
        <f aca="false">MIN(Z431/AF431-1,AA431/AG431-1,AB431/AH431-1,AC431/AI431-1,AD431/AJ431-1,AE431/AK431-1)</f>
        <v>-0.0905066926277722</v>
      </c>
      <c r="AM431" s="6" t="n">
        <f aca="false">AE431-Assumptions!$B$35</f>
        <v>343058.728945904</v>
      </c>
    </row>
    <row r="432" customFormat="false" ht="15" hidden="false" customHeight="false" outlineLevel="0" collapsed="false">
      <c r="A432" s="0" t="n">
        <f aca="false">ROW()-1</f>
        <v>431</v>
      </c>
      <c r="B432" s="0" t="str">
        <f aca="true">IF(RAND()&lt;Assumptions!$B$11,"Bull","Bear")</f>
        <v>Bull</v>
      </c>
      <c r="C432" s="0" t="str">
        <f aca="true">IF(B432="Bull",IF(RAND()&lt;Assumptions!$B$7,"Bull","Bear"),IF(RAND()&lt;Assumptions!$B$10,"Bear","Bull"))</f>
        <v>Bear</v>
      </c>
      <c r="D432" s="0" t="str">
        <f aca="true">IF(C432="Bull",IF(RAND()&lt;Assumptions!$B$7,"Bull","Bear"),IF(RAND()&lt;Assumptions!$B$10,"Bear","Bull"))</f>
        <v>Bull</v>
      </c>
      <c r="E432" s="0" t="str">
        <f aca="true">IF(D432="Bull",IF(RAND()&lt;Assumptions!$B$7,"Bull","Bear"),IF(RAND()&lt;Assumptions!$B$10,"Bear","Bull"))</f>
        <v>Bull</v>
      </c>
      <c r="F432" s="0" t="str">
        <f aca="true">IF(E432="Bull",IF(RAND()&lt;Assumptions!$B$7,"Bull","Bear"),IF(RAND()&lt;Assumptions!$B$10,"Bear","Bull"))</f>
        <v>Bear</v>
      </c>
      <c r="G432" s="0" t="str">
        <f aca="true">IF(F432="Bull",IF(RAND()&lt;Assumptions!$B$7,"Bull","Bear"),IF(RAND()&lt;Assumptions!$B$10,"Bear","Bull"))</f>
        <v>Bear</v>
      </c>
      <c r="H432" s="8" t="n">
        <f aca="true">IF(B432="Bull",NORMINV(RAND(),Assumptions!$B$5,Assumptions!$B$6),NORMINV(RAND(),Assumptions!$B$8,Assumptions!$B$9))</f>
        <v>0.176199168561691</v>
      </c>
      <c r="I432" s="8" t="n">
        <f aca="true">IF(C432="Bull",NORMINV(RAND(),Assumptions!$B$5,Assumptions!$B$6),NORMINV(RAND(),Assumptions!$B$8,Assumptions!$B$9))</f>
        <v>-0.45740437028776</v>
      </c>
      <c r="J432" s="8" t="n">
        <f aca="true">IF(D432="Bull",NORMINV(RAND(),Assumptions!$B$5,Assumptions!$B$6),NORMINV(RAND(),Assumptions!$B$8,Assumptions!$B$9))</f>
        <v>0.207486079795868</v>
      </c>
      <c r="K432" s="8" t="n">
        <f aca="true">IF(E432="Bull",NORMINV(RAND(),Assumptions!$B$5,Assumptions!$B$6),NORMINV(RAND(),Assumptions!$B$8,Assumptions!$B$9))</f>
        <v>0.0802540216774498</v>
      </c>
      <c r="L432" s="8" t="n">
        <f aca="true">IF(F432="Bull",NORMINV(RAND(),Assumptions!$B$5,Assumptions!$B$6),NORMINV(RAND(),Assumptions!$B$8,Assumptions!$B$9))</f>
        <v>-0.312703834775487</v>
      </c>
      <c r="M432" s="8" t="n">
        <f aca="true">IF(G432="Bull",NORMINV(RAND(),Assumptions!$B$5,Assumptions!$B$6),NORMINV(RAND(),Assumptions!$B$8,Assumptions!$B$9))</f>
        <v>0.163439795766824</v>
      </c>
      <c r="N432" s="8" t="n">
        <f aca="true">NORMINV(RAND(),Assumptions!$B$14,Assumptions!$B$15)</f>
        <v>0.0266631467997203</v>
      </c>
      <c r="O432" s="8" t="n">
        <f aca="true">NORMINV(RAND(),Assumptions!$B$14,Assumptions!$B$15)</f>
        <v>0.0567020496690589</v>
      </c>
      <c r="P432" s="8" t="n">
        <f aca="true">NORMINV(RAND(),Assumptions!$B$14,Assumptions!$B$15)</f>
        <v>0.0700425438843798</v>
      </c>
      <c r="Q432" s="8" t="n">
        <f aca="true">NORMINV(RAND(),Assumptions!$B$14,Assumptions!$B$15)</f>
        <v>0.024614257674897</v>
      </c>
      <c r="R432" s="8" t="n">
        <f aca="true">NORMINV(RAND(),Assumptions!$B$14,Assumptions!$B$15)</f>
        <v>0.0432379432862048</v>
      </c>
      <c r="S432" s="8" t="n">
        <f aca="true">NORMINV(RAND(),Assumptions!$B$14,Assumptions!$B$15)</f>
        <v>0.0502338121377051</v>
      </c>
      <c r="T432" s="8" t="n">
        <f aca="false">Assumptions!$B$19*H432+(1-Assumptions!$B$19)*N432</f>
        <v>0.176199168561691</v>
      </c>
      <c r="U432" s="8" t="n">
        <f aca="false">Assumptions!$B$20*I432+(1-Assumptions!$B$20)*O432</f>
        <v>-0.45740437028776</v>
      </c>
      <c r="V432" s="8" t="n">
        <f aca="false">Assumptions!$B$21*J432+(1-Assumptions!$B$21)*P432</f>
        <v>0.207486079795868</v>
      </c>
      <c r="W432" s="8" t="n">
        <f aca="false">Assumptions!$B$22*K432+(1-Assumptions!$B$22)*Q432</f>
        <v>0.0802540216774498</v>
      </c>
      <c r="X432" s="8" t="n">
        <f aca="false">Assumptions!$B$23*L432+(1-Assumptions!$B$23)*R432</f>
        <v>-0.241515479163149</v>
      </c>
      <c r="Y432" s="8" t="n">
        <f aca="false">Assumptions!$B$24*M432+(1-Assumptions!$B$24)*S432</f>
        <v>0.118157402315176</v>
      </c>
      <c r="Z432" s="6" t="n">
        <f aca="false">Assumptions!$B$27*(1+T432)</f>
        <v>352859.750568507</v>
      </c>
      <c r="AA432" s="6" t="n">
        <f aca="false">(Z432+Assumptions!$B$28)*(1+U432)</f>
        <v>272849.503016659</v>
      </c>
      <c r="AB432" s="6" t="n">
        <f aca="false">AA432*(1+V432)</f>
        <v>329461.976771837</v>
      </c>
      <c r="AC432" s="6" t="n">
        <f aca="false">AB432*(1+W432)</f>
        <v>355902.625397579</v>
      </c>
      <c r="AD432" s="6" t="n">
        <f aca="false">AC432*(1+X432)</f>
        <v>269946.63228926</v>
      </c>
      <c r="AE432" s="6" t="n">
        <f aca="false">AD432*(1+Y432)</f>
        <v>301842.825124289</v>
      </c>
      <c r="AF432" s="6" t="n">
        <f aca="false">Z432</f>
        <v>352859.750568507</v>
      </c>
      <c r="AG432" s="6" t="n">
        <f aca="false">MAX(AF432,AA432)</f>
        <v>352859.750568507</v>
      </c>
      <c r="AH432" s="6" t="n">
        <f aca="false">MAX(AG432,AB432)</f>
        <v>352859.750568507</v>
      </c>
      <c r="AI432" s="6" t="n">
        <f aca="false">MAX(AH432,AC432)</f>
        <v>355902.625397579</v>
      </c>
      <c r="AJ432" s="6" t="n">
        <f aca="false">MAX(AI432,AD432)</f>
        <v>355902.625397579</v>
      </c>
      <c r="AK432" s="6" t="n">
        <f aca="false">MAX(AJ432,AE432)</f>
        <v>355902.625397579</v>
      </c>
      <c r="AL432" s="8" t="n">
        <f aca="false">MIN(Z432/AF432-1,AA432/AG432-1,AB432/AH432-1,AC432/AI432-1,AD432/AJ432-1,AE432/AK432-1)</f>
        <v>-0.241515479163149</v>
      </c>
      <c r="AM432" s="6" t="n">
        <f aca="false">AE432-Assumptions!$B$35</f>
        <v>-139421.171538214</v>
      </c>
    </row>
    <row r="433" customFormat="false" ht="15" hidden="false" customHeight="false" outlineLevel="0" collapsed="false">
      <c r="A433" s="0" t="n">
        <f aca="false">ROW()-1</f>
        <v>432</v>
      </c>
      <c r="B433" s="0" t="str">
        <f aca="true">IF(RAND()&lt;Assumptions!$B$11,"Bull","Bear")</f>
        <v>Bull</v>
      </c>
      <c r="C433" s="0" t="str">
        <f aca="true">IF(B433="Bull",IF(RAND()&lt;Assumptions!$B$7,"Bull","Bear"),IF(RAND()&lt;Assumptions!$B$10,"Bear","Bull"))</f>
        <v>Bull</v>
      </c>
      <c r="D433" s="0" t="str">
        <f aca="true">IF(C433="Bull",IF(RAND()&lt;Assumptions!$B$7,"Bull","Bear"),IF(RAND()&lt;Assumptions!$B$10,"Bear","Bull"))</f>
        <v>Bear</v>
      </c>
      <c r="E433" s="0" t="str">
        <f aca="true">IF(D433="Bull",IF(RAND()&lt;Assumptions!$B$7,"Bull","Bear"),IF(RAND()&lt;Assumptions!$B$10,"Bear","Bull"))</f>
        <v>Bear</v>
      </c>
      <c r="F433" s="0" t="str">
        <f aca="true">IF(E433="Bull",IF(RAND()&lt;Assumptions!$B$7,"Bull","Bear"),IF(RAND()&lt;Assumptions!$B$10,"Bear","Bull"))</f>
        <v>Bull</v>
      </c>
      <c r="G433" s="0" t="str">
        <f aca="true">IF(F433="Bull",IF(RAND()&lt;Assumptions!$B$7,"Bull","Bear"),IF(RAND()&lt;Assumptions!$B$10,"Bear","Bull"))</f>
        <v>Bull</v>
      </c>
      <c r="H433" s="8" t="n">
        <f aca="true">IF(B433="Bull",NORMINV(RAND(),Assumptions!$B$5,Assumptions!$B$6),NORMINV(RAND(),Assumptions!$B$8,Assumptions!$B$9))</f>
        <v>0.321568323919612</v>
      </c>
      <c r="I433" s="8" t="n">
        <f aca="true">IF(C433="Bull",NORMINV(RAND(),Assumptions!$B$5,Assumptions!$B$6),NORMINV(RAND(),Assumptions!$B$8,Assumptions!$B$9))</f>
        <v>0.0949564705418584</v>
      </c>
      <c r="J433" s="8" t="n">
        <f aca="true">IF(D433="Bull",NORMINV(RAND(),Assumptions!$B$5,Assumptions!$B$6),NORMINV(RAND(),Assumptions!$B$8,Assumptions!$B$9))</f>
        <v>-0.157680887136303</v>
      </c>
      <c r="K433" s="8" t="n">
        <f aca="true">IF(E433="Bull",NORMINV(RAND(),Assumptions!$B$5,Assumptions!$B$6),NORMINV(RAND(),Assumptions!$B$8,Assumptions!$B$9))</f>
        <v>0.0779060951432446</v>
      </c>
      <c r="L433" s="8" t="n">
        <f aca="true">IF(F433="Bull",NORMINV(RAND(),Assumptions!$B$5,Assumptions!$B$6),NORMINV(RAND(),Assumptions!$B$8,Assumptions!$B$9))</f>
        <v>0.185538393286737</v>
      </c>
      <c r="M433" s="8" t="n">
        <f aca="true">IF(G433="Bull",NORMINV(RAND(),Assumptions!$B$5,Assumptions!$B$6),NORMINV(RAND(),Assumptions!$B$8,Assumptions!$B$9))</f>
        <v>0.127705380520944</v>
      </c>
      <c r="N433" s="8" t="n">
        <f aca="true">NORMINV(RAND(),Assumptions!$B$14,Assumptions!$B$15)</f>
        <v>0.0398110763892392</v>
      </c>
      <c r="O433" s="8" t="n">
        <f aca="true">NORMINV(RAND(),Assumptions!$B$14,Assumptions!$B$15)</f>
        <v>0.0265044211846617</v>
      </c>
      <c r="P433" s="8" t="n">
        <f aca="true">NORMINV(RAND(),Assumptions!$B$14,Assumptions!$B$15)</f>
        <v>0.0140917779090127</v>
      </c>
      <c r="Q433" s="8" t="n">
        <f aca="true">NORMINV(RAND(),Assumptions!$B$14,Assumptions!$B$15)</f>
        <v>0.0590090522773136</v>
      </c>
      <c r="R433" s="8" t="n">
        <f aca="true">NORMINV(RAND(),Assumptions!$B$14,Assumptions!$B$15)</f>
        <v>0.0880512161750301</v>
      </c>
      <c r="S433" s="8" t="n">
        <f aca="true">NORMINV(RAND(),Assumptions!$B$14,Assumptions!$B$15)</f>
        <v>0.101720499613189</v>
      </c>
      <c r="T433" s="8" t="n">
        <f aca="false">Assumptions!$B$19*H433+(1-Assumptions!$B$19)*N433</f>
        <v>0.321568323919612</v>
      </c>
      <c r="U433" s="8" t="n">
        <f aca="false">Assumptions!$B$20*I433+(1-Assumptions!$B$20)*O433</f>
        <v>0.0949564705418584</v>
      </c>
      <c r="V433" s="8" t="n">
        <f aca="false">Assumptions!$B$21*J433+(1-Assumptions!$B$21)*P433</f>
        <v>-0.157680887136303</v>
      </c>
      <c r="W433" s="8" t="n">
        <f aca="false">Assumptions!$B$22*K433+(1-Assumptions!$B$22)*Q433</f>
        <v>0.0779060951432446</v>
      </c>
      <c r="X433" s="8" t="n">
        <f aca="false">Assumptions!$B$23*L433+(1-Assumptions!$B$23)*R433</f>
        <v>0.166040957864396</v>
      </c>
      <c r="Y433" s="8" t="n">
        <f aca="false">Assumptions!$B$24*M433+(1-Assumptions!$B$24)*S433</f>
        <v>0.117311428157842</v>
      </c>
      <c r="Z433" s="6" t="n">
        <f aca="false">Assumptions!$B$27*(1+T433)</f>
        <v>396470.497175884</v>
      </c>
      <c r="AA433" s="6" t="n">
        <f aca="false">(Z433+Assumptions!$B$28)*(1+U433)</f>
        <v>598361.40684296</v>
      </c>
      <c r="AB433" s="6" t="n">
        <f aca="false">AA433*(1+V433)</f>
        <v>504011.249383836</v>
      </c>
      <c r="AC433" s="6" t="n">
        <f aca="false">AB433*(1+W433)</f>
        <v>543276.797731599</v>
      </c>
      <c r="AD433" s="6" t="n">
        <f aca="false">AC433*(1+X433)</f>
        <v>633482.997612455</v>
      </c>
      <c r="AE433" s="6" t="n">
        <f aca="false">AD433*(1+Y433)</f>
        <v>707797.792776083</v>
      </c>
      <c r="AF433" s="6" t="n">
        <f aca="false">Z433</f>
        <v>396470.497175884</v>
      </c>
      <c r="AG433" s="6" t="n">
        <f aca="false">MAX(AF433,AA433)</f>
        <v>598361.40684296</v>
      </c>
      <c r="AH433" s="6" t="n">
        <f aca="false">MAX(AG433,AB433)</f>
        <v>598361.40684296</v>
      </c>
      <c r="AI433" s="6" t="n">
        <f aca="false">MAX(AH433,AC433)</f>
        <v>598361.40684296</v>
      </c>
      <c r="AJ433" s="6" t="n">
        <f aca="false">MAX(AI433,AD433)</f>
        <v>633482.997612455</v>
      </c>
      <c r="AK433" s="6" t="n">
        <f aca="false">MAX(AJ433,AE433)</f>
        <v>707797.792776083</v>
      </c>
      <c r="AL433" s="8" t="n">
        <f aca="false">MIN(Z433/AF433-1,AA433/AG433-1,AB433/AH433-1,AC433/AI433-1,AD433/AJ433-1,AE433/AK433-1)</f>
        <v>-0.157680887136303</v>
      </c>
      <c r="AM433" s="6" t="n">
        <f aca="false">AE433-Assumptions!$B$35</f>
        <v>266533.796113579</v>
      </c>
    </row>
    <row r="434" customFormat="false" ht="15" hidden="false" customHeight="false" outlineLevel="0" collapsed="false">
      <c r="A434" s="0" t="n">
        <f aca="false">ROW()-1</f>
        <v>433</v>
      </c>
      <c r="B434" s="0" t="str">
        <f aca="true">IF(RAND()&lt;Assumptions!$B$11,"Bull","Bear")</f>
        <v>Bull</v>
      </c>
      <c r="C434" s="0" t="str">
        <f aca="true">IF(B434="Bull",IF(RAND()&lt;Assumptions!$B$7,"Bull","Bear"),IF(RAND()&lt;Assumptions!$B$10,"Bear","Bull"))</f>
        <v>Bull</v>
      </c>
      <c r="D434" s="0" t="str">
        <f aca="true">IF(C434="Bull",IF(RAND()&lt;Assumptions!$B$7,"Bull","Bear"),IF(RAND()&lt;Assumptions!$B$10,"Bear","Bull"))</f>
        <v>Bull</v>
      </c>
      <c r="E434" s="0" t="str">
        <f aca="true">IF(D434="Bull",IF(RAND()&lt;Assumptions!$B$7,"Bull","Bear"),IF(RAND()&lt;Assumptions!$B$10,"Bear","Bull"))</f>
        <v>Bull</v>
      </c>
      <c r="F434" s="0" t="str">
        <f aca="true">IF(E434="Bull",IF(RAND()&lt;Assumptions!$B$7,"Bull","Bear"),IF(RAND()&lt;Assumptions!$B$10,"Bear","Bull"))</f>
        <v>Bull</v>
      </c>
      <c r="G434" s="0" t="str">
        <f aca="true">IF(F434="Bull",IF(RAND()&lt;Assumptions!$B$7,"Bull","Bear"),IF(RAND()&lt;Assumptions!$B$10,"Bear","Bull"))</f>
        <v>Bull</v>
      </c>
      <c r="H434" s="8" t="n">
        <f aca="true">IF(B434="Bull",NORMINV(RAND(),Assumptions!$B$5,Assumptions!$B$6),NORMINV(RAND(),Assumptions!$B$8,Assumptions!$B$9))</f>
        <v>0.0800026018978843</v>
      </c>
      <c r="I434" s="8" t="n">
        <f aca="true">IF(C434="Bull",NORMINV(RAND(),Assumptions!$B$5,Assumptions!$B$6),NORMINV(RAND(),Assumptions!$B$8,Assumptions!$B$9))</f>
        <v>0.197576755033982</v>
      </c>
      <c r="J434" s="8" t="n">
        <f aca="true">IF(D434="Bull",NORMINV(RAND(),Assumptions!$B$5,Assumptions!$B$6),NORMINV(RAND(),Assumptions!$B$8,Assumptions!$B$9))</f>
        <v>-0.0283959439883278</v>
      </c>
      <c r="K434" s="8" t="n">
        <f aca="true">IF(E434="Bull",NORMINV(RAND(),Assumptions!$B$5,Assumptions!$B$6),NORMINV(RAND(),Assumptions!$B$8,Assumptions!$B$9))</f>
        <v>0.136790915183207</v>
      </c>
      <c r="L434" s="8" t="n">
        <f aca="true">IF(F434="Bull",NORMINV(RAND(),Assumptions!$B$5,Assumptions!$B$6),NORMINV(RAND(),Assumptions!$B$8,Assumptions!$B$9))</f>
        <v>-0.028077407290311</v>
      </c>
      <c r="M434" s="8" t="n">
        <f aca="true">IF(G434="Bull",NORMINV(RAND(),Assumptions!$B$5,Assumptions!$B$6),NORMINV(RAND(),Assumptions!$B$8,Assumptions!$B$9))</f>
        <v>0.263957031079815</v>
      </c>
      <c r="N434" s="8" t="n">
        <f aca="true">NORMINV(RAND(),Assumptions!$B$14,Assumptions!$B$15)</f>
        <v>0.0544682173857298</v>
      </c>
      <c r="O434" s="8" t="n">
        <f aca="true">NORMINV(RAND(),Assumptions!$B$14,Assumptions!$B$15)</f>
        <v>0.0354354628578582</v>
      </c>
      <c r="P434" s="8" t="n">
        <f aca="true">NORMINV(RAND(),Assumptions!$B$14,Assumptions!$B$15)</f>
        <v>0.0276622825396554</v>
      </c>
      <c r="Q434" s="8" t="n">
        <f aca="true">NORMINV(RAND(),Assumptions!$B$14,Assumptions!$B$15)</f>
        <v>0.0410070984357108</v>
      </c>
      <c r="R434" s="8" t="n">
        <f aca="true">NORMINV(RAND(),Assumptions!$B$14,Assumptions!$B$15)</f>
        <v>0.062431177459111</v>
      </c>
      <c r="S434" s="8" t="n">
        <f aca="true">NORMINV(RAND(),Assumptions!$B$14,Assumptions!$B$15)</f>
        <v>0.0544362429912989</v>
      </c>
      <c r="T434" s="8" t="n">
        <f aca="false">Assumptions!$B$19*H434+(1-Assumptions!$B$19)*N434</f>
        <v>0.0800026018978843</v>
      </c>
      <c r="U434" s="8" t="n">
        <f aca="false">Assumptions!$B$20*I434+(1-Assumptions!$B$20)*O434</f>
        <v>0.197576755033982</v>
      </c>
      <c r="V434" s="8" t="n">
        <f aca="false">Assumptions!$B$21*J434+(1-Assumptions!$B$21)*P434</f>
        <v>-0.0283959439883278</v>
      </c>
      <c r="W434" s="8" t="n">
        <f aca="false">Assumptions!$B$22*K434+(1-Assumptions!$B$22)*Q434</f>
        <v>0.136790915183207</v>
      </c>
      <c r="X434" s="8" t="n">
        <f aca="false">Assumptions!$B$23*L434+(1-Assumptions!$B$23)*R434</f>
        <v>-0.00997569034042658</v>
      </c>
      <c r="Y434" s="8" t="n">
        <f aca="false">Assumptions!$B$24*M434+(1-Assumptions!$B$24)*S434</f>
        <v>0.180148715844408</v>
      </c>
      <c r="Z434" s="6" t="n">
        <f aca="false">Assumptions!$B$27*(1+T434)</f>
        <v>324000.780569365</v>
      </c>
      <c r="AA434" s="6" t="n">
        <f aca="false">(Z434+Assumptions!$B$28)*(1+U434)</f>
        <v>567652.316677835</v>
      </c>
      <c r="AB434" s="6" t="n">
        <f aca="false">AA434*(1+V434)</f>
        <v>551533.293288607</v>
      </c>
      <c r="AC434" s="6" t="n">
        <f aca="false">AB434*(1+W434)</f>
        <v>626978.037231564</v>
      </c>
      <c r="AD434" s="6" t="n">
        <f aca="false">AC434*(1+X434)</f>
        <v>620723.498481893</v>
      </c>
      <c r="AE434" s="6" t="n">
        <f aca="false">AD434*(1+Y434)</f>
        <v>732546.039627855</v>
      </c>
      <c r="AF434" s="6" t="n">
        <f aca="false">Z434</f>
        <v>324000.780569365</v>
      </c>
      <c r="AG434" s="6" t="n">
        <f aca="false">MAX(AF434,AA434)</f>
        <v>567652.316677835</v>
      </c>
      <c r="AH434" s="6" t="n">
        <f aca="false">MAX(AG434,AB434)</f>
        <v>567652.316677835</v>
      </c>
      <c r="AI434" s="6" t="n">
        <f aca="false">MAX(AH434,AC434)</f>
        <v>626978.037231564</v>
      </c>
      <c r="AJ434" s="6" t="n">
        <f aca="false">MAX(AI434,AD434)</f>
        <v>626978.037231564</v>
      </c>
      <c r="AK434" s="6" t="n">
        <f aca="false">MAX(AJ434,AE434)</f>
        <v>732546.039627855</v>
      </c>
      <c r="AL434" s="8" t="n">
        <f aca="false">MIN(Z434/AF434-1,AA434/AG434-1,AB434/AH434-1,AC434/AI434-1,AD434/AJ434-1,AE434/AK434-1)</f>
        <v>-0.0283959439883277</v>
      </c>
      <c r="AM434" s="6" t="n">
        <f aca="false">AE434-Assumptions!$B$35</f>
        <v>291282.042965351</v>
      </c>
    </row>
    <row r="435" customFormat="false" ht="15" hidden="false" customHeight="false" outlineLevel="0" collapsed="false">
      <c r="A435" s="0" t="n">
        <f aca="false">ROW()-1</f>
        <v>434</v>
      </c>
      <c r="B435" s="0" t="str">
        <f aca="true">IF(RAND()&lt;Assumptions!$B$11,"Bull","Bear")</f>
        <v>Bear</v>
      </c>
      <c r="C435" s="0" t="str">
        <f aca="true">IF(B435="Bull",IF(RAND()&lt;Assumptions!$B$7,"Bull","Bear"),IF(RAND()&lt;Assumptions!$B$10,"Bear","Bull"))</f>
        <v>Bull</v>
      </c>
      <c r="D435" s="0" t="str">
        <f aca="true">IF(C435="Bull",IF(RAND()&lt;Assumptions!$B$7,"Bull","Bear"),IF(RAND()&lt;Assumptions!$B$10,"Bear","Bull"))</f>
        <v>Bull</v>
      </c>
      <c r="E435" s="0" t="str">
        <f aca="true">IF(D435="Bull",IF(RAND()&lt;Assumptions!$B$7,"Bull","Bear"),IF(RAND()&lt;Assumptions!$B$10,"Bear","Bull"))</f>
        <v>Bull</v>
      </c>
      <c r="F435" s="0" t="str">
        <f aca="true">IF(E435="Bull",IF(RAND()&lt;Assumptions!$B$7,"Bull","Bear"),IF(RAND()&lt;Assumptions!$B$10,"Bear","Bull"))</f>
        <v>Bear</v>
      </c>
      <c r="G435" s="0" t="str">
        <f aca="true">IF(F435="Bull",IF(RAND()&lt;Assumptions!$B$7,"Bull","Bear"),IF(RAND()&lt;Assumptions!$B$10,"Bear","Bull"))</f>
        <v>Bull</v>
      </c>
      <c r="H435" s="8" t="n">
        <f aca="true">IF(B435="Bull",NORMINV(RAND(),Assumptions!$B$5,Assumptions!$B$6),NORMINV(RAND(),Assumptions!$B$8,Assumptions!$B$9))</f>
        <v>-0.051560166078981</v>
      </c>
      <c r="I435" s="8" t="n">
        <f aca="true">IF(C435="Bull",NORMINV(RAND(),Assumptions!$B$5,Assumptions!$B$6),NORMINV(RAND(),Assumptions!$B$8,Assumptions!$B$9))</f>
        <v>0.286878001671962</v>
      </c>
      <c r="J435" s="8" t="n">
        <f aca="true">IF(D435="Bull",NORMINV(RAND(),Assumptions!$B$5,Assumptions!$B$6),NORMINV(RAND(),Assumptions!$B$8,Assumptions!$B$9))</f>
        <v>0.242775985824907</v>
      </c>
      <c r="K435" s="8" t="n">
        <f aca="true">IF(E435="Bull",NORMINV(RAND(),Assumptions!$B$5,Assumptions!$B$6),NORMINV(RAND(),Assumptions!$B$8,Assumptions!$B$9))</f>
        <v>0.198728070606413</v>
      </c>
      <c r="L435" s="8" t="n">
        <f aca="true">IF(F435="Bull",NORMINV(RAND(),Assumptions!$B$5,Assumptions!$B$6),NORMINV(RAND(),Assumptions!$B$8,Assumptions!$B$9))</f>
        <v>-0.287732000501498</v>
      </c>
      <c r="M435" s="8" t="n">
        <f aca="true">IF(G435="Bull",NORMINV(RAND(),Assumptions!$B$5,Assumptions!$B$6),NORMINV(RAND(),Assumptions!$B$8,Assumptions!$B$9))</f>
        <v>0.113913218130085</v>
      </c>
      <c r="N435" s="8" t="n">
        <f aca="true">NORMINV(RAND(),Assumptions!$B$14,Assumptions!$B$15)</f>
        <v>0.0930309357952037</v>
      </c>
      <c r="O435" s="8" t="n">
        <f aca="true">NORMINV(RAND(),Assumptions!$B$14,Assumptions!$B$15)</f>
        <v>0.0881559942169242</v>
      </c>
      <c r="P435" s="8" t="n">
        <f aca="true">NORMINV(RAND(),Assumptions!$B$14,Assumptions!$B$15)</f>
        <v>0.105049990643105</v>
      </c>
      <c r="Q435" s="8" t="n">
        <f aca="true">NORMINV(RAND(),Assumptions!$B$14,Assumptions!$B$15)</f>
        <v>0.0343230013618047</v>
      </c>
      <c r="R435" s="8" t="n">
        <f aca="true">NORMINV(RAND(),Assumptions!$B$14,Assumptions!$B$15)</f>
        <v>0.0195494452075928</v>
      </c>
      <c r="S435" s="8" t="n">
        <f aca="true">NORMINV(RAND(),Assumptions!$B$14,Assumptions!$B$15)</f>
        <v>0.0632990255008963</v>
      </c>
      <c r="T435" s="8" t="n">
        <f aca="false">Assumptions!$B$19*H435+(1-Assumptions!$B$19)*N435</f>
        <v>-0.051560166078981</v>
      </c>
      <c r="U435" s="8" t="n">
        <f aca="false">Assumptions!$B$20*I435+(1-Assumptions!$B$20)*O435</f>
        <v>0.286878001671962</v>
      </c>
      <c r="V435" s="8" t="n">
        <f aca="false">Assumptions!$B$21*J435+(1-Assumptions!$B$21)*P435</f>
        <v>0.242775985824907</v>
      </c>
      <c r="W435" s="8" t="n">
        <f aca="false">Assumptions!$B$22*K435+(1-Assumptions!$B$22)*Q435</f>
        <v>0.198728070606413</v>
      </c>
      <c r="X435" s="8" t="n">
        <f aca="false">Assumptions!$B$23*L435+(1-Assumptions!$B$23)*R435</f>
        <v>-0.22627571135968</v>
      </c>
      <c r="Y435" s="8" t="n">
        <f aca="false">Assumptions!$B$24*M435+(1-Assumptions!$B$24)*S435</f>
        <v>0.0936675410784095</v>
      </c>
      <c r="Z435" s="6" t="n">
        <f aca="false">Assumptions!$B$27*(1+T435)</f>
        <v>284531.950176306</v>
      </c>
      <c r="AA435" s="6" t="n">
        <f aca="false">(Z435+Assumptions!$B$28)*(1+U435)</f>
        <v>559189.607705505</v>
      </c>
      <c r="AB435" s="6" t="n">
        <f aca="false">AA435*(1+V435)</f>
        <v>694947.415979251</v>
      </c>
      <c r="AC435" s="6" t="n">
        <f aca="false">AB435*(1+W435)</f>
        <v>833052.97512972</v>
      </c>
      <c r="AD435" s="6" t="n">
        <f aca="false">AC435*(1+X435)</f>
        <v>644553.320581945</v>
      </c>
      <c r="AE435" s="6" t="n">
        <f aca="false">AD435*(1+Y435)</f>
        <v>704927.04521478</v>
      </c>
      <c r="AF435" s="6" t="n">
        <f aca="false">Z435</f>
        <v>284531.950176306</v>
      </c>
      <c r="AG435" s="6" t="n">
        <f aca="false">MAX(AF435,AA435)</f>
        <v>559189.607705505</v>
      </c>
      <c r="AH435" s="6" t="n">
        <f aca="false">MAX(AG435,AB435)</f>
        <v>694947.415979251</v>
      </c>
      <c r="AI435" s="6" t="n">
        <f aca="false">MAX(AH435,AC435)</f>
        <v>833052.97512972</v>
      </c>
      <c r="AJ435" s="6" t="n">
        <f aca="false">MAX(AI435,AD435)</f>
        <v>833052.97512972</v>
      </c>
      <c r="AK435" s="6" t="n">
        <f aca="false">MAX(AJ435,AE435)</f>
        <v>833052.97512972</v>
      </c>
      <c r="AL435" s="8" t="n">
        <f aca="false">MIN(Z435/AF435-1,AA435/AG435-1,AB435/AH435-1,AC435/AI435-1,AD435/AJ435-1,AE435/AK435-1)</f>
        <v>-0.22627571135968</v>
      </c>
      <c r="AM435" s="6" t="n">
        <f aca="false">AE435-Assumptions!$B$35</f>
        <v>263663.048552276</v>
      </c>
    </row>
    <row r="436" customFormat="false" ht="15" hidden="false" customHeight="false" outlineLevel="0" collapsed="false">
      <c r="A436" s="0" t="n">
        <f aca="false">ROW()-1</f>
        <v>435</v>
      </c>
      <c r="B436" s="0" t="str">
        <f aca="true">IF(RAND()&lt;Assumptions!$B$11,"Bull","Bear")</f>
        <v>Bull</v>
      </c>
      <c r="C436" s="0" t="str">
        <f aca="true">IF(B436="Bull",IF(RAND()&lt;Assumptions!$B$7,"Bull","Bear"),IF(RAND()&lt;Assumptions!$B$10,"Bear","Bull"))</f>
        <v>Bull</v>
      </c>
      <c r="D436" s="0" t="str">
        <f aca="true">IF(C436="Bull",IF(RAND()&lt;Assumptions!$B$7,"Bull","Bear"),IF(RAND()&lt;Assumptions!$B$10,"Bear","Bull"))</f>
        <v>Bull</v>
      </c>
      <c r="E436" s="0" t="str">
        <f aca="true">IF(D436="Bull",IF(RAND()&lt;Assumptions!$B$7,"Bull","Bear"),IF(RAND()&lt;Assumptions!$B$10,"Bear","Bull"))</f>
        <v>Bull</v>
      </c>
      <c r="F436" s="0" t="str">
        <f aca="true">IF(E436="Bull",IF(RAND()&lt;Assumptions!$B$7,"Bull","Bear"),IF(RAND()&lt;Assumptions!$B$10,"Bear","Bull"))</f>
        <v>Bear</v>
      </c>
      <c r="G436" s="0" t="str">
        <f aca="true">IF(F436="Bull",IF(RAND()&lt;Assumptions!$B$7,"Bull","Bear"),IF(RAND()&lt;Assumptions!$B$10,"Bear","Bull"))</f>
        <v>Bull</v>
      </c>
      <c r="H436" s="8" t="n">
        <f aca="true">IF(B436="Bull",NORMINV(RAND(),Assumptions!$B$5,Assumptions!$B$6),NORMINV(RAND(),Assumptions!$B$8,Assumptions!$B$9))</f>
        <v>0.174971986196395</v>
      </c>
      <c r="I436" s="8" t="n">
        <f aca="true">IF(C436="Bull",NORMINV(RAND(),Assumptions!$B$5,Assumptions!$B$6),NORMINV(RAND(),Assumptions!$B$8,Assumptions!$B$9))</f>
        <v>0.206953978515355</v>
      </c>
      <c r="J436" s="8" t="n">
        <f aca="true">IF(D436="Bull",NORMINV(RAND(),Assumptions!$B$5,Assumptions!$B$6),NORMINV(RAND(),Assumptions!$B$8,Assumptions!$B$9))</f>
        <v>0.120917131736994</v>
      </c>
      <c r="K436" s="8" t="n">
        <f aca="true">IF(E436="Bull",NORMINV(RAND(),Assumptions!$B$5,Assumptions!$B$6),NORMINV(RAND(),Assumptions!$B$8,Assumptions!$B$9))</f>
        <v>0.153472748802014</v>
      </c>
      <c r="L436" s="8" t="n">
        <f aca="true">IF(F436="Bull",NORMINV(RAND(),Assumptions!$B$5,Assumptions!$B$6),NORMINV(RAND(),Assumptions!$B$8,Assumptions!$B$9))</f>
        <v>0.13643135921996</v>
      </c>
      <c r="M436" s="8" t="n">
        <f aca="true">IF(G436="Bull",NORMINV(RAND(),Assumptions!$B$5,Assumptions!$B$6),NORMINV(RAND(),Assumptions!$B$8,Assumptions!$B$9))</f>
        <v>0.173764341600111</v>
      </c>
      <c r="N436" s="8" t="n">
        <f aca="true">NORMINV(RAND(),Assumptions!$B$14,Assumptions!$B$15)</f>
        <v>0.0613511240342656</v>
      </c>
      <c r="O436" s="8" t="n">
        <f aca="true">NORMINV(RAND(),Assumptions!$B$14,Assumptions!$B$15)</f>
        <v>0.0872535265804305</v>
      </c>
      <c r="P436" s="8" t="n">
        <f aca="true">NORMINV(RAND(),Assumptions!$B$14,Assumptions!$B$15)</f>
        <v>0.0463157398203341</v>
      </c>
      <c r="Q436" s="8" t="n">
        <f aca="true">NORMINV(RAND(),Assumptions!$B$14,Assumptions!$B$15)</f>
        <v>0.0247959275503275</v>
      </c>
      <c r="R436" s="8" t="n">
        <f aca="true">NORMINV(RAND(),Assumptions!$B$14,Assumptions!$B$15)</f>
        <v>0.0782975380234505</v>
      </c>
      <c r="S436" s="8" t="n">
        <f aca="true">NORMINV(RAND(),Assumptions!$B$14,Assumptions!$B$15)</f>
        <v>0.0528765981429996</v>
      </c>
      <c r="T436" s="8" t="n">
        <f aca="false">Assumptions!$B$19*H436+(1-Assumptions!$B$19)*N436</f>
        <v>0.174971986196395</v>
      </c>
      <c r="U436" s="8" t="n">
        <f aca="false">Assumptions!$B$20*I436+(1-Assumptions!$B$20)*O436</f>
        <v>0.206953978515355</v>
      </c>
      <c r="V436" s="8" t="n">
        <f aca="false">Assumptions!$B$21*J436+(1-Assumptions!$B$21)*P436</f>
        <v>0.120917131736994</v>
      </c>
      <c r="W436" s="8" t="n">
        <f aca="false">Assumptions!$B$22*K436+(1-Assumptions!$B$22)*Q436</f>
        <v>0.153472748802014</v>
      </c>
      <c r="X436" s="8" t="n">
        <f aca="false">Assumptions!$B$23*L436+(1-Assumptions!$B$23)*R436</f>
        <v>0.124804594980658</v>
      </c>
      <c r="Y436" s="8" t="n">
        <f aca="false">Assumptions!$B$24*M436+(1-Assumptions!$B$24)*S436</f>
        <v>0.125409244217266</v>
      </c>
      <c r="Z436" s="6" t="n">
        <f aca="false">Assumptions!$B$27*(1+T436)</f>
        <v>352491.595858919</v>
      </c>
      <c r="AA436" s="6" t="n">
        <f aca="false">(Z436+Assumptions!$B$28)*(1+U436)</f>
        <v>606484.230792452</v>
      </c>
      <c r="AB436" s="6" t="n">
        <f aca="false">AA436*(1+V436)</f>
        <v>679818.564423592</v>
      </c>
      <c r="AC436" s="6" t="n">
        <f aca="false">AB436*(1+W436)</f>
        <v>784152.18819232</v>
      </c>
      <c r="AD436" s="6" t="n">
        <f aca="false">AC436*(1+X436)</f>
        <v>882017.98444286</v>
      </c>
      <c r="AE436" s="6" t="n">
        <f aca="false">AD436*(1+Y436)</f>
        <v>992631.193257875</v>
      </c>
      <c r="AF436" s="6" t="n">
        <f aca="false">Z436</f>
        <v>352491.595858919</v>
      </c>
      <c r="AG436" s="6" t="n">
        <f aca="false">MAX(AF436,AA436)</f>
        <v>606484.230792452</v>
      </c>
      <c r="AH436" s="6" t="n">
        <f aca="false">MAX(AG436,AB436)</f>
        <v>679818.564423592</v>
      </c>
      <c r="AI436" s="6" t="n">
        <f aca="false">MAX(AH436,AC436)</f>
        <v>784152.18819232</v>
      </c>
      <c r="AJ436" s="6" t="n">
        <f aca="false">MAX(AI436,AD436)</f>
        <v>882017.98444286</v>
      </c>
      <c r="AK436" s="6" t="n">
        <f aca="false">MAX(AJ436,AE436)</f>
        <v>992631.193257875</v>
      </c>
      <c r="AL436" s="8" t="n">
        <f aca="false">MIN(Z436/AF436-1,AA436/AG436-1,AB436/AH436-1,AC436/AI436-1,AD436/AJ436-1,AE436/AK436-1)</f>
        <v>0</v>
      </c>
      <c r="AM436" s="6" t="n">
        <f aca="false">AE436-Assumptions!$B$35</f>
        <v>551367.196595372</v>
      </c>
    </row>
    <row r="437" customFormat="false" ht="15" hidden="false" customHeight="false" outlineLevel="0" collapsed="false">
      <c r="A437" s="0" t="n">
        <f aca="false">ROW()-1</f>
        <v>436</v>
      </c>
      <c r="B437" s="0" t="str">
        <f aca="true">IF(RAND()&lt;Assumptions!$B$11,"Bull","Bear")</f>
        <v>Bull</v>
      </c>
      <c r="C437" s="0" t="str">
        <f aca="true">IF(B437="Bull",IF(RAND()&lt;Assumptions!$B$7,"Bull","Bear"),IF(RAND()&lt;Assumptions!$B$10,"Bear","Bull"))</f>
        <v>Bull</v>
      </c>
      <c r="D437" s="0" t="str">
        <f aca="true">IF(C437="Bull",IF(RAND()&lt;Assumptions!$B$7,"Bull","Bear"),IF(RAND()&lt;Assumptions!$B$10,"Bear","Bull"))</f>
        <v>Bull</v>
      </c>
      <c r="E437" s="0" t="str">
        <f aca="true">IF(D437="Bull",IF(RAND()&lt;Assumptions!$B$7,"Bull","Bear"),IF(RAND()&lt;Assumptions!$B$10,"Bear","Bull"))</f>
        <v>Bull</v>
      </c>
      <c r="F437" s="0" t="str">
        <f aca="true">IF(E437="Bull",IF(RAND()&lt;Assumptions!$B$7,"Bull","Bear"),IF(RAND()&lt;Assumptions!$B$10,"Bear","Bull"))</f>
        <v>Bull</v>
      </c>
      <c r="G437" s="0" t="str">
        <f aca="true">IF(F437="Bull",IF(RAND()&lt;Assumptions!$B$7,"Bull","Bear"),IF(RAND()&lt;Assumptions!$B$10,"Bear","Bull"))</f>
        <v>Bear</v>
      </c>
      <c r="H437" s="8" t="n">
        <f aca="true">IF(B437="Bull",NORMINV(RAND(),Assumptions!$B$5,Assumptions!$B$6),NORMINV(RAND(),Assumptions!$B$8,Assumptions!$B$9))</f>
        <v>0.109091676478523</v>
      </c>
      <c r="I437" s="8" t="n">
        <f aca="true">IF(C437="Bull",NORMINV(RAND(),Assumptions!$B$5,Assumptions!$B$6),NORMINV(RAND(),Assumptions!$B$8,Assumptions!$B$9))</f>
        <v>0.336389757601221</v>
      </c>
      <c r="J437" s="8" t="n">
        <f aca="true">IF(D437="Bull",NORMINV(RAND(),Assumptions!$B$5,Assumptions!$B$6),NORMINV(RAND(),Assumptions!$B$8,Assumptions!$B$9))</f>
        <v>0.192230517932651</v>
      </c>
      <c r="K437" s="8" t="n">
        <f aca="true">IF(E437="Bull",NORMINV(RAND(),Assumptions!$B$5,Assumptions!$B$6),NORMINV(RAND(),Assumptions!$B$8,Assumptions!$B$9))</f>
        <v>0.0515981949751194</v>
      </c>
      <c r="L437" s="8" t="n">
        <f aca="true">IF(F437="Bull",NORMINV(RAND(),Assumptions!$B$5,Assumptions!$B$6),NORMINV(RAND(),Assumptions!$B$8,Assumptions!$B$9))</f>
        <v>0.0545362086372843</v>
      </c>
      <c r="M437" s="8" t="n">
        <f aca="true">IF(G437="Bull",NORMINV(RAND(),Assumptions!$B$5,Assumptions!$B$6),NORMINV(RAND(),Assumptions!$B$8,Assumptions!$B$9))</f>
        <v>-0.432276294229889</v>
      </c>
      <c r="N437" s="8" t="n">
        <f aca="true">NORMINV(RAND(),Assumptions!$B$14,Assumptions!$B$15)</f>
        <v>0.000755605990860706</v>
      </c>
      <c r="O437" s="8" t="n">
        <f aca="true">NORMINV(RAND(),Assumptions!$B$14,Assumptions!$B$15)</f>
        <v>0.0561202604237929</v>
      </c>
      <c r="P437" s="8" t="n">
        <f aca="true">NORMINV(RAND(),Assumptions!$B$14,Assumptions!$B$15)</f>
        <v>0.133479937252136</v>
      </c>
      <c r="Q437" s="8" t="n">
        <f aca="true">NORMINV(RAND(),Assumptions!$B$14,Assumptions!$B$15)</f>
        <v>0.0560684820815875</v>
      </c>
      <c r="R437" s="8" t="n">
        <f aca="true">NORMINV(RAND(),Assumptions!$B$14,Assumptions!$B$15)</f>
        <v>0.0921446524696766</v>
      </c>
      <c r="S437" s="8" t="n">
        <f aca="true">NORMINV(RAND(),Assumptions!$B$14,Assumptions!$B$15)</f>
        <v>0.00697199924879104</v>
      </c>
      <c r="T437" s="8" t="n">
        <f aca="false">Assumptions!$B$19*H437+(1-Assumptions!$B$19)*N437</f>
        <v>0.109091676478523</v>
      </c>
      <c r="U437" s="8" t="n">
        <f aca="false">Assumptions!$B$20*I437+(1-Assumptions!$B$20)*O437</f>
        <v>0.336389757601221</v>
      </c>
      <c r="V437" s="8" t="n">
        <f aca="false">Assumptions!$B$21*J437+(1-Assumptions!$B$21)*P437</f>
        <v>0.192230517932651</v>
      </c>
      <c r="W437" s="8" t="n">
        <f aca="false">Assumptions!$B$22*K437+(1-Assumptions!$B$22)*Q437</f>
        <v>0.0515981949751194</v>
      </c>
      <c r="X437" s="8" t="n">
        <f aca="false">Assumptions!$B$23*L437+(1-Assumptions!$B$23)*R437</f>
        <v>0.0620578974037627</v>
      </c>
      <c r="Y437" s="8" t="n">
        <f aca="false">Assumptions!$B$24*M437+(1-Assumptions!$B$24)*S437</f>
        <v>-0.256576976838417</v>
      </c>
      <c r="Z437" s="6" t="n">
        <f aca="false">Assumptions!$B$27*(1+T437)</f>
        <v>332727.502943557</v>
      </c>
      <c r="AA437" s="6" t="n">
        <f aca="false">(Z437+Assumptions!$B$28)*(1+U437)</f>
        <v>645112.090646182</v>
      </c>
      <c r="AB437" s="6" t="n">
        <f aca="false">AA437*(1+V437)</f>
        <v>769122.321955713</v>
      </c>
      <c r="AC437" s="6" t="n">
        <f aca="false">AB437*(1+W437)</f>
        <v>808807.645483701</v>
      </c>
      <c r="AD437" s="6" t="n">
        <f aca="false">AC437*(1+X437)</f>
        <v>859000.547366507</v>
      </c>
      <c r="AE437" s="6" t="n">
        <f aca="false">AD437*(1+Y437)</f>
        <v>638600.783820663</v>
      </c>
      <c r="AF437" s="6" t="n">
        <f aca="false">Z437</f>
        <v>332727.502943557</v>
      </c>
      <c r="AG437" s="6" t="n">
        <f aca="false">MAX(AF437,AA437)</f>
        <v>645112.090646182</v>
      </c>
      <c r="AH437" s="6" t="n">
        <f aca="false">MAX(AG437,AB437)</f>
        <v>769122.321955713</v>
      </c>
      <c r="AI437" s="6" t="n">
        <f aca="false">MAX(AH437,AC437)</f>
        <v>808807.645483701</v>
      </c>
      <c r="AJ437" s="6" t="n">
        <f aca="false">MAX(AI437,AD437)</f>
        <v>859000.547366507</v>
      </c>
      <c r="AK437" s="6" t="n">
        <f aca="false">MAX(AJ437,AE437)</f>
        <v>859000.547366507</v>
      </c>
      <c r="AL437" s="8" t="n">
        <f aca="false">MIN(Z437/AF437-1,AA437/AG437-1,AB437/AH437-1,AC437/AI437-1,AD437/AJ437-1,AE437/AK437-1)</f>
        <v>-0.256576976838417</v>
      </c>
      <c r="AM437" s="6" t="n">
        <f aca="false">AE437-Assumptions!$B$35</f>
        <v>197336.78715816</v>
      </c>
    </row>
    <row r="438" customFormat="false" ht="15" hidden="false" customHeight="false" outlineLevel="0" collapsed="false">
      <c r="A438" s="0" t="n">
        <f aca="false">ROW()-1</f>
        <v>437</v>
      </c>
      <c r="B438" s="0" t="str">
        <f aca="true">IF(RAND()&lt;Assumptions!$B$11,"Bull","Bear")</f>
        <v>Bull</v>
      </c>
      <c r="C438" s="0" t="str">
        <f aca="true">IF(B438="Bull",IF(RAND()&lt;Assumptions!$B$7,"Bull","Bear"),IF(RAND()&lt;Assumptions!$B$10,"Bear","Bull"))</f>
        <v>Bull</v>
      </c>
      <c r="D438" s="0" t="str">
        <f aca="true">IF(C438="Bull",IF(RAND()&lt;Assumptions!$B$7,"Bull","Bear"),IF(RAND()&lt;Assumptions!$B$10,"Bear","Bull"))</f>
        <v>Bull</v>
      </c>
      <c r="E438" s="0" t="str">
        <f aca="true">IF(D438="Bull",IF(RAND()&lt;Assumptions!$B$7,"Bull","Bear"),IF(RAND()&lt;Assumptions!$B$10,"Bear","Bull"))</f>
        <v>Bear</v>
      </c>
      <c r="F438" s="0" t="str">
        <f aca="true">IF(E438="Bull",IF(RAND()&lt;Assumptions!$B$7,"Bull","Bear"),IF(RAND()&lt;Assumptions!$B$10,"Bear","Bull"))</f>
        <v>Bull</v>
      </c>
      <c r="G438" s="0" t="str">
        <f aca="true">IF(F438="Bull",IF(RAND()&lt;Assumptions!$B$7,"Bull","Bear"),IF(RAND()&lt;Assumptions!$B$10,"Bear","Bull"))</f>
        <v>Bull</v>
      </c>
      <c r="H438" s="8" t="n">
        <f aca="true">IF(B438="Bull",NORMINV(RAND(),Assumptions!$B$5,Assumptions!$B$6),NORMINV(RAND(),Assumptions!$B$8,Assumptions!$B$9))</f>
        <v>0.270188509677583</v>
      </c>
      <c r="I438" s="8" t="n">
        <f aca="true">IF(C438="Bull",NORMINV(RAND(),Assumptions!$B$5,Assumptions!$B$6),NORMINV(RAND(),Assumptions!$B$8,Assumptions!$B$9))</f>
        <v>0.14232589185052</v>
      </c>
      <c r="J438" s="8" t="n">
        <f aca="true">IF(D438="Bull",NORMINV(RAND(),Assumptions!$B$5,Assumptions!$B$6),NORMINV(RAND(),Assumptions!$B$8,Assumptions!$B$9))</f>
        <v>0.0658628218519654</v>
      </c>
      <c r="K438" s="8" t="n">
        <f aca="true">IF(E438="Bull",NORMINV(RAND(),Assumptions!$B$5,Assumptions!$B$6),NORMINV(RAND(),Assumptions!$B$8,Assumptions!$B$9))</f>
        <v>0.0816262615404824</v>
      </c>
      <c r="L438" s="8" t="n">
        <f aca="true">IF(F438="Bull",NORMINV(RAND(),Assumptions!$B$5,Assumptions!$B$6),NORMINV(RAND(),Assumptions!$B$8,Assumptions!$B$9))</f>
        <v>0.0744748290365463</v>
      </c>
      <c r="M438" s="8" t="n">
        <f aca="true">IF(G438="Bull",NORMINV(RAND(),Assumptions!$B$5,Assumptions!$B$6),NORMINV(RAND(),Assumptions!$B$8,Assumptions!$B$9))</f>
        <v>0.309098302633945</v>
      </c>
      <c r="N438" s="8" t="n">
        <f aca="true">NORMINV(RAND(),Assumptions!$B$14,Assumptions!$B$15)</f>
        <v>0.0529569894543092</v>
      </c>
      <c r="O438" s="8" t="n">
        <f aca="true">NORMINV(RAND(),Assumptions!$B$14,Assumptions!$B$15)</f>
        <v>0.0801195693350906</v>
      </c>
      <c r="P438" s="8" t="n">
        <f aca="true">NORMINV(RAND(),Assumptions!$B$14,Assumptions!$B$15)</f>
        <v>0.00992231118643912</v>
      </c>
      <c r="Q438" s="8" t="n">
        <f aca="true">NORMINV(RAND(),Assumptions!$B$14,Assumptions!$B$15)</f>
        <v>0.0203776133173637</v>
      </c>
      <c r="R438" s="8" t="n">
        <f aca="true">NORMINV(RAND(),Assumptions!$B$14,Assumptions!$B$15)</f>
        <v>-0.00700554104185387</v>
      </c>
      <c r="S438" s="8" t="n">
        <f aca="true">NORMINV(RAND(),Assumptions!$B$14,Assumptions!$B$15)</f>
        <v>0.0577008612835299</v>
      </c>
      <c r="T438" s="8" t="n">
        <f aca="false">Assumptions!$B$19*H438+(1-Assumptions!$B$19)*N438</f>
        <v>0.270188509677583</v>
      </c>
      <c r="U438" s="8" t="n">
        <f aca="false">Assumptions!$B$20*I438+(1-Assumptions!$B$20)*O438</f>
        <v>0.14232589185052</v>
      </c>
      <c r="V438" s="8" t="n">
        <f aca="false">Assumptions!$B$21*J438+(1-Assumptions!$B$21)*P438</f>
        <v>0.0658628218519654</v>
      </c>
      <c r="W438" s="8" t="n">
        <f aca="false">Assumptions!$B$22*K438+(1-Assumptions!$B$22)*Q438</f>
        <v>0.0816262615404824</v>
      </c>
      <c r="X438" s="8" t="n">
        <f aca="false">Assumptions!$B$23*L438+(1-Assumptions!$B$23)*R438</f>
        <v>0.0581787550208662</v>
      </c>
      <c r="Y438" s="8" t="n">
        <f aca="false">Assumptions!$B$24*M438+(1-Assumptions!$B$24)*S438</f>
        <v>0.208539326093779</v>
      </c>
      <c r="Z438" s="6" t="n">
        <f aca="false">Assumptions!$B$27*(1+T438)</f>
        <v>381056.552903275</v>
      </c>
      <c r="AA438" s="6" t="n">
        <f aca="false">(Z438+Assumptions!$B$28)*(1+U438)</f>
        <v>606639.650418297</v>
      </c>
      <c r="AB438" s="6" t="n">
        <f aca="false">AA438*(1+V438)</f>
        <v>646594.649642135</v>
      </c>
      <c r="AC438" s="6" t="n">
        <f aca="false">AB438*(1+W438)</f>
        <v>699373.753624501</v>
      </c>
      <c r="AD438" s="6" t="n">
        <f aca="false">AC438*(1+X438)</f>
        <v>740062.447904644</v>
      </c>
      <c r="AE438" s="6" t="n">
        <f aca="false">AD438*(1+Y438)</f>
        <v>894394.572057991</v>
      </c>
      <c r="AF438" s="6" t="n">
        <f aca="false">Z438</f>
        <v>381056.552903275</v>
      </c>
      <c r="AG438" s="6" t="n">
        <f aca="false">MAX(AF438,AA438)</f>
        <v>606639.650418297</v>
      </c>
      <c r="AH438" s="6" t="n">
        <f aca="false">MAX(AG438,AB438)</f>
        <v>646594.649642135</v>
      </c>
      <c r="AI438" s="6" t="n">
        <f aca="false">MAX(AH438,AC438)</f>
        <v>699373.753624501</v>
      </c>
      <c r="AJ438" s="6" t="n">
        <f aca="false">MAX(AI438,AD438)</f>
        <v>740062.447904644</v>
      </c>
      <c r="AK438" s="6" t="n">
        <f aca="false">MAX(AJ438,AE438)</f>
        <v>894394.572057991</v>
      </c>
      <c r="AL438" s="8" t="n">
        <f aca="false">MIN(Z438/AF438-1,AA438/AG438-1,AB438/AH438-1,AC438/AI438-1,AD438/AJ438-1,AE438/AK438-1)</f>
        <v>0</v>
      </c>
      <c r="AM438" s="6" t="n">
        <f aca="false">AE438-Assumptions!$B$35</f>
        <v>453130.575395488</v>
      </c>
    </row>
    <row r="439" customFormat="false" ht="15" hidden="false" customHeight="false" outlineLevel="0" collapsed="false">
      <c r="A439" s="0" t="n">
        <f aca="false">ROW()-1</f>
        <v>438</v>
      </c>
      <c r="B439" s="0" t="str">
        <f aca="true">IF(RAND()&lt;Assumptions!$B$11,"Bull","Bear")</f>
        <v>Bull</v>
      </c>
      <c r="C439" s="0" t="str">
        <f aca="true">IF(B439="Bull",IF(RAND()&lt;Assumptions!$B$7,"Bull","Bear"),IF(RAND()&lt;Assumptions!$B$10,"Bear","Bull"))</f>
        <v>Bull</v>
      </c>
      <c r="D439" s="0" t="str">
        <f aca="true">IF(C439="Bull",IF(RAND()&lt;Assumptions!$B$7,"Bull","Bear"),IF(RAND()&lt;Assumptions!$B$10,"Bear","Bull"))</f>
        <v>Bull</v>
      </c>
      <c r="E439" s="0" t="str">
        <f aca="true">IF(D439="Bull",IF(RAND()&lt;Assumptions!$B$7,"Bull","Bear"),IF(RAND()&lt;Assumptions!$B$10,"Bear","Bull"))</f>
        <v>Bear</v>
      </c>
      <c r="F439" s="0" t="str">
        <f aca="true">IF(E439="Bull",IF(RAND()&lt;Assumptions!$B$7,"Bull","Bear"),IF(RAND()&lt;Assumptions!$B$10,"Bear","Bull"))</f>
        <v>Bull</v>
      </c>
      <c r="G439" s="0" t="str">
        <f aca="true">IF(F439="Bull",IF(RAND()&lt;Assumptions!$B$7,"Bull","Bear"),IF(RAND()&lt;Assumptions!$B$10,"Bear","Bull"))</f>
        <v>Bull</v>
      </c>
      <c r="H439" s="8" t="n">
        <f aca="true">IF(B439="Bull",NORMINV(RAND(),Assumptions!$B$5,Assumptions!$B$6),NORMINV(RAND(),Assumptions!$B$8,Assumptions!$B$9))</f>
        <v>0.0883797935118602</v>
      </c>
      <c r="I439" s="8" t="n">
        <f aca="true">IF(C439="Bull",NORMINV(RAND(),Assumptions!$B$5,Assumptions!$B$6),NORMINV(RAND(),Assumptions!$B$8,Assumptions!$B$9))</f>
        <v>0.133400505947038</v>
      </c>
      <c r="J439" s="8" t="n">
        <f aca="true">IF(D439="Bull",NORMINV(RAND(),Assumptions!$B$5,Assumptions!$B$6),NORMINV(RAND(),Assumptions!$B$8,Assumptions!$B$9))</f>
        <v>0.240887281384699</v>
      </c>
      <c r="K439" s="8" t="n">
        <f aca="true">IF(E439="Bull",NORMINV(RAND(),Assumptions!$B$5,Assumptions!$B$6),NORMINV(RAND(),Assumptions!$B$8,Assumptions!$B$9))</f>
        <v>-0.299457806640876</v>
      </c>
      <c r="L439" s="8" t="n">
        <f aca="true">IF(F439="Bull",NORMINV(RAND(),Assumptions!$B$5,Assumptions!$B$6),NORMINV(RAND(),Assumptions!$B$8,Assumptions!$B$9))</f>
        <v>0.174855252781307</v>
      </c>
      <c r="M439" s="8" t="n">
        <f aca="true">IF(G439="Bull",NORMINV(RAND(),Assumptions!$B$5,Assumptions!$B$6),NORMINV(RAND(),Assumptions!$B$8,Assumptions!$B$9))</f>
        <v>0.0122608690481318</v>
      </c>
      <c r="N439" s="8" t="n">
        <f aca="true">NORMINV(RAND(),Assumptions!$B$14,Assumptions!$B$15)</f>
        <v>0.0615862908024605</v>
      </c>
      <c r="O439" s="8" t="n">
        <f aca="true">NORMINV(RAND(),Assumptions!$B$14,Assumptions!$B$15)</f>
        <v>0.0638314464795175</v>
      </c>
      <c r="P439" s="8" t="n">
        <f aca="true">NORMINV(RAND(),Assumptions!$B$14,Assumptions!$B$15)</f>
        <v>0.0638521903211222</v>
      </c>
      <c r="Q439" s="8" t="n">
        <f aca="true">NORMINV(RAND(),Assumptions!$B$14,Assumptions!$B$15)</f>
        <v>0.0135404374053847</v>
      </c>
      <c r="R439" s="8" t="n">
        <f aca="true">NORMINV(RAND(),Assumptions!$B$14,Assumptions!$B$15)</f>
        <v>0.0476773366729554</v>
      </c>
      <c r="S439" s="8" t="n">
        <f aca="true">NORMINV(RAND(),Assumptions!$B$14,Assumptions!$B$15)</f>
        <v>0.0433745585390451</v>
      </c>
      <c r="T439" s="8" t="n">
        <f aca="false">Assumptions!$B$19*H439+(1-Assumptions!$B$19)*N439</f>
        <v>0.0883797935118602</v>
      </c>
      <c r="U439" s="8" t="n">
        <f aca="false">Assumptions!$B$20*I439+(1-Assumptions!$B$20)*O439</f>
        <v>0.133400505947038</v>
      </c>
      <c r="V439" s="8" t="n">
        <f aca="false">Assumptions!$B$21*J439+(1-Assumptions!$B$21)*P439</f>
        <v>0.240887281384699</v>
      </c>
      <c r="W439" s="8" t="n">
        <f aca="false">Assumptions!$B$22*K439+(1-Assumptions!$B$22)*Q439</f>
        <v>-0.299457806640876</v>
      </c>
      <c r="X439" s="8" t="n">
        <f aca="false">Assumptions!$B$23*L439+(1-Assumptions!$B$23)*R439</f>
        <v>0.149419669559637</v>
      </c>
      <c r="Y439" s="8" t="n">
        <f aca="false">Assumptions!$B$24*M439+(1-Assumptions!$B$24)*S439</f>
        <v>0.0247063448444972</v>
      </c>
      <c r="Z439" s="6" t="n">
        <f aca="false">Assumptions!$B$27*(1+T439)</f>
        <v>326513.938053558</v>
      </c>
      <c r="AA439" s="6" t="n">
        <f aca="false">(Z439+Assumptions!$B$28)*(1+U439)</f>
        <v>540081.138480718</v>
      </c>
      <c r="AB439" s="6" t="n">
        <f aca="false">AA439*(1+V439)</f>
        <v>670179.815656492</v>
      </c>
      <c r="AC439" s="6" t="n">
        <f aca="false">AB439*(1+W439)</f>
        <v>469489.238005012</v>
      </c>
      <c r="AD439" s="6" t="n">
        <f aca="false">AC439*(1+X439)</f>
        <v>539640.164809527</v>
      </c>
      <c r="AE439" s="6" t="n">
        <f aca="false">AD439*(1+Y439)</f>
        <v>552972.700813252</v>
      </c>
      <c r="AF439" s="6" t="n">
        <f aca="false">Z439</f>
        <v>326513.938053558</v>
      </c>
      <c r="AG439" s="6" t="n">
        <f aca="false">MAX(AF439,AA439)</f>
        <v>540081.138480718</v>
      </c>
      <c r="AH439" s="6" t="n">
        <f aca="false">MAX(AG439,AB439)</f>
        <v>670179.815656492</v>
      </c>
      <c r="AI439" s="6" t="n">
        <f aca="false">MAX(AH439,AC439)</f>
        <v>670179.815656492</v>
      </c>
      <c r="AJ439" s="6" t="n">
        <f aca="false">MAX(AI439,AD439)</f>
        <v>670179.815656492</v>
      </c>
      <c r="AK439" s="6" t="n">
        <f aca="false">MAX(AJ439,AE439)</f>
        <v>670179.815656492</v>
      </c>
      <c r="AL439" s="8" t="n">
        <f aca="false">MIN(Z439/AF439-1,AA439/AG439-1,AB439/AH439-1,AC439/AI439-1,AD439/AJ439-1,AE439/AK439-1)</f>
        <v>-0.299457806640876</v>
      </c>
      <c r="AM439" s="6" t="n">
        <f aca="false">AE439-Assumptions!$B$35</f>
        <v>111708.704150749</v>
      </c>
    </row>
    <row r="440" customFormat="false" ht="15" hidden="false" customHeight="false" outlineLevel="0" collapsed="false">
      <c r="A440" s="0" t="n">
        <f aca="false">ROW()-1</f>
        <v>439</v>
      </c>
      <c r="B440" s="0" t="str">
        <f aca="true">IF(RAND()&lt;Assumptions!$B$11,"Bull","Bear")</f>
        <v>Bull</v>
      </c>
      <c r="C440" s="0" t="str">
        <f aca="true">IF(B440="Bull",IF(RAND()&lt;Assumptions!$B$7,"Bull","Bear"),IF(RAND()&lt;Assumptions!$B$10,"Bear","Bull"))</f>
        <v>Bear</v>
      </c>
      <c r="D440" s="0" t="str">
        <f aca="true">IF(C440="Bull",IF(RAND()&lt;Assumptions!$B$7,"Bull","Bear"),IF(RAND()&lt;Assumptions!$B$10,"Bear","Bull"))</f>
        <v>Bull</v>
      </c>
      <c r="E440" s="0" t="str">
        <f aca="true">IF(D440="Bull",IF(RAND()&lt;Assumptions!$B$7,"Bull","Bear"),IF(RAND()&lt;Assumptions!$B$10,"Bear","Bull"))</f>
        <v>Bull</v>
      </c>
      <c r="F440" s="0" t="str">
        <f aca="true">IF(E440="Bull",IF(RAND()&lt;Assumptions!$B$7,"Bull","Bear"),IF(RAND()&lt;Assumptions!$B$10,"Bear","Bull"))</f>
        <v>Bull</v>
      </c>
      <c r="G440" s="0" t="str">
        <f aca="true">IF(F440="Bull",IF(RAND()&lt;Assumptions!$B$7,"Bull","Bear"),IF(RAND()&lt;Assumptions!$B$10,"Bear","Bull"))</f>
        <v>Bull</v>
      </c>
      <c r="H440" s="8" t="n">
        <f aca="true">IF(B440="Bull",NORMINV(RAND(),Assumptions!$B$5,Assumptions!$B$6),NORMINV(RAND(),Assumptions!$B$8,Assumptions!$B$9))</f>
        <v>0.114002238118432</v>
      </c>
      <c r="I440" s="8" t="n">
        <f aca="true">IF(C440="Bull",NORMINV(RAND(),Assumptions!$B$5,Assumptions!$B$6),NORMINV(RAND(),Assumptions!$B$8,Assumptions!$B$9))</f>
        <v>0.201177252533068</v>
      </c>
      <c r="J440" s="8" t="n">
        <f aca="true">IF(D440="Bull",NORMINV(RAND(),Assumptions!$B$5,Assumptions!$B$6),NORMINV(RAND(),Assumptions!$B$8,Assumptions!$B$9))</f>
        <v>0.0850949225718066</v>
      </c>
      <c r="K440" s="8" t="n">
        <f aca="true">IF(E440="Bull",NORMINV(RAND(),Assumptions!$B$5,Assumptions!$B$6),NORMINV(RAND(),Assumptions!$B$8,Assumptions!$B$9))</f>
        <v>0.152738541136793</v>
      </c>
      <c r="L440" s="8" t="n">
        <f aca="true">IF(F440="Bull",NORMINV(RAND(),Assumptions!$B$5,Assumptions!$B$6),NORMINV(RAND(),Assumptions!$B$8,Assumptions!$B$9))</f>
        <v>0.166584493837788</v>
      </c>
      <c r="M440" s="8" t="n">
        <f aca="true">IF(G440="Bull",NORMINV(RAND(),Assumptions!$B$5,Assumptions!$B$6),NORMINV(RAND(),Assumptions!$B$8,Assumptions!$B$9))</f>
        <v>0.169055242241676</v>
      </c>
      <c r="N440" s="8" t="n">
        <f aca="true">NORMINV(RAND(),Assumptions!$B$14,Assumptions!$B$15)</f>
        <v>0.0591659998295929</v>
      </c>
      <c r="O440" s="8" t="n">
        <f aca="true">NORMINV(RAND(),Assumptions!$B$14,Assumptions!$B$15)</f>
        <v>0.0388071845561369</v>
      </c>
      <c r="P440" s="8" t="n">
        <f aca="true">NORMINV(RAND(),Assumptions!$B$14,Assumptions!$B$15)</f>
        <v>0.0631236371530402</v>
      </c>
      <c r="Q440" s="8" t="n">
        <f aca="true">NORMINV(RAND(),Assumptions!$B$14,Assumptions!$B$15)</f>
        <v>0.0203400713644866</v>
      </c>
      <c r="R440" s="8" t="n">
        <f aca="true">NORMINV(RAND(),Assumptions!$B$14,Assumptions!$B$15)</f>
        <v>0.0470206174810401</v>
      </c>
      <c r="S440" s="8" t="n">
        <f aca="true">NORMINV(RAND(),Assumptions!$B$14,Assumptions!$B$15)</f>
        <v>0.046416129750306</v>
      </c>
      <c r="T440" s="8" t="n">
        <f aca="false">Assumptions!$B$19*H440+(1-Assumptions!$B$19)*N440</f>
        <v>0.114002238118432</v>
      </c>
      <c r="U440" s="8" t="n">
        <f aca="false">Assumptions!$B$20*I440+(1-Assumptions!$B$20)*O440</f>
        <v>0.201177252533068</v>
      </c>
      <c r="V440" s="8" t="n">
        <f aca="false">Assumptions!$B$21*J440+(1-Assumptions!$B$21)*P440</f>
        <v>0.0850949225718066</v>
      </c>
      <c r="W440" s="8" t="n">
        <f aca="false">Assumptions!$B$22*K440+(1-Assumptions!$B$22)*Q440</f>
        <v>0.152738541136793</v>
      </c>
      <c r="X440" s="8" t="n">
        <f aca="false">Assumptions!$B$23*L440+(1-Assumptions!$B$23)*R440</f>
        <v>0.142671718566438</v>
      </c>
      <c r="Y440" s="8" t="n">
        <f aca="false">Assumptions!$B$24*M440+(1-Assumptions!$B$24)*S440</f>
        <v>0.119999597245128</v>
      </c>
      <c r="Z440" s="6" t="n">
        <f aca="false">Assumptions!$B$27*(1+T440)</f>
        <v>334200.67143553</v>
      </c>
      <c r="AA440" s="6" t="n">
        <f aca="false">(Z440+Assumptions!$B$28)*(1+U440)</f>
        <v>581610.832189596</v>
      </c>
      <c r="AB440" s="6" t="n">
        <f aca="false">AA440*(1+V440)</f>
        <v>631102.960921694</v>
      </c>
      <c r="AC440" s="6" t="n">
        <f aca="false">AB440*(1+W440)</f>
        <v>727496.706479984</v>
      </c>
      <c r="AD440" s="6" t="n">
        <f aca="false">AC440*(1+X440)</f>
        <v>831289.911844907</v>
      </c>
      <c r="AE440" s="6" t="n">
        <f aca="false">AD440*(1+Y440)</f>
        <v>931044.366460234</v>
      </c>
      <c r="AF440" s="6" t="n">
        <f aca="false">Z440</f>
        <v>334200.67143553</v>
      </c>
      <c r="AG440" s="6" t="n">
        <f aca="false">MAX(AF440,AA440)</f>
        <v>581610.832189596</v>
      </c>
      <c r="AH440" s="6" t="n">
        <f aca="false">MAX(AG440,AB440)</f>
        <v>631102.960921694</v>
      </c>
      <c r="AI440" s="6" t="n">
        <f aca="false">MAX(AH440,AC440)</f>
        <v>727496.706479984</v>
      </c>
      <c r="AJ440" s="6" t="n">
        <f aca="false">MAX(AI440,AD440)</f>
        <v>831289.911844907</v>
      </c>
      <c r="AK440" s="6" t="n">
        <f aca="false">MAX(AJ440,AE440)</f>
        <v>931044.366460234</v>
      </c>
      <c r="AL440" s="8" t="n">
        <f aca="false">MIN(Z440/AF440-1,AA440/AG440-1,AB440/AH440-1,AC440/AI440-1,AD440/AJ440-1,AE440/AK440-1)</f>
        <v>0</v>
      </c>
      <c r="AM440" s="6" t="n">
        <f aca="false">AE440-Assumptions!$B$35</f>
        <v>489780.369797731</v>
      </c>
    </row>
    <row r="441" customFormat="false" ht="15" hidden="false" customHeight="false" outlineLevel="0" collapsed="false">
      <c r="A441" s="0" t="n">
        <f aca="false">ROW()-1</f>
        <v>440</v>
      </c>
      <c r="B441" s="0" t="str">
        <f aca="true">IF(RAND()&lt;Assumptions!$B$11,"Bull","Bear")</f>
        <v>Bull</v>
      </c>
      <c r="C441" s="0" t="str">
        <f aca="true">IF(B441="Bull",IF(RAND()&lt;Assumptions!$B$7,"Bull","Bear"),IF(RAND()&lt;Assumptions!$B$10,"Bear","Bull"))</f>
        <v>Bull</v>
      </c>
      <c r="D441" s="0" t="str">
        <f aca="true">IF(C441="Bull",IF(RAND()&lt;Assumptions!$B$7,"Bull","Bear"),IF(RAND()&lt;Assumptions!$B$10,"Bear","Bull"))</f>
        <v>Bull</v>
      </c>
      <c r="E441" s="0" t="str">
        <f aca="true">IF(D441="Bull",IF(RAND()&lt;Assumptions!$B$7,"Bull","Bear"),IF(RAND()&lt;Assumptions!$B$10,"Bear","Bull"))</f>
        <v>Bull</v>
      </c>
      <c r="F441" s="0" t="str">
        <f aca="true">IF(E441="Bull",IF(RAND()&lt;Assumptions!$B$7,"Bull","Bear"),IF(RAND()&lt;Assumptions!$B$10,"Bear","Bull"))</f>
        <v>Bull</v>
      </c>
      <c r="G441" s="0" t="str">
        <f aca="true">IF(F441="Bull",IF(RAND()&lt;Assumptions!$B$7,"Bull","Bear"),IF(RAND()&lt;Assumptions!$B$10,"Bear","Bull"))</f>
        <v>Bear</v>
      </c>
      <c r="H441" s="8" t="n">
        <f aca="true">IF(B441="Bull",NORMINV(RAND(),Assumptions!$B$5,Assumptions!$B$6),NORMINV(RAND(),Assumptions!$B$8,Assumptions!$B$9))</f>
        <v>0.218612246799593</v>
      </c>
      <c r="I441" s="8" t="n">
        <f aca="true">IF(C441="Bull",NORMINV(RAND(),Assumptions!$B$5,Assumptions!$B$6),NORMINV(RAND(),Assumptions!$B$8,Assumptions!$B$9))</f>
        <v>0.318125133233844</v>
      </c>
      <c r="J441" s="8" t="n">
        <f aca="true">IF(D441="Bull",NORMINV(RAND(),Assumptions!$B$5,Assumptions!$B$6),NORMINV(RAND(),Assumptions!$B$8,Assumptions!$B$9))</f>
        <v>0.250373170939732</v>
      </c>
      <c r="K441" s="8" t="n">
        <f aca="true">IF(E441="Bull",NORMINV(RAND(),Assumptions!$B$5,Assumptions!$B$6),NORMINV(RAND(),Assumptions!$B$8,Assumptions!$B$9))</f>
        <v>0.323689723396321</v>
      </c>
      <c r="L441" s="8" t="n">
        <f aca="true">IF(F441="Bull",NORMINV(RAND(),Assumptions!$B$5,Assumptions!$B$6),NORMINV(RAND(),Assumptions!$B$8,Assumptions!$B$9))</f>
        <v>0.230715124845437</v>
      </c>
      <c r="M441" s="8" t="n">
        <f aca="true">IF(G441="Bull",NORMINV(RAND(),Assumptions!$B$5,Assumptions!$B$6),NORMINV(RAND(),Assumptions!$B$8,Assumptions!$B$9))</f>
        <v>-0.10999494896726</v>
      </c>
      <c r="N441" s="8" t="n">
        <f aca="true">NORMINV(RAND(),Assumptions!$B$14,Assumptions!$B$15)</f>
        <v>0.0769570550494972</v>
      </c>
      <c r="O441" s="8" t="n">
        <f aca="true">NORMINV(RAND(),Assumptions!$B$14,Assumptions!$B$15)</f>
        <v>-0.00695999196338067</v>
      </c>
      <c r="P441" s="8" t="n">
        <f aca="true">NORMINV(RAND(),Assumptions!$B$14,Assumptions!$B$15)</f>
        <v>0.0739869436990269</v>
      </c>
      <c r="Q441" s="8" t="n">
        <f aca="true">NORMINV(RAND(),Assumptions!$B$14,Assumptions!$B$15)</f>
        <v>0.0477740989205562</v>
      </c>
      <c r="R441" s="8" t="n">
        <f aca="true">NORMINV(RAND(),Assumptions!$B$14,Assumptions!$B$15)</f>
        <v>0.032196031237932</v>
      </c>
      <c r="S441" s="8" t="n">
        <f aca="true">NORMINV(RAND(),Assumptions!$B$14,Assumptions!$B$15)</f>
        <v>0.0408256875098593</v>
      </c>
      <c r="T441" s="8" t="n">
        <f aca="false">Assumptions!$B$19*H441+(1-Assumptions!$B$19)*N441</f>
        <v>0.218612246799593</v>
      </c>
      <c r="U441" s="8" t="n">
        <f aca="false">Assumptions!$B$20*I441+(1-Assumptions!$B$20)*O441</f>
        <v>0.318125133233844</v>
      </c>
      <c r="V441" s="8" t="n">
        <f aca="false">Assumptions!$B$21*J441+(1-Assumptions!$B$21)*P441</f>
        <v>0.250373170939732</v>
      </c>
      <c r="W441" s="8" t="n">
        <f aca="false">Assumptions!$B$22*K441+(1-Assumptions!$B$22)*Q441</f>
        <v>0.323689723396321</v>
      </c>
      <c r="X441" s="8" t="n">
        <f aca="false">Assumptions!$B$23*L441+(1-Assumptions!$B$23)*R441</f>
        <v>0.191011306123936</v>
      </c>
      <c r="Y441" s="8" t="n">
        <f aca="false">Assumptions!$B$24*M441+(1-Assumptions!$B$24)*S441</f>
        <v>-0.0496666943764125</v>
      </c>
      <c r="Z441" s="6" t="n">
        <f aca="false">Assumptions!$B$27*(1+T441)</f>
        <v>365583.674039878</v>
      </c>
      <c r="AA441" s="6" t="n">
        <f aca="false">(Z441+Assumptions!$B$28)*(1+U441)</f>
        <v>679603.799037009</v>
      </c>
      <c r="AB441" s="6" t="n">
        <f aca="false">AA441*(1+V441)</f>
        <v>849758.357184593</v>
      </c>
      <c r="AC441" s="6" t="n">
        <f aca="false">AB441*(1+W441)</f>
        <v>1124816.40477539</v>
      </c>
      <c r="AD441" s="6" t="n">
        <f aca="false">AC441*(1+X441)</f>
        <v>1339669.05540116</v>
      </c>
      <c r="AE441" s="6" t="n">
        <f aca="false">AD441*(1+Y441)</f>
        <v>1273132.12186102</v>
      </c>
      <c r="AF441" s="6" t="n">
        <f aca="false">Z441</f>
        <v>365583.674039878</v>
      </c>
      <c r="AG441" s="6" t="n">
        <f aca="false">MAX(AF441,AA441)</f>
        <v>679603.799037009</v>
      </c>
      <c r="AH441" s="6" t="n">
        <f aca="false">MAX(AG441,AB441)</f>
        <v>849758.357184593</v>
      </c>
      <c r="AI441" s="6" t="n">
        <f aca="false">MAX(AH441,AC441)</f>
        <v>1124816.40477539</v>
      </c>
      <c r="AJ441" s="6" t="n">
        <f aca="false">MAX(AI441,AD441)</f>
        <v>1339669.05540116</v>
      </c>
      <c r="AK441" s="6" t="n">
        <f aca="false">MAX(AJ441,AE441)</f>
        <v>1339669.05540116</v>
      </c>
      <c r="AL441" s="8" t="n">
        <f aca="false">MIN(Z441/AF441-1,AA441/AG441-1,AB441/AH441-1,AC441/AI441-1,AD441/AJ441-1,AE441/AK441-1)</f>
        <v>-0.0496666943764125</v>
      </c>
      <c r="AM441" s="6" t="n">
        <f aca="false">AE441-Assumptions!$B$35</f>
        <v>831868.125198513</v>
      </c>
    </row>
    <row r="442" customFormat="false" ht="15" hidden="false" customHeight="false" outlineLevel="0" collapsed="false">
      <c r="A442" s="0" t="n">
        <f aca="false">ROW()-1</f>
        <v>441</v>
      </c>
      <c r="B442" s="0" t="str">
        <f aca="true">IF(RAND()&lt;Assumptions!$B$11,"Bull","Bear")</f>
        <v>Bear</v>
      </c>
      <c r="C442" s="0" t="str">
        <f aca="true">IF(B442="Bull",IF(RAND()&lt;Assumptions!$B$7,"Bull","Bear"),IF(RAND()&lt;Assumptions!$B$10,"Bear","Bull"))</f>
        <v>Bear</v>
      </c>
      <c r="D442" s="0" t="str">
        <f aca="true">IF(C442="Bull",IF(RAND()&lt;Assumptions!$B$7,"Bull","Bear"),IF(RAND()&lt;Assumptions!$B$10,"Bear","Bull"))</f>
        <v>Bear</v>
      </c>
      <c r="E442" s="0" t="str">
        <f aca="true">IF(D442="Bull",IF(RAND()&lt;Assumptions!$B$7,"Bull","Bear"),IF(RAND()&lt;Assumptions!$B$10,"Bear","Bull"))</f>
        <v>Bull</v>
      </c>
      <c r="F442" s="0" t="str">
        <f aca="true">IF(E442="Bull",IF(RAND()&lt;Assumptions!$B$7,"Bull","Bear"),IF(RAND()&lt;Assumptions!$B$10,"Bear","Bull"))</f>
        <v>Bull</v>
      </c>
      <c r="G442" s="0" t="str">
        <f aca="true">IF(F442="Bull",IF(RAND()&lt;Assumptions!$B$7,"Bull","Bear"),IF(RAND()&lt;Assumptions!$B$10,"Bear","Bull"))</f>
        <v>Bull</v>
      </c>
      <c r="H442" s="8" t="n">
        <f aca="true">IF(B442="Bull",NORMINV(RAND(),Assumptions!$B$5,Assumptions!$B$6),NORMINV(RAND(),Assumptions!$B$8,Assumptions!$B$9))</f>
        <v>-0.251116866291501</v>
      </c>
      <c r="I442" s="8" t="n">
        <f aca="true">IF(C442="Bull",NORMINV(RAND(),Assumptions!$B$5,Assumptions!$B$6),NORMINV(RAND(),Assumptions!$B$8,Assumptions!$B$9))</f>
        <v>-0.0863050833145783</v>
      </c>
      <c r="J442" s="8" t="n">
        <f aca="true">IF(D442="Bull",NORMINV(RAND(),Assumptions!$B$5,Assumptions!$B$6),NORMINV(RAND(),Assumptions!$B$8,Assumptions!$B$9))</f>
        <v>-0.175407344653263</v>
      </c>
      <c r="K442" s="8" t="n">
        <f aca="true">IF(E442="Bull",NORMINV(RAND(),Assumptions!$B$5,Assumptions!$B$6),NORMINV(RAND(),Assumptions!$B$8,Assumptions!$B$9))</f>
        <v>0.116143990899209</v>
      </c>
      <c r="L442" s="8" t="n">
        <f aca="true">IF(F442="Bull",NORMINV(RAND(),Assumptions!$B$5,Assumptions!$B$6),NORMINV(RAND(),Assumptions!$B$8,Assumptions!$B$9))</f>
        <v>0.243472663610612</v>
      </c>
      <c r="M442" s="8" t="n">
        <f aca="true">IF(G442="Bull",NORMINV(RAND(),Assumptions!$B$5,Assumptions!$B$6),NORMINV(RAND(),Assumptions!$B$8,Assumptions!$B$9))</f>
        <v>-0.0389303833110555</v>
      </c>
      <c r="N442" s="8" t="n">
        <f aca="true">NORMINV(RAND(),Assumptions!$B$14,Assumptions!$B$15)</f>
        <v>0.0518447272693331</v>
      </c>
      <c r="O442" s="8" t="n">
        <f aca="true">NORMINV(RAND(),Assumptions!$B$14,Assumptions!$B$15)</f>
        <v>0.0346845387976459</v>
      </c>
      <c r="P442" s="8" t="n">
        <f aca="true">NORMINV(RAND(),Assumptions!$B$14,Assumptions!$B$15)</f>
        <v>0.0769295534768088</v>
      </c>
      <c r="Q442" s="8" t="n">
        <f aca="true">NORMINV(RAND(),Assumptions!$B$14,Assumptions!$B$15)</f>
        <v>0.0557320259662759</v>
      </c>
      <c r="R442" s="8" t="n">
        <f aca="true">NORMINV(RAND(),Assumptions!$B$14,Assumptions!$B$15)</f>
        <v>0.0214619877210772</v>
      </c>
      <c r="S442" s="8" t="n">
        <f aca="true">NORMINV(RAND(),Assumptions!$B$14,Assumptions!$B$15)</f>
        <v>0.0424483743355645</v>
      </c>
      <c r="T442" s="8" t="n">
        <f aca="false">Assumptions!$B$19*H442+(1-Assumptions!$B$19)*N442</f>
        <v>-0.251116866291501</v>
      </c>
      <c r="U442" s="8" t="n">
        <f aca="false">Assumptions!$B$20*I442+(1-Assumptions!$B$20)*O442</f>
        <v>-0.0863050833145783</v>
      </c>
      <c r="V442" s="8" t="n">
        <f aca="false">Assumptions!$B$21*J442+(1-Assumptions!$B$21)*P442</f>
        <v>-0.175407344653263</v>
      </c>
      <c r="W442" s="8" t="n">
        <f aca="false">Assumptions!$B$22*K442+(1-Assumptions!$B$22)*Q442</f>
        <v>0.116143990899209</v>
      </c>
      <c r="X442" s="8" t="n">
        <f aca="false">Assumptions!$B$23*L442+(1-Assumptions!$B$23)*R442</f>
        <v>0.199070528432705</v>
      </c>
      <c r="Y442" s="8" t="n">
        <f aca="false">Assumptions!$B$24*M442+(1-Assumptions!$B$24)*S442</f>
        <v>-0.00637888025240748</v>
      </c>
      <c r="Z442" s="6" t="n">
        <f aca="false">Assumptions!$B$27*(1+T442)</f>
        <v>224664.94011255</v>
      </c>
      <c r="AA442" s="6" t="n">
        <f aca="false">(Z442+Assumptions!$B$28)*(1+U442)</f>
        <v>342329.451241085</v>
      </c>
      <c r="AB442" s="6" t="n">
        <f aca="false">AA442*(1+V442)</f>
        <v>282282.351202277</v>
      </c>
      <c r="AC442" s="6" t="n">
        <f aca="false">AB442*(1+W442)</f>
        <v>315067.750031322</v>
      </c>
      <c r="AD442" s="6" t="n">
        <f aca="false">AC442*(1+X442)</f>
        <v>377788.453522161</v>
      </c>
      <c r="AE442" s="6" t="n">
        <f aca="false">AD442*(1+Y442)</f>
        <v>375378.586216401</v>
      </c>
      <c r="AF442" s="6" t="n">
        <f aca="false">Z442</f>
        <v>224664.94011255</v>
      </c>
      <c r="AG442" s="6" t="n">
        <f aca="false">MAX(AF442,AA442)</f>
        <v>342329.451241085</v>
      </c>
      <c r="AH442" s="6" t="n">
        <f aca="false">MAX(AG442,AB442)</f>
        <v>342329.451241085</v>
      </c>
      <c r="AI442" s="6" t="n">
        <f aca="false">MAX(AH442,AC442)</f>
        <v>342329.451241085</v>
      </c>
      <c r="AJ442" s="6" t="n">
        <f aca="false">MAX(AI442,AD442)</f>
        <v>377788.453522161</v>
      </c>
      <c r="AK442" s="6" t="n">
        <f aca="false">MAX(AJ442,AE442)</f>
        <v>377788.453522161</v>
      </c>
      <c r="AL442" s="8" t="n">
        <f aca="false">MIN(Z442/AF442-1,AA442/AG442-1,AB442/AH442-1,AC442/AI442-1,AD442/AJ442-1,AE442/AK442-1)</f>
        <v>-0.175407344653263</v>
      </c>
      <c r="AM442" s="6" t="n">
        <f aca="false">AE442-Assumptions!$B$35</f>
        <v>-65885.4104461029</v>
      </c>
    </row>
    <row r="443" customFormat="false" ht="15" hidden="false" customHeight="false" outlineLevel="0" collapsed="false">
      <c r="A443" s="0" t="n">
        <f aca="false">ROW()-1</f>
        <v>442</v>
      </c>
      <c r="B443" s="0" t="str">
        <f aca="true">IF(RAND()&lt;Assumptions!$B$11,"Bull","Bear")</f>
        <v>Bear</v>
      </c>
      <c r="C443" s="0" t="str">
        <f aca="true">IF(B443="Bull",IF(RAND()&lt;Assumptions!$B$7,"Bull","Bear"),IF(RAND()&lt;Assumptions!$B$10,"Bear","Bull"))</f>
        <v>Bear</v>
      </c>
      <c r="D443" s="0" t="str">
        <f aca="true">IF(C443="Bull",IF(RAND()&lt;Assumptions!$B$7,"Bull","Bear"),IF(RAND()&lt;Assumptions!$B$10,"Bear","Bull"))</f>
        <v>Bear</v>
      </c>
      <c r="E443" s="0" t="str">
        <f aca="true">IF(D443="Bull",IF(RAND()&lt;Assumptions!$B$7,"Bull","Bear"),IF(RAND()&lt;Assumptions!$B$10,"Bear","Bull"))</f>
        <v>Bear</v>
      </c>
      <c r="F443" s="0" t="str">
        <f aca="true">IF(E443="Bull",IF(RAND()&lt;Assumptions!$B$7,"Bull","Bear"),IF(RAND()&lt;Assumptions!$B$10,"Bear","Bull"))</f>
        <v>Bear</v>
      </c>
      <c r="G443" s="0" t="str">
        <f aca="true">IF(F443="Bull",IF(RAND()&lt;Assumptions!$B$7,"Bull","Bear"),IF(RAND()&lt;Assumptions!$B$10,"Bear","Bull"))</f>
        <v>Bull</v>
      </c>
      <c r="H443" s="8" t="n">
        <f aca="true">IF(B443="Bull",NORMINV(RAND(),Assumptions!$B$5,Assumptions!$B$6),NORMINV(RAND(),Assumptions!$B$8,Assumptions!$B$9))</f>
        <v>-0.275301910346777</v>
      </c>
      <c r="I443" s="8" t="n">
        <f aca="true">IF(C443="Bull",NORMINV(RAND(),Assumptions!$B$5,Assumptions!$B$6),NORMINV(RAND(),Assumptions!$B$8,Assumptions!$B$9))</f>
        <v>0.0405019047795409</v>
      </c>
      <c r="J443" s="8" t="n">
        <f aca="true">IF(D443="Bull",NORMINV(RAND(),Assumptions!$B$5,Assumptions!$B$6),NORMINV(RAND(),Assumptions!$B$8,Assumptions!$B$9))</f>
        <v>-0.0990546337311844</v>
      </c>
      <c r="K443" s="8" t="n">
        <f aca="true">IF(E443="Bull",NORMINV(RAND(),Assumptions!$B$5,Assumptions!$B$6),NORMINV(RAND(),Assumptions!$B$8,Assumptions!$B$9))</f>
        <v>-0.263956395082076</v>
      </c>
      <c r="L443" s="8" t="n">
        <f aca="true">IF(F443="Bull",NORMINV(RAND(),Assumptions!$B$5,Assumptions!$B$6),NORMINV(RAND(),Assumptions!$B$8,Assumptions!$B$9))</f>
        <v>-0.0628731931144438</v>
      </c>
      <c r="M443" s="8" t="n">
        <f aca="true">IF(G443="Bull",NORMINV(RAND(),Assumptions!$B$5,Assumptions!$B$6),NORMINV(RAND(),Assumptions!$B$8,Assumptions!$B$9))</f>
        <v>-0.0278933596236777</v>
      </c>
      <c r="N443" s="8" t="n">
        <f aca="true">NORMINV(RAND(),Assumptions!$B$14,Assumptions!$B$15)</f>
        <v>0.000552202538919924</v>
      </c>
      <c r="O443" s="8" t="n">
        <f aca="true">NORMINV(RAND(),Assumptions!$B$14,Assumptions!$B$15)</f>
        <v>0.0953887149484127</v>
      </c>
      <c r="P443" s="8" t="n">
        <f aca="true">NORMINV(RAND(),Assumptions!$B$14,Assumptions!$B$15)</f>
        <v>0.0386168553688433</v>
      </c>
      <c r="Q443" s="8" t="n">
        <f aca="true">NORMINV(RAND(),Assumptions!$B$14,Assumptions!$B$15)</f>
        <v>0.09192576390987</v>
      </c>
      <c r="R443" s="8" t="n">
        <f aca="true">NORMINV(RAND(),Assumptions!$B$14,Assumptions!$B$15)</f>
        <v>0.0237973499898033</v>
      </c>
      <c r="S443" s="8" t="n">
        <f aca="true">NORMINV(RAND(),Assumptions!$B$14,Assumptions!$B$15)</f>
        <v>0.0393285289270401</v>
      </c>
      <c r="T443" s="8" t="n">
        <f aca="false">Assumptions!$B$19*H443+(1-Assumptions!$B$19)*N443</f>
        <v>-0.275301910346777</v>
      </c>
      <c r="U443" s="8" t="n">
        <f aca="false">Assumptions!$B$20*I443+(1-Assumptions!$B$20)*O443</f>
        <v>0.0405019047795409</v>
      </c>
      <c r="V443" s="8" t="n">
        <f aca="false">Assumptions!$B$21*J443+(1-Assumptions!$B$21)*P443</f>
        <v>-0.0990546337311844</v>
      </c>
      <c r="W443" s="8" t="n">
        <f aca="false">Assumptions!$B$22*K443+(1-Assumptions!$B$22)*Q443</f>
        <v>-0.263956395082076</v>
      </c>
      <c r="X443" s="8" t="n">
        <f aca="false">Assumptions!$B$23*L443+(1-Assumptions!$B$23)*R443</f>
        <v>-0.0455390844935944</v>
      </c>
      <c r="Y443" s="8" t="n">
        <f aca="false">Assumptions!$B$24*M443+(1-Assumptions!$B$24)*S443</f>
        <v>-0.00100460420339055</v>
      </c>
      <c r="Z443" s="6" t="n">
        <f aca="false">Assumptions!$B$27*(1+T443)</f>
        <v>217409.426895967</v>
      </c>
      <c r="AA443" s="6" t="n">
        <f aca="false">(Z443+Assumptions!$B$28)*(1+U443)</f>
        <v>382290.208519213</v>
      </c>
      <c r="AB443" s="6" t="n">
        <f aca="false">AA443*(1+V443)</f>
        <v>344422.591935324</v>
      </c>
      <c r="AC443" s="6" t="n">
        <f aca="false">AB443*(1+W443)</f>
        <v>253510.046183251</v>
      </c>
      <c r="AD443" s="6" t="n">
        <f aca="false">AC443*(1+X443)</f>
        <v>241965.430770137</v>
      </c>
      <c r="AE443" s="6" t="n">
        <f aca="false">AD443*(1+Y443)</f>
        <v>241722.35128131</v>
      </c>
      <c r="AF443" s="6" t="n">
        <f aca="false">Z443</f>
        <v>217409.426895967</v>
      </c>
      <c r="AG443" s="6" t="n">
        <f aca="false">MAX(AF443,AA443)</f>
        <v>382290.208519213</v>
      </c>
      <c r="AH443" s="6" t="n">
        <f aca="false">MAX(AG443,AB443)</f>
        <v>382290.208519213</v>
      </c>
      <c r="AI443" s="6" t="n">
        <f aca="false">MAX(AH443,AC443)</f>
        <v>382290.208519213</v>
      </c>
      <c r="AJ443" s="6" t="n">
        <f aca="false">MAX(AI443,AD443)</f>
        <v>382290.208519213</v>
      </c>
      <c r="AK443" s="6" t="n">
        <f aca="false">MAX(AJ443,AE443)</f>
        <v>382290.208519213</v>
      </c>
      <c r="AL443" s="8" t="n">
        <f aca="false">MIN(Z443/AF443-1,AA443/AG443-1,AB443/AH443-1,AC443/AI443-1,AD443/AJ443-1,AE443/AK443-1)</f>
        <v>-0.367699339678061</v>
      </c>
      <c r="AM443" s="6" t="n">
        <f aca="false">AE443-Assumptions!$B$35</f>
        <v>-199541.645381193</v>
      </c>
    </row>
    <row r="444" customFormat="false" ht="15" hidden="false" customHeight="false" outlineLevel="0" collapsed="false">
      <c r="A444" s="0" t="n">
        <f aca="false">ROW()-1</f>
        <v>443</v>
      </c>
      <c r="B444" s="0" t="str">
        <f aca="true">IF(RAND()&lt;Assumptions!$B$11,"Bull","Bear")</f>
        <v>Bull</v>
      </c>
      <c r="C444" s="0" t="str">
        <f aca="true">IF(B444="Bull",IF(RAND()&lt;Assumptions!$B$7,"Bull","Bear"),IF(RAND()&lt;Assumptions!$B$10,"Bear","Bull"))</f>
        <v>Bull</v>
      </c>
      <c r="D444" s="0" t="str">
        <f aca="true">IF(C444="Bull",IF(RAND()&lt;Assumptions!$B$7,"Bull","Bear"),IF(RAND()&lt;Assumptions!$B$10,"Bear","Bull"))</f>
        <v>Bull</v>
      </c>
      <c r="E444" s="0" t="str">
        <f aca="true">IF(D444="Bull",IF(RAND()&lt;Assumptions!$B$7,"Bull","Bear"),IF(RAND()&lt;Assumptions!$B$10,"Bear","Bull"))</f>
        <v>Bear</v>
      </c>
      <c r="F444" s="0" t="str">
        <f aca="true">IF(E444="Bull",IF(RAND()&lt;Assumptions!$B$7,"Bull","Bear"),IF(RAND()&lt;Assumptions!$B$10,"Bear","Bull"))</f>
        <v>Bear</v>
      </c>
      <c r="G444" s="0" t="str">
        <f aca="true">IF(F444="Bull",IF(RAND()&lt;Assumptions!$B$7,"Bull","Bear"),IF(RAND()&lt;Assumptions!$B$10,"Bear","Bull"))</f>
        <v>Bull</v>
      </c>
      <c r="H444" s="8" t="n">
        <f aca="true">IF(B444="Bull",NORMINV(RAND(),Assumptions!$B$5,Assumptions!$B$6),NORMINV(RAND(),Assumptions!$B$8,Assumptions!$B$9))</f>
        <v>0.12253462063503</v>
      </c>
      <c r="I444" s="8" t="n">
        <f aca="true">IF(C444="Bull",NORMINV(RAND(),Assumptions!$B$5,Assumptions!$B$6),NORMINV(RAND(),Assumptions!$B$8,Assumptions!$B$9))</f>
        <v>0.174094371014364</v>
      </c>
      <c r="J444" s="8" t="n">
        <f aca="true">IF(D444="Bull",NORMINV(RAND(),Assumptions!$B$5,Assumptions!$B$6),NORMINV(RAND(),Assumptions!$B$8,Assumptions!$B$9))</f>
        <v>0.239824653727775</v>
      </c>
      <c r="K444" s="8" t="n">
        <f aca="true">IF(E444="Bull",NORMINV(RAND(),Assumptions!$B$5,Assumptions!$B$6),NORMINV(RAND(),Assumptions!$B$8,Assumptions!$B$9))</f>
        <v>-0.0951001049293704</v>
      </c>
      <c r="L444" s="8" t="n">
        <f aca="true">IF(F444="Bull",NORMINV(RAND(),Assumptions!$B$5,Assumptions!$B$6),NORMINV(RAND(),Assumptions!$B$8,Assumptions!$B$9))</f>
        <v>-0.000350129594859847</v>
      </c>
      <c r="M444" s="8" t="n">
        <f aca="true">IF(G444="Bull",NORMINV(RAND(),Assumptions!$B$5,Assumptions!$B$6),NORMINV(RAND(),Assumptions!$B$8,Assumptions!$B$9))</f>
        <v>0.246100543381337</v>
      </c>
      <c r="N444" s="8" t="n">
        <f aca="true">NORMINV(RAND(),Assumptions!$B$14,Assumptions!$B$15)</f>
        <v>0.0355643891570644</v>
      </c>
      <c r="O444" s="8" t="n">
        <f aca="true">NORMINV(RAND(),Assumptions!$B$14,Assumptions!$B$15)</f>
        <v>0.0965329245708766</v>
      </c>
      <c r="P444" s="8" t="n">
        <f aca="true">NORMINV(RAND(),Assumptions!$B$14,Assumptions!$B$15)</f>
        <v>0.0355445544999787</v>
      </c>
      <c r="Q444" s="8" t="n">
        <f aca="true">NORMINV(RAND(),Assumptions!$B$14,Assumptions!$B$15)</f>
        <v>-0.0104055843967399</v>
      </c>
      <c r="R444" s="8" t="n">
        <f aca="true">NORMINV(RAND(),Assumptions!$B$14,Assumptions!$B$15)</f>
        <v>0.00817725113600479</v>
      </c>
      <c r="S444" s="8" t="n">
        <f aca="true">NORMINV(RAND(),Assumptions!$B$14,Assumptions!$B$15)</f>
        <v>0.00210441069138782</v>
      </c>
      <c r="T444" s="8" t="n">
        <f aca="false">Assumptions!$B$19*H444+(1-Assumptions!$B$19)*N444</f>
        <v>0.12253462063503</v>
      </c>
      <c r="U444" s="8" t="n">
        <f aca="false">Assumptions!$B$20*I444+(1-Assumptions!$B$20)*O444</f>
        <v>0.174094371014364</v>
      </c>
      <c r="V444" s="8" t="n">
        <f aca="false">Assumptions!$B$21*J444+(1-Assumptions!$B$21)*P444</f>
        <v>0.239824653727775</v>
      </c>
      <c r="W444" s="8" t="n">
        <f aca="false">Assumptions!$B$22*K444+(1-Assumptions!$B$22)*Q444</f>
        <v>-0.0951001049293704</v>
      </c>
      <c r="X444" s="8" t="n">
        <f aca="false">Assumptions!$B$23*L444+(1-Assumptions!$B$23)*R444</f>
        <v>0.00135534655131308</v>
      </c>
      <c r="Y444" s="8" t="n">
        <f aca="false">Assumptions!$B$24*M444+(1-Assumptions!$B$24)*S444</f>
        <v>0.148502090305357</v>
      </c>
      <c r="Z444" s="6" t="n">
        <f aca="false">Assumptions!$B$27*(1+T444)</f>
        <v>336760.386190509</v>
      </c>
      <c r="AA444" s="6" t="n">
        <f aca="false">(Z444+Assumptions!$B$28)*(1+U444)</f>
        <v>571502.629459054</v>
      </c>
      <c r="AB444" s="6" t="n">
        <f aca="false">AA444*(1+V444)</f>
        <v>708563.049673585</v>
      </c>
      <c r="AC444" s="6" t="n">
        <f aca="false">AB444*(1+W444)</f>
        <v>641178.629300553</v>
      </c>
      <c r="AD444" s="6" t="n">
        <f aca="false">AC444*(1+X444)</f>
        <v>642047.648544551</v>
      </c>
      <c r="AE444" s="6" t="n">
        <f aca="false">AD444*(1+Y444)</f>
        <v>737393.066429056</v>
      </c>
      <c r="AF444" s="6" t="n">
        <f aca="false">Z444</f>
        <v>336760.386190509</v>
      </c>
      <c r="AG444" s="6" t="n">
        <f aca="false">MAX(AF444,AA444)</f>
        <v>571502.629459054</v>
      </c>
      <c r="AH444" s="6" t="n">
        <f aca="false">MAX(AG444,AB444)</f>
        <v>708563.049673585</v>
      </c>
      <c r="AI444" s="6" t="n">
        <f aca="false">MAX(AH444,AC444)</f>
        <v>708563.049673585</v>
      </c>
      <c r="AJ444" s="6" t="n">
        <f aca="false">MAX(AI444,AD444)</f>
        <v>708563.049673585</v>
      </c>
      <c r="AK444" s="6" t="n">
        <f aca="false">MAX(AJ444,AE444)</f>
        <v>737393.066429056</v>
      </c>
      <c r="AL444" s="8" t="n">
        <f aca="false">MIN(Z444/AF444-1,AA444/AG444-1,AB444/AH444-1,AC444/AI444-1,AD444/AJ444-1,AE444/AK444-1)</f>
        <v>-0.0951001049293705</v>
      </c>
      <c r="AM444" s="6" t="n">
        <f aca="false">AE444-Assumptions!$B$35</f>
        <v>296129.069766553</v>
      </c>
    </row>
    <row r="445" customFormat="false" ht="15" hidden="false" customHeight="false" outlineLevel="0" collapsed="false">
      <c r="A445" s="0" t="n">
        <f aca="false">ROW()-1</f>
        <v>444</v>
      </c>
      <c r="B445" s="0" t="str">
        <f aca="true">IF(RAND()&lt;Assumptions!$B$11,"Bull","Bear")</f>
        <v>Bull</v>
      </c>
      <c r="C445" s="0" t="str">
        <f aca="true">IF(B445="Bull",IF(RAND()&lt;Assumptions!$B$7,"Bull","Bear"),IF(RAND()&lt;Assumptions!$B$10,"Bear","Bull"))</f>
        <v>Bear</v>
      </c>
      <c r="D445" s="0" t="str">
        <f aca="true">IF(C445="Bull",IF(RAND()&lt;Assumptions!$B$7,"Bull","Bear"),IF(RAND()&lt;Assumptions!$B$10,"Bear","Bull"))</f>
        <v>Bear</v>
      </c>
      <c r="E445" s="0" t="str">
        <f aca="true">IF(D445="Bull",IF(RAND()&lt;Assumptions!$B$7,"Bull","Bear"),IF(RAND()&lt;Assumptions!$B$10,"Bear","Bull"))</f>
        <v>Bear</v>
      </c>
      <c r="F445" s="0" t="str">
        <f aca="true">IF(E445="Bull",IF(RAND()&lt;Assumptions!$B$7,"Bull","Bear"),IF(RAND()&lt;Assumptions!$B$10,"Bear","Bull"))</f>
        <v>Bull</v>
      </c>
      <c r="G445" s="0" t="str">
        <f aca="true">IF(F445="Bull",IF(RAND()&lt;Assumptions!$B$7,"Bull","Bear"),IF(RAND()&lt;Assumptions!$B$10,"Bear","Bull"))</f>
        <v>Bull</v>
      </c>
      <c r="H445" s="8" t="n">
        <f aca="true">IF(B445="Bull",NORMINV(RAND(),Assumptions!$B$5,Assumptions!$B$6),NORMINV(RAND(),Assumptions!$B$8,Assumptions!$B$9))</f>
        <v>0.0803802386819808</v>
      </c>
      <c r="I445" s="8" t="n">
        <f aca="true">IF(C445="Bull",NORMINV(RAND(),Assumptions!$B$5,Assumptions!$B$6),NORMINV(RAND(),Assumptions!$B$8,Assumptions!$B$9))</f>
        <v>0.181378288806191</v>
      </c>
      <c r="J445" s="8" t="n">
        <f aca="true">IF(D445="Bull",NORMINV(RAND(),Assumptions!$B$5,Assumptions!$B$6),NORMINV(RAND(),Assumptions!$B$8,Assumptions!$B$9))</f>
        <v>0.035422576563744</v>
      </c>
      <c r="K445" s="8" t="n">
        <f aca="true">IF(E445="Bull",NORMINV(RAND(),Assumptions!$B$5,Assumptions!$B$6),NORMINV(RAND(),Assumptions!$B$8,Assumptions!$B$9))</f>
        <v>-0.134731771489134</v>
      </c>
      <c r="L445" s="8" t="n">
        <f aca="true">IF(F445="Bull",NORMINV(RAND(),Assumptions!$B$5,Assumptions!$B$6),NORMINV(RAND(),Assumptions!$B$8,Assumptions!$B$9))</f>
        <v>0.214689546983839</v>
      </c>
      <c r="M445" s="8" t="n">
        <f aca="true">IF(G445="Bull",NORMINV(RAND(),Assumptions!$B$5,Assumptions!$B$6),NORMINV(RAND(),Assumptions!$B$8,Assumptions!$B$9))</f>
        <v>0.157713006248149</v>
      </c>
      <c r="N445" s="8" t="n">
        <f aca="true">NORMINV(RAND(),Assumptions!$B$14,Assumptions!$B$15)</f>
        <v>0.0611963620297059</v>
      </c>
      <c r="O445" s="8" t="n">
        <f aca="true">NORMINV(RAND(),Assumptions!$B$14,Assumptions!$B$15)</f>
        <v>0.0385363961078353</v>
      </c>
      <c r="P445" s="8" t="n">
        <f aca="true">NORMINV(RAND(),Assumptions!$B$14,Assumptions!$B$15)</f>
        <v>0.0283400232156688</v>
      </c>
      <c r="Q445" s="8" t="n">
        <f aca="true">NORMINV(RAND(),Assumptions!$B$14,Assumptions!$B$15)</f>
        <v>0.0864751106196478</v>
      </c>
      <c r="R445" s="8" t="n">
        <f aca="true">NORMINV(RAND(),Assumptions!$B$14,Assumptions!$B$15)</f>
        <v>0.0741717475818614</v>
      </c>
      <c r="S445" s="8" t="n">
        <f aca="true">NORMINV(RAND(),Assumptions!$B$14,Assumptions!$B$15)</f>
        <v>0.0635459132296631</v>
      </c>
      <c r="T445" s="8" t="n">
        <f aca="false">Assumptions!$B$19*H445+(1-Assumptions!$B$19)*N445</f>
        <v>0.0803802386819808</v>
      </c>
      <c r="U445" s="8" t="n">
        <f aca="false">Assumptions!$B$20*I445+(1-Assumptions!$B$20)*O445</f>
        <v>0.181378288806191</v>
      </c>
      <c r="V445" s="8" t="n">
        <f aca="false">Assumptions!$B$21*J445+(1-Assumptions!$B$21)*P445</f>
        <v>0.035422576563744</v>
      </c>
      <c r="W445" s="8" t="n">
        <f aca="false">Assumptions!$B$22*K445+(1-Assumptions!$B$22)*Q445</f>
        <v>-0.134731771489134</v>
      </c>
      <c r="X445" s="8" t="n">
        <f aca="false">Assumptions!$B$23*L445+(1-Assumptions!$B$23)*R445</f>
        <v>0.186585987103444</v>
      </c>
      <c r="Y445" s="8" t="n">
        <f aca="false">Assumptions!$B$24*M445+(1-Assumptions!$B$24)*S445</f>
        <v>0.120046169040755</v>
      </c>
      <c r="Z445" s="6" t="n">
        <f aca="false">Assumptions!$B$27*(1+T445)</f>
        <v>324114.071604594</v>
      </c>
      <c r="AA445" s="6" t="n">
        <f aca="false">(Z445+Assumptions!$B$28)*(1+U445)</f>
        <v>560108.070611172</v>
      </c>
      <c r="AB445" s="6" t="n">
        <f aca="false">AA445*(1+V445)</f>
        <v>579948.541626367</v>
      </c>
      <c r="AC445" s="6" t="n">
        <f aca="false">AB445*(1+W445)</f>
        <v>501811.047240507</v>
      </c>
      <c r="AD445" s="6" t="n">
        <f aca="false">AC445*(1+X445)</f>
        <v>595441.95682929</v>
      </c>
      <c r="AE445" s="6" t="n">
        <f aca="false">AD445*(1+Y445)</f>
        <v>666922.482632776</v>
      </c>
      <c r="AF445" s="6" t="n">
        <f aca="false">Z445</f>
        <v>324114.071604594</v>
      </c>
      <c r="AG445" s="6" t="n">
        <f aca="false">MAX(AF445,AA445)</f>
        <v>560108.070611172</v>
      </c>
      <c r="AH445" s="6" t="n">
        <f aca="false">MAX(AG445,AB445)</f>
        <v>579948.541626367</v>
      </c>
      <c r="AI445" s="6" t="n">
        <f aca="false">MAX(AH445,AC445)</f>
        <v>579948.541626367</v>
      </c>
      <c r="AJ445" s="6" t="n">
        <f aca="false">MAX(AI445,AD445)</f>
        <v>595441.95682929</v>
      </c>
      <c r="AK445" s="6" t="n">
        <f aca="false">MAX(AJ445,AE445)</f>
        <v>666922.482632776</v>
      </c>
      <c r="AL445" s="8" t="n">
        <f aca="false">MIN(Z445/AF445-1,AA445/AG445-1,AB445/AH445-1,AC445/AI445-1,AD445/AJ445-1,AE445/AK445-1)</f>
        <v>-0.134731771489134</v>
      </c>
      <c r="AM445" s="6" t="n">
        <f aca="false">AE445-Assumptions!$B$35</f>
        <v>225658.485970273</v>
      </c>
    </row>
    <row r="446" customFormat="false" ht="15" hidden="false" customHeight="false" outlineLevel="0" collapsed="false">
      <c r="A446" s="0" t="n">
        <f aca="false">ROW()-1</f>
        <v>445</v>
      </c>
      <c r="B446" s="0" t="str">
        <f aca="true">IF(RAND()&lt;Assumptions!$B$11,"Bull","Bear")</f>
        <v>Bull</v>
      </c>
      <c r="C446" s="0" t="str">
        <f aca="true">IF(B446="Bull",IF(RAND()&lt;Assumptions!$B$7,"Bull","Bear"),IF(RAND()&lt;Assumptions!$B$10,"Bear","Bull"))</f>
        <v>Bull</v>
      </c>
      <c r="D446" s="0" t="str">
        <f aca="true">IF(C446="Bull",IF(RAND()&lt;Assumptions!$B$7,"Bull","Bear"),IF(RAND()&lt;Assumptions!$B$10,"Bear","Bull"))</f>
        <v>Bull</v>
      </c>
      <c r="E446" s="0" t="str">
        <f aca="true">IF(D446="Bull",IF(RAND()&lt;Assumptions!$B$7,"Bull","Bear"),IF(RAND()&lt;Assumptions!$B$10,"Bear","Bull"))</f>
        <v>Bull</v>
      </c>
      <c r="F446" s="0" t="str">
        <f aca="true">IF(E446="Bull",IF(RAND()&lt;Assumptions!$B$7,"Bull","Bear"),IF(RAND()&lt;Assumptions!$B$10,"Bear","Bull"))</f>
        <v>Bear</v>
      </c>
      <c r="G446" s="0" t="str">
        <f aca="true">IF(F446="Bull",IF(RAND()&lt;Assumptions!$B$7,"Bull","Bear"),IF(RAND()&lt;Assumptions!$B$10,"Bear","Bull"))</f>
        <v>Bull</v>
      </c>
      <c r="H446" s="8" t="n">
        <f aca="true">IF(B446="Bull",NORMINV(RAND(),Assumptions!$B$5,Assumptions!$B$6),NORMINV(RAND(),Assumptions!$B$8,Assumptions!$B$9))</f>
        <v>0.17502425867231</v>
      </c>
      <c r="I446" s="8" t="n">
        <f aca="true">IF(C446="Bull",NORMINV(RAND(),Assumptions!$B$5,Assumptions!$B$6),NORMINV(RAND(),Assumptions!$B$8,Assumptions!$B$9))</f>
        <v>0.339869947613279</v>
      </c>
      <c r="J446" s="8" t="n">
        <f aca="true">IF(D446="Bull",NORMINV(RAND(),Assumptions!$B$5,Assumptions!$B$6),NORMINV(RAND(),Assumptions!$B$8,Assumptions!$B$9))</f>
        <v>0.0306154911497154</v>
      </c>
      <c r="K446" s="8" t="n">
        <f aca="true">IF(E446="Bull",NORMINV(RAND(),Assumptions!$B$5,Assumptions!$B$6),NORMINV(RAND(),Assumptions!$B$8,Assumptions!$B$9))</f>
        <v>0.384854751505089</v>
      </c>
      <c r="L446" s="8" t="n">
        <f aca="true">IF(F446="Bull",NORMINV(RAND(),Assumptions!$B$5,Assumptions!$B$6),NORMINV(RAND(),Assumptions!$B$8,Assumptions!$B$9))</f>
        <v>0.0156855746698834</v>
      </c>
      <c r="M446" s="8" t="n">
        <f aca="true">IF(G446="Bull",NORMINV(RAND(),Assumptions!$B$5,Assumptions!$B$6),NORMINV(RAND(),Assumptions!$B$8,Assumptions!$B$9))</f>
        <v>0.144222584729839</v>
      </c>
      <c r="N446" s="8" t="n">
        <f aca="true">NORMINV(RAND(),Assumptions!$B$14,Assumptions!$B$15)</f>
        <v>0.0462999397891011</v>
      </c>
      <c r="O446" s="8" t="n">
        <f aca="true">NORMINV(RAND(),Assumptions!$B$14,Assumptions!$B$15)</f>
        <v>0.045047100143986</v>
      </c>
      <c r="P446" s="8" t="n">
        <f aca="true">NORMINV(RAND(),Assumptions!$B$14,Assumptions!$B$15)</f>
        <v>0.0631021966131433</v>
      </c>
      <c r="Q446" s="8" t="n">
        <f aca="true">NORMINV(RAND(),Assumptions!$B$14,Assumptions!$B$15)</f>
        <v>0.0387262855510056</v>
      </c>
      <c r="R446" s="8" t="n">
        <f aca="true">NORMINV(RAND(),Assumptions!$B$14,Assumptions!$B$15)</f>
        <v>0.0435176689227323</v>
      </c>
      <c r="S446" s="8" t="n">
        <f aca="true">NORMINV(RAND(),Assumptions!$B$14,Assumptions!$B$15)</f>
        <v>0.0468716005870994</v>
      </c>
      <c r="T446" s="8" t="n">
        <f aca="false">Assumptions!$B$19*H446+(1-Assumptions!$B$19)*N446</f>
        <v>0.17502425867231</v>
      </c>
      <c r="U446" s="8" t="n">
        <f aca="false">Assumptions!$B$20*I446+(1-Assumptions!$B$20)*O446</f>
        <v>0.339869947613279</v>
      </c>
      <c r="V446" s="8" t="n">
        <f aca="false">Assumptions!$B$21*J446+(1-Assumptions!$B$21)*P446</f>
        <v>0.0306154911497154</v>
      </c>
      <c r="W446" s="8" t="n">
        <f aca="false">Assumptions!$B$22*K446+(1-Assumptions!$B$22)*Q446</f>
        <v>0.384854751505089</v>
      </c>
      <c r="X446" s="8" t="n">
        <f aca="false">Assumptions!$B$23*L446+(1-Assumptions!$B$23)*R446</f>
        <v>0.0212519935204532</v>
      </c>
      <c r="Y446" s="8" t="n">
        <f aca="false">Assumptions!$B$24*M446+(1-Assumptions!$B$24)*S446</f>
        <v>0.105282191072743</v>
      </c>
      <c r="Z446" s="6" t="n">
        <f aca="false">Assumptions!$B$27*(1+T446)</f>
        <v>352507.277601693</v>
      </c>
      <c r="AA446" s="6" t="n">
        <f aca="false">(Z446+Assumptions!$B$28)*(1+U446)</f>
        <v>673294.399715472</v>
      </c>
      <c r="AB446" s="6" t="n">
        <f aca="false">AA446*(1+V446)</f>
        <v>693907.638451114</v>
      </c>
      <c r="AC446" s="6" t="n">
        <f aca="false">AB446*(1+W446)</f>
        <v>960961.2902147</v>
      </c>
      <c r="AD446" s="6" t="n">
        <f aca="false">AC446*(1+X446)</f>
        <v>981383.633327749</v>
      </c>
      <c r="AE446" s="6" t="n">
        <f aca="false">AD446*(1+Y446)</f>
        <v>1084705.85252742</v>
      </c>
      <c r="AF446" s="6" t="n">
        <f aca="false">Z446</f>
        <v>352507.277601693</v>
      </c>
      <c r="AG446" s="6" t="n">
        <f aca="false">MAX(AF446,AA446)</f>
        <v>673294.399715472</v>
      </c>
      <c r="AH446" s="6" t="n">
        <f aca="false">MAX(AG446,AB446)</f>
        <v>693907.638451114</v>
      </c>
      <c r="AI446" s="6" t="n">
        <f aca="false">MAX(AH446,AC446)</f>
        <v>960961.2902147</v>
      </c>
      <c r="AJ446" s="6" t="n">
        <f aca="false">MAX(AI446,AD446)</f>
        <v>981383.633327749</v>
      </c>
      <c r="AK446" s="6" t="n">
        <f aca="false">MAX(AJ446,AE446)</f>
        <v>1084705.85252742</v>
      </c>
      <c r="AL446" s="8" t="n">
        <f aca="false">MIN(Z446/AF446-1,AA446/AG446-1,AB446/AH446-1,AC446/AI446-1,AD446/AJ446-1,AE446/AK446-1)</f>
        <v>0</v>
      </c>
      <c r="AM446" s="6" t="n">
        <f aca="false">AE446-Assumptions!$B$35</f>
        <v>643441.855864921</v>
      </c>
    </row>
    <row r="447" customFormat="false" ht="15" hidden="false" customHeight="false" outlineLevel="0" collapsed="false">
      <c r="A447" s="0" t="n">
        <f aca="false">ROW()-1</f>
        <v>446</v>
      </c>
      <c r="B447" s="0" t="str">
        <f aca="true">IF(RAND()&lt;Assumptions!$B$11,"Bull","Bear")</f>
        <v>Bull</v>
      </c>
      <c r="C447" s="0" t="str">
        <f aca="true">IF(B447="Bull",IF(RAND()&lt;Assumptions!$B$7,"Bull","Bear"),IF(RAND()&lt;Assumptions!$B$10,"Bear","Bull"))</f>
        <v>Bear</v>
      </c>
      <c r="D447" s="0" t="str">
        <f aca="true">IF(C447="Bull",IF(RAND()&lt;Assumptions!$B$7,"Bull","Bear"),IF(RAND()&lt;Assumptions!$B$10,"Bear","Bull"))</f>
        <v>Bull</v>
      </c>
      <c r="E447" s="0" t="str">
        <f aca="true">IF(D447="Bull",IF(RAND()&lt;Assumptions!$B$7,"Bull","Bear"),IF(RAND()&lt;Assumptions!$B$10,"Bear","Bull"))</f>
        <v>Bull</v>
      </c>
      <c r="F447" s="0" t="str">
        <f aca="true">IF(E447="Bull",IF(RAND()&lt;Assumptions!$B$7,"Bull","Bear"),IF(RAND()&lt;Assumptions!$B$10,"Bear","Bull"))</f>
        <v>Bear</v>
      </c>
      <c r="G447" s="0" t="str">
        <f aca="true">IF(F447="Bull",IF(RAND()&lt;Assumptions!$B$7,"Bull","Bear"),IF(RAND()&lt;Assumptions!$B$10,"Bear","Bull"))</f>
        <v>Bear</v>
      </c>
      <c r="H447" s="8" t="n">
        <f aca="true">IF(B447="Bull",NORMINV(RAND(),Assumptions!$B$5,Assumptions!$B$6),NORMINV(RAND(),Assumptions!$B$8,Assumptions!$B$9))</f>
        <v>0.0987671485056208</v>
      </c>
      <c r="I447" s="8" t="n">
        <f aca="true">IF(C447="Bull",NORMINV(RAND(),Assumptions!$B$5,Assumptions!$B$6),NORMINV(RAND(),Assumptions!$B$8,Assumptions!$B$9))</f>
        <v>-0.157392915098129</v>
      </c>
      <c r="J447" s="8" t="n">
        <f aca="true">IF(D447="Bull",NORMINV(RAND(),Assumptions!$B$5,Assumptions!$B$6),NORMINV(RAND(),Assumptions!$B$8,Assumptions!$B$9))</f>
        <v>0.10737015552232</v>
      </c>
      <c r="K447" s="8" t="n">
        <f aca="true">IF(E447="Bull",NORMINV(RAND(),Assumptions!$B$5,Assumptions!$B$6),NORMINV(RAND(),Assumptions!$B$8,Assumptions!$B$9))</f>
        <v>0.162842299392797</v>
      </c>
      <c r="L447" s="8" t="n">
        <f aca="true">IF(F447="Bull",NORMINV(RAND(),Assumptions!$B$5,Assumptions!$B$6),NORMINV(RAND(),Assumptions!$B$8,Assumptions!$B$9))</f>
        <v>0.253512784927627</v>
      </c>
      <c r="M447" s="8" t="n">
        <f aca="true">IF(G447="Bull",NORMINV(RAND(),Assumptions!$B$5,Assumptions!$B$6),NORMINV(RAND(),Assumptions!$B$8,Assumptions!$B$9))</f>
        <v>-0.242351018865376</v>
      </c>
      <c r="N447" s="8" t="n">
        <f aca="true">NORMINV(RAND(),Assumptions!$B$14,Assumptions!$B$15)</f>
        <v>0.0507836849426558</v>
      </c>
      <c r="O447" s="8" t="n">
        <f aca="true">NORMINV(RAND(),Assumptions!$B$14,Assumptions!$B$15)</f>
        <v>0.0396806561871462</v>
      </c>
      <c r="P447" s="8" t="n">
        <f aca="true">NORMINV(RAND(),Assumptions!$B$14,Assumptions!$B$15)</f>
        <v>0.0340045497024626</v>
      </c>
      <c r="Q447" s="8" t="n">
        <f aca="true">NORMINV(RAND(),Assumptions!$B$14,Assumptions!$B$15)</f>
        <v>0.0702286547774056</v>
      </c>
      <c r="R447" s="8" t="n">
        <f aca="true">NORMINV(RAND(),Assumptions!$B$14,Assumptions!$B$15)</f>
        <v>0.105916349063164</v>
      </c>
      <c r="S447" s="8" t="n">
        <f aca="true">NORMINV(RAND(),Assumptions!$B$14,Assumptions!$B$15)</f>
        <v>0.0617977256351187</v>
      </c>
      <c r="T447" s="8" t="n">
        <f aca="false">Assumptions!$B$19*H447+(1-Assumptions!$B$19)*N447</f>
        <v>0.0987671485056208</v>
      </c>
      <c r="U447" s="8" t="n">
        <f aca="false">Assumptions!$B$20*I447+(1-Assumptions!$B$20)*O447</f>
        <v>-0.157392915098129</v>
      </c>
      <c r="V447" s="8" t="n">
        <f aca="false">Assumptions!$B$21*J447+(1-Assumptions!$B$21)*P447</f>
        <v>0.10737015552232</v>
      </c>
      <c r="W447" s="8" t="n">
        <f aca="false">Assumptions!$B$22*K447+(1-Assumptions!$B$22)*Q447</f>
        <v>0.162842299392797</v>
      </c>
      <c r="X447" s="8" t="n">
        <f aca="false">Assumptions!$B$23*L447+(1-Assumptions!$B$23)*R447</f>
        <v>0.223993497754735</v>
      </c>
      <c r="Y447" s="8" t="n">
        <f aca="false">Assumptions!$B$24*M447+(1-Assumptions!$B$24)*S447</f>
        <v>-0.120691521065178</v>
      </c>
      <c r="Z447" s="6" t="n">
        <f aca="false">Assumptions!$B$27*(1+T447)</f>
        <v>329630.144551686</v>
      </c>
      <c r="AA447" s="6" t="n">
        <f aca="false">(Z447+Assumptions!$B$28)*(1+U447)</f>
        <v>404139.757931759</v>
      </c>
      <c r="AB447" s="6" t="n">
        <f aca="false">AA447*(1+V447)</f>
        <v>447532.306593645</v>
      </c>
      <c r="AC447" s="6" t="n">
        <f aca="false">AB447*(1+W447)</f>
        <v>520409.496451916</v>
      </c>
      <c r="AD447" s="6" t="n">
        <f aca="false">AC447*(1+X447)</f>
        <v>636977.839826961</v>
      </c>
      <c r="AE447" s="6" t="n">
        <f aca="false">AD447*(1+Y447)</f>
        <v>560100.015453434</v>
      </c>
      <c r="AF447" s="6" t="n">
        <f aca="false">Z447</f>
        <v>329630.144551686</v>
      </c>
      <c r="AG447" s="6" t="n">
        <f aca="false">MAX(AF447,AA447)</f>
        <v>404139.757931759</v>
      </c>
      <c r="AH447" s="6" t="n">
        <f aca="false">MAX(AG447,AB447)</f>
        <v>447532.306593645</v>
      </c>
      <c r="AI447" s="6" t="n">
        <f aca="false">MAX(AH447,AC447)</f>
        <v>520409.496451916</v>
      </c>
      <c r="AJ447" s="6" t="n">
        <f aca="false">MAX(AI447,AD447)</f>
        <v>636977.839826961</v>
      </c>
      <c r="AK447" s="6" t="n">
        <f aca="false">MAX(AJ447,AE447)</f>
        <v>636977.839826961</v>
      </c>
      <c r="AL447" s="8" t="n">
        <f aca="false">MIN(Z447/AF447-1,AA447/AG447-1,AB447/AH447-1,AC447/AI447-1,AD447/AJ447-1,AE447/AK447-1)</f>
        <v>-0.120691521065178</v>
      </c>
      <c r="AM447" s="6" t="n">
        <f aca="false">AE447-Assumptions!$B$35</f>
        <v>118836.01879093</v>
      </c>
    </row>
    <row r="448" customFormat="false" ht="15" hidden="false" customHeight="false" outlineLevel="0" collapsed="false">
      <c r="A448" s="0" t="n">
        <f aca="false">ROW()-1</f>
        <v>447</v>
      </c>
      <c r="B448" s="0" t="str">
        <f aca="true">IF(RAND()&lt;Assumptions!$B$11,"Bull","Bear")</f>
        <v>Bear</v>
      </c>
      <c r="C448" s="0" t="str">
        <f aca="true">IF(B448="Bull",IF(RAND()&lt;Assumptions!$B$7,"Bull","Bear"),IF(RAND()&lt;Assumptions!$B$10,"Bear","Bull"))</f>
        <v>Bear</v>
      </c>
      <c r="D448" s="0" t="str">
        <f aca="true">IF(C448="Bull",IF(RAND()&lt;Assumptions!$B$7,"Bull","Bear"),IF(RAND()&lt;Assumptions!$B$10,"Bear","Bull"))</f>
        <v>Bear</v>
      </c>
      <c r="E448" s="0" t="str">
        <f aca="true">IF(D448="Bull",IF(RAND()&lt;Assumptions!$B$7,"Bull","Bear"),IF(RAND()&lt;Assumptions!$B$10,"Bear","Bull"))</f>
        <v>Bear</v>
      </c>
      <c r="F448" s="0" t="str">
        <f aca="true">IF(E448="Bull",IF(RAND()&lt;Assumptions!$B$7,"Bull","Bear"),IF(RAND()&lt;Assumptions!$B$10,"Bear","Bull"))</f>
        <v>Bull</v>
      </c>
      <c r="G448" s="0" t="str">
        <f aca="true">IF(F448="Bull",IF(RAND()&lt;Assumptions!$B$7,"Bull","Bear"),IF(RAND()&lt;Assumptions!$B$10,"Bear","Bull"))</f>
        <v>Bull</v>
      </c>
      <c r="H448" s="8" t="n">
        <f aca="true">IF(B448="Bull",NORMINV(RAND(),Assumptions!$B$5,Assumptions!$B$6),NORMINV(RAND(),Assumptions!$B$8,Assumptions!$B$9))</f>
        <v>-0.0577134810786497</v>
      </c>
      <c r="I448" s="8" t="n">
        <f aca="true">IF(C448="Bull",NORMINV(RAND(),Assumptions!$B$5,Assumptions!$B$6),NORMINV(RAND(),Assumptions!$B$8,Assumptions!$B$9))</f>
        <v>-0.0575145103320962</v>
      </c>
      <c r="J448" s="8" t="n">
        <f aca="true">IF(D448="Bull",NORMINV(RAND(),Assumptions!$B$5,Assumptions!$B$6),NORMINV(RAND(),Assumptions!$B$8,Assumptions!$B$9))</f>
        <v>-0.167802870640693</v>
      </c>
      <c r="K448" s="8" t="n">
        <f aca="true">IF(E448="Bull",NORMINV(RAND(),Assumptions!$B$5,Assumptions!$B$6),NORMINV(RAND(),Assumptions!$B$8,Assumptions!$B$9))</f>
        <v>-0.070485222971475</v>
      </c>
      <c r="L448" s="8" t="n">
        <f aca="true">IF(F448="Bull",NORMINV(RAND(),Assumptions!$B$5,Assumptions!$B$6),NORMINV(RAND(),Assumptions!$B$8,Assumptions!$B$9))</f>
        <v>0.0711523622426267</v>
      </c>
      <c r="M448" s="8" t="n">
        <f aca="true">IF(G448="Bull",NORMINV(RAND(),Assumptions!$B$5,Assumptions!$B$6),NORMINV(RAND(),Assumptions!$B$8,Assumptions!$B$9))</f>
        <v>0.137301814227146</v>
      </c>
      <c r="N448" s="8" t="n">
        <f aca="true">NORMINV(RAND(),Assumptions!$B$14,Assumptions!$B$15)</f>
        <v>-0.034993911159572</v>
      </c>
      <c r="O448" s="8" t="n">
        <f aca="true">NORMINV(RAND(),Assumptions!$B$14,Assumptions!$B$15)</f>
        <v>0.0178433010646727</v>
      </c>
      <c r="P448" s="8" t="n">
        <f aca="true">NORMINV(RAND(),Assumptions!$B$14,Assumptions!$B$15)</f>
        <v>0.000564955540977324</v>
      </c>
      <c r="Q448" s="8" t="n">
        <f aca="true">NORMINV(RAND(),Assumptions!$B$14,Assumptions!$B$15)</f>
        <v>0.00709358659787547</v>
      </c>
      <c r="R448" s="8" t="n">
        <f aca="true">NORMINV(RAND(),Assumptions!$B$14,Assumptions!$B$15)</f>
        <v>0.0159279491477963</v>
      </c>
      <c r="S448" s="8" t="n">
        <f aca="true">NORMINV(RAND(),Assumptions!$B$14,Assumptions!$B$15)</f>
        <v>0.0118428693598114</v>
      </c>
      <c r="T448" s="8" t="n">
        <f aca="false">Assumptions!$B$19*H448+(1-Assumptions!$B$19)*N448</f>
        <v>-0.0577134810786497</v>
      </c>
      <c r="U448" s="8" t="n">
        <f aca="false">Assumptions!$B$20*I448+(1-Assumptions!$B$20)*O448</f>
        <v>-0.0575145103320962</v>
      </c>
      <c r="V448" s="8" t="n">
        <f aca="false">Assumptions!$B$21*J448+(1-Assumptions!$B$21)*P448</f>
        <v>-0.167802870640693</v>
      </c>
      <c r="W448" s="8" t="n">
        <f aca="false">Assumptions!$B$22*K448+(1-Assumptions!$B$22)*Q448</f>
        <v>-0.070485222971475</v>
      </c>
      <c r="X448" s="8" t="n">
        <f aca="false">Assumptions!$B$23*L448+(1-Assumptions!$B$23)*R448</f>
        <v>0.0601074796236606</v>
      </c>
      <c r="Y448" s="8" t="n">
        <f aca="false">Assumptions!$B$24*M448+(1-Assumptions!$B$24)*S448</f>
        <v>0.0871182362802123</v>
      </c>
      <c r="Z448" s="6" t="n">
        <f aca="false">Assumptions!$B$27*(1+T448)</f>
        <v>282685.955676405</v>
      </c>
      <c r="AA448" s="6" t="n">
        <f aca="false">(Z448+Assumptions!$B$28)*(1+U448)</f>
        <v>407800.234808102</v>
      </c>
      <c r="AB448" s="6" t="n">
        <f aca="false">AA448*(1+V448)</f>
        <v>339370.184759353</v>
      </c>
      <c r="AC448" s="6" t="n">
        <f aca="false">AB448*(1+W448)</f>
        <v>315449.60161672</v>
      </c>
      <c r="AD448" s="6" t="n">
        <f aca="false">AC448*(1+X448)</f>
        <v>334410.482118189</v>
      </c>
      <c r="AE448" s="6" t="n">
        <f aca="false">AD448*(1+Y448)</f>
        <v>363543.733513941</v>
      </c>
      <c r="AF448" s="6" t="n">
        <f aca="false">Z448</f>
        <v>282685.955676405</v>
      </c>
      <c r="AG448" s="6" t="n">
        <f aca="false">MAX(AF448,AA448)</f>
        <v>407800.234808102</v>
      </c>
      <c r="AH448" s="6" t="n">
        <f aca="false">MAX(AG448,AB448)</f>
        <v>407800.234808102</v>
      </c>
      <c r="AI448" s="6" t="n">
        <f aca="false">MAX(AH448,AC448)</f>
        <v>407800.234808102</v>
      </c>
      <c r="AJ448" s="6" t="n">
        <f aca="false">MAX(AI448,AD448)</f>
        <v>407800.234808102</v>
      </c>
      <c r="AK448" s="6" t="n">
        <f aca="false">MAX(AJ448,AE448)</f>
        <v>407800.234808102</v>
      </c>
      <c r="AL448" s="8" t="n">
        <f aca="false">MIN(Z448/AF448-1,AA448/AG448-1,AB448/AH448-1,AC448/AI448-1,AD448/AJ448-1,AE448/AK448-1)</f>
        <v>-0.226460470859805</v>
      </c>
      <c r="AM448" s="6" t="n">
        <f aca="false">AE448-Assumptions!$B$35</f>
        <v>-77720.2631485628</v>
      </c>
    </row>
    <row r="449" customFormat="false" ht="15" hidden="false" customHeight="false" outlineLevel="0" collapsed="false">
      <c r="A449" s="0" t="n">
        <f aca="false">ROW()-1</f>
        <v>448</v>
      </c>
      <c r="B449" s="0" t="str">
        <f aca="true">IF(RAND()&lt;Assumptions!$B$11,"Bull","Bear")</f>
        <v>Bull</v>
      </c>
      <c r="C449" s="0" t="str">
        <f aca="true">IF(B449="Bull",IF(RAND()&lt;Assumptions!$B$7,"Bull","Bear"),IF(RAND()&lt;Assumptions!$B$10,"Bear","Bull"))</f>
        <v>Bull</v>
      </c>
      <c r="D449" s="0" t="str">
        <f aca="true">IF(C449="Bull",IF(RAND()&lt;Assumptions!$B$7,"Bull","Bear"),IF(RAND()&lt;Assumptions!$B$10,"Bear","Bull"))</f>
        <v>Bull</v>
      </c>
      <c r="E449" s="0" t="str">
        <f aca="true">IF(D449="Bull",IF(RAND()&lt;Assumptions!$B$7,"Bull","Bear"),IF(RAND()&lt;Assumptions!$B$10,"Bear","Bull"))</f>
        <v>Bull</v>
      </c>
      <c r="F449" s="0" t="str">
        <f aca="true">IF(E449="Bull",IF(RAND()&lt;Assumptions!$B$7,"Bull","Bear"),IF(RAND()&lt;Assumptions!$B$10,"Bear","Bull"))</f>
        <v>Bear</v>
      </c>
      <c r="G449" s="0" t="str">
        <f aca="true">IF(F449="Bull",IF(RAND()&lt;Assumptions!$B$7,"Bull","Bear"),IF(RAND()&lt;Assumptions!$B$10,"Bear","Bull"))</f>
        <v>Bear</v>
      </c>
      <c r="H449" s="8" t="n">
        <f aca="true">IF(B449="Bull",NORMINV(RAND(),Assumptions!$B$5,Assumptions!$B$6),NORMINV(RAND(),Assumptions!$B$8,Assumptions!$B$9))</f>
        <v>0.178088382456885</v>
      </c>
      <c r="I449" s="8" t="n">
        <f aca="true">IF(C449="Bull",NORMINV(RAND(),Assumptions!$B$5,Assumptions!$B$6),NORMINV(RAND(),Assumptions!$B$8,Assumptions!$B$9))</f>
        <v>0.144802564840331</v>
      </c>
      <c r="J449" s="8" t="n">
        <f aca="true">IF(D449="Bull",NORMINV(RAND(),Assumptions!$B$5,Assumptions!$B$6),NORMINV(RAND(),Assumptions!$B$8,Assumptions!$B$9))</f>
        <v>0.0897969872023153</v>
      </c>
      <c r="K449" s="8" t="n">
        <f aca="true">IF(E449="Bull",NORMINV(RAND(),Assumptions!$B$5,Assumptions!$B$6),NORMINV(RAND(),Assumptions!$B$8,Assumptions!$B$9))</f>
        <v>0.205442207410494</v>
      </c>
      <c r="L449" s="8" t="n">
        <f aca="true">IF(F449="Bull",NORMINV(RAND(),Assumptions!$B$5,Assumptions!$B$6),NORMINV(RAND(),Assumptions!$B$8,Assumptions!$B$9))</f>
        <v>-0.0590570428554707</v>
      </c>
      <c r="M449" s="8" t="n">
        <f aca="true">IF(G449="Bull",NORMINV(RAND(),Assumptions!$B$5,Assumptions!$B$6),NORMINV(RAND(),Assumptions!$B$8,Assumptions!$B$9))</f>
        <v>-0.128953799493911</v>
      </c>
      <c r="N449" s="8" t="n">
        <f aca="true">NORMINV(RAND(),Assumptions!$B$14,Assumptions!$B$15)</f>
        <v>0.0866818165816701</v>
      </c>
      <c r="O449" s="8" t="n">
        <f aca="true">NORMINV(RAND(),Assumptions!$B$14,Assumptions!$B$15)</f>
        <v>0.0728633787080845</v>
      </c>
      <c r="P449" s="8" t="n">
        <f aca="true">NORMINV(RAND(),Assumptions!$B$14,Assumptions!$B$15)</f>
        <v>0.0533210755406156</v>
      </c>
      <c r="Q449" s="8" t="n">
        <f aca="true">NORMINV(RAND(),Assumptions!$B$14,Assumptions!$B$15)</f>
        <v>0.0165021708669478</v>
      </c>
      <c r="R449" s="8" t="n">
        <f aca="true">NORMINV(RAND(),Assumptions!$B$14,Assumptions!$B$15)</f>
        <v>0.024003653090469</v>
      </c>
      <c r="S449" s="8" t="n">
        <f aca="true">NORMINV(RAND(),Assumptions!$B$14,Assumptions!$B$15)</f>
        <v>0.0184211028802469</v>
      </c>
      <c r="T449" s="8" t="n">
        <f aca="false">Assumptions!$B$19*H449+(1-Assumptions!$B$19)*N449</f>
        <v>0.178088382456885</v>
      </c>
      <c r="U449" s="8" t="n">
        <f aca="false">Assumptions!$B$20*I449+(1-Assumptions!$B$20)*O449</f>
        <v>0.144802564840331</v>
      </c>
      <c r="V449" s="8" t="n">
        <f aca="false">Assumptions!$B$21*J449+(1-Assumptions!$B$21)*P449</f>
        <v>0.0897969872023153</v>
      </c>
      <c r="W449" s="8" t="n">
        <f aca="false">Assumptions!$B$22*K449+(1-Assumptions!$B$22)*Q449</f>
        <v>0.205442207410494</v>
      </c>
      <c r="X449" s="8" t="n">
        <f aca="false">Assumptions!$B$23*L449+(1-Assumptions!$B$23)*R449</f>
        <v>-0.0424449036662828</v>
      </c>
      <c r="Y449" s="8" t="n">
        <f aca="false">Assumptions!$B$24*M449+(1-Assumptions!$B$24)*S449</f>
        <v>-0.0700038385442477</v>
      </c>
      <c r="Z449" s="6" t="n">
        <f aca="false">Assumptions!$B$27*(1+T449)</f>
        <v>353426.514737065</v>
      </c>
      <c r="AA449" s="6" t="n">
        <f aca="false">(Z449+Assumptions!$B$28)*(1+U449)</f>
        <v>576323.965279621</v>
      </c>
      <c r="AB449" s="6" t="n">
        <f aca="false">AA449*(1+V449)</f>
        <v>628076.121014223</v>
      </c>
      <c r="AC449" s="6" t="n">
        <f aca="false">AB449*(1+W449)</f>
        <v>757109.465737205</v>
      </c>
      <c r="AD449" s="6" t="n">
        <f aca="false">AC449*(1+X449)</f>
        <v>724974.027399159</v>
      </c>
      <c r="AE449" s="6" t="n">
        <f aca="false">AD449*(1+Y449)</f>
        <v>674223.062636335</v>
      </c>
      <c r="AF449" s="6" t="n">
        <f aca="false">Z449</f>
        <v>353426.514737065</v>
      </c>
      <c r="AG449" s="6" t="n">
        <f aca="false">MAX(AF449,AA449)</f>
        <v>576323.965279621</v>
      </c>
      <c r="AH449" s="6" t="n">
        <f aca="false">MAX(AG449,AB449)</f>
        <v>628076.121014223</v>
      </c>
      <c r="AI449" s="6" t="n">
        <f aca="false">MAX(AH449,AC449)</f>
        <v>757109.465737205</v>
      </c>
      <c r="AJ449" s="6" t="n">
        <f aca="false">MAX(AI449,AD449)</f>
        <v>757109.465737205</v>
      </c>
      <c r="AK449" s="6" t="n">
        <f aca="false">MAX(AJ449,AE449)</f>
        <v>757109.465737205</v>
      </c>
      <c r="AL449" s="8" t="n">
        <f aca="false">MIN(Z449/AF449-1,AA449/AG449-1,AB449/AH449-1,AC449/AI449-1,AD449/AJ449-1,AE449/AK449-1)</f>
        <v>-0.10947743602725</v>
      </c>
      <c r="AM449" s="6" t="n">
        <f aca="false">AE449-Assumptions!$B$35</f>
        <v>232959.065973831</v>
      </c>
    </row>
    <row r="450" customFormat="false" ht="15" hidden="false" customHeight="false" outlineLevel="0" collapsed="false">
      <c r="A450" s="0" t="n">
        <f aca="false">ROW()-1</f>
        <v>449</v>
      </c>
      <c r="B450" s="0" t="str">
        <f aca="true">IF(RAND()&lt;Assumptions!$B$11,"Bull","Bear")</f>
        <v>Bull</v>
      </c>
      <c r="C450" s="0" t="str">
        <f aca="true">IF(B450="Bull",IF(RAND()&lt;Assumptions!$B$7,"Bull","Bear"),IF(RAND()&lt;Assumptions!$B$10,"Bear","Bull"))</f>
        <v>Bull</v>
      </c>
      <c r="D450" s="0" t="str">
        <f aca="true">IF(C450="Bull",IF(RAND()&lt;Assumptions!$B$7,"Bull","Bear"),IF(RAND()&lt;Assumptions!$B$10,"Bear","Bull"))</f>
        <v>Bear</v>
      </c>
      <c r="E450" s="0" t="str">
        <f aca="true">IF(D450="Bull",IF(RAND()&lt;Assumptions!$B$7,"Bull","Bear"),IF(RAND()&lt;Assumptions!$B$10,"Bear","Bull"))</f>
        <v>Bull</v>
      </c>
      <c r="F450" s="0" t="str">
        <f aca="true">IF(E450="Bull",IF(RAND()&lt;Assumptions!$B$7,"Bull","Bear"),IF(RAND()&lt;Assumptions!$B$10,"Bear","Bull"))</f>
        <v>Bull</v>
      </c>
      <c r="G450" s="0" t="str">
        <f aca="true">IF(F450="Bull",IF(RAND()&lt;Assumptions!$B$7,"Bull","Bear"),IF(RAND()&lt;Assumptions!$B$10,"Bear","Bull"))</f>
        <v>Bull</v>
      </c>
      <c r="H450" s="8" t="n">
        <f aca="true">IF(B450="Bull",NORMINV(RAND(),Assumptions!$B$5,Assumptions!$B$6),NORMINV(RAND(),Assumptions!$B$8,Assumptions!$B$9))</f>
        <v>0.397358750717466</v>
      </c>
      <c r="I450" s="8" t="n">
        <f aca="true">IF(C450="Bull",NORMINV(RAND(),Assumptions!$B$5,Assumptions!$B$6),NORMINV(RAND(),Assumptions!$B$8,Assumptions!$B$9))</f>
        <v>0.0412495825430068</v>
      </c>
      <c r="J450" s="8" t="n">
        <f aca="true">IF(D450="Bull",NORMINV(RAND(),Assumptions!$B$5,Assumptions!$B$6),NORMINV(RAND(),Assumptions!$B$8,Assumptions!$B$9))</f>
        <v>0.00347941047473949</v>
      </c>
      <c r="K450" s="8" t="n">
        <f aca="true">IF(E450="Bull",NORMINV(RAND(),Assumptions!$B$5,Assumptions!$B$6),NORMINV(RAND(),Assumptions!$B$8,Assumptions!$B$9))</f>
        <v>0.0813549218075261</v>
      </c>
      <c r="L450" s="8" t="n">
        <f aca="true">IF(F450="Bull",NORMINV(RAND(),Assumptions!$B$5,Assumptions!$B$6),NORMINV(RAND(),Assumptions!$B$8,Assumptions!$B$9))</f>
        <v>0.266557370181772</v>
      </c>
      <c r="M450" s="8" t="n">
        <f aca="true">IF(G450="Bull",NORMINV(RAND(),Assumptions!$B$5,Assumptions!$B$6),NORMINV(RAND(),Assumptions!$B$8,Assumptions!$B$9))</f>
        <v>0.172141103147214</v>
      </c>
      <c r="N450" s="8" t="n">
        <f aca="true">NORMINV(RAND(),Assumptions!$B$14,Assumptions!$B$15)</f>
        <v>0.0533177529420245</v>
      </c>
      <c r="O450" s="8" t="n">
        <f aca="true">NORMINV(RAND(),Assumptions!$B$14,Assumptions!$B$15)</f>
        <v>0.0883172835710757</v>
      </c>
      <c r="P450" s="8" t="n">
        <f aca="true">NORMINV(RAND(),Assumptions!$B$14,Assumptions!$B$15)</f>
        <v>0.0268795598670814</v>
      </c>
      <c r="Q450" s="8" t="n">
        <f aca="true">NORMINV(RAND(),Assumptions!$B$14,Assumptions!$B$15)</f>
        <v>0.0485248131642853</v>
      </c>
      <c r="R450" s="8" t="n">
        <f aca="true">NORMINV(RAND(),Assumptions!$B$14,Assumptions!$B$15)</f>
        <v>0.0556249452102577</v>
      </c>
      <c r="S450" s="8" t="n">
        <f aca="true">NORMINV(RAND(),Assumptions!$B$14,Assumptions!$B$15)</f>
        <v>0.012391814383049</v>
      </c>
      <c r="T450" s="8" t="n">
        <f aca="false">Assumptions!$B$19*H450+(1-Assumptions!$B$19)*N450</f>
        <v>0.397358750717466</v>
      </c>
      <c r="U450" s="8" t="n">
        <f aca="false">Assumptions!$B$20*I450+(1-Assumptions!$B$20)*O450</f>
        <v>0.0412495825430068</v>
      </c>
      <c r="V450" s="8" t="n">
        <f aca="false">Assumptions!$B$21*J450+(1-Assumptions!$B$21)*P450</f>
        <v>0.00347941047473949</v>
      </c>
      <c r="W450" s="8" t="n">
        <f aca="false">Assumptions!$B$22*K450+(1-Assumptions!$B$22)*Q450</f>
        <v>0.0813549218075261</v>
      </c>
      <c r="X450" s="8" t="n">
        <f aca="false">Assumptions!$B$23*L450+(1-Assumptions!$B$23)*R450</f>
        <v>0.224370885187469</v>
      </c>
      <c r="Y450" s="8" t="n">
        <f aca="false">Assumptions!$B$24*M450+(1-Assumptions!$B$24)*S450</f>
        <v>0.108241387641548</v>
      </c>
      <c r="Z450" s="6" t="n">
        <f aca="false">Assumptions!$B$27*(1+T450)</f>
        <v>419207.62521524</v>
      </c>
      <c r="AA450" s="6" t="n">
        <f aca="false">(Z450+Assumptions!$B$28)*(1+U450)</f>
        <v>592687.202135665</v>
      </c>
      <c r="AB450" s="6" t="n">
        <f aca="false">AA450*(1+V450)</f>
        <v>594749.40419502</v>
      </c>
      <c r="AC450" s="6" t="n">
        <f aca="false">AB450*(1+W450)</f>
        <v>643135.195468378</v>
      </c>
      <c r="AD450" s="6" t="n">
        <f aca="false">AC450*(1+X450)</f>
        <v>787436.008570834</v>
      </c>
      <c r="AE450" s="6" t="n">
        <f aca="false">AD450*(1+Y450)</f>
        <v>872669.174817463</v>
      </c>
      <c r="AF450" s="6" t="n">
        <f aca="false">Z450</f>
        <v>419207.62521524</v>
      </c>
      <c r="AG450" s="6" t="n">
        <f aca="false">MAX(AF450,AA450)</f>
        <v>592687.202135665</v>
      </c>
      <c r="AH450" s="6" t="n">
        <f aca="false">MAX(AG450,AB450)</f>
        <v>594749.40419502</v>
      </c>
      <c r="AI450" s="6" t="n">
        <f aca="false">MAX(AH450,AC450)</f>
        <v>643135.195468378</v>
      </c>
      <c r="AJ450" s="6" t="n">
        <f aca="false">MAX(AI450,AD450)</f>
        <v>787436.008570834</v>
      </c>
      <c r="AK450" s="6" t="n">
        <f aca="false">MAX(AJ450,AE450)</f>
        <v>872669.174817463</v>
      </c>
      <c r="AL450" s="8" t="n">
        <f aca="false">MIN(Z450/AF450-1,AA450/AG450-1,AB450/AH450-1,AC450/AI450-1,AD450/AJ450-1,AE450/AK450-1)</f>
        <v>0</v>
      </c>
      <c r="AM450" s="6" t="n">
        <f aca="false">AE450-Assumptions!$B$35</f>
        <v>431405.17815496</v>
      </c>
    </row>
    <row r="451" customFormat="false" ht="15" hidden="false" customHeight="false" outlineLevel="0" collapsed="false">
      <c r="A451" s="0" t="n">
        <f aca="false">ROW()-1</f>
        <v>450</v>
      </c>
      <c r="B451" s="0" t="str">
        <f aca="true">IF(RAND()&lt;Assumptions!$B$11,"Bull","Bear")</f>
        <v>Bull</v>
      </c>
      <c r="C451" s="0" t="str">
        <f aca="true">IF(B451="Bull",IF(RAND()&lt;Assumptions!$B$7,"Bull","Bear"),IF(RAND()&lt;Assumptions!$B$10,"Bear","Bull"))</f>
        <v>Bull</v>
      </c>
      <c r="D451" s="0" t="str">
        <f aca="true">IF(C451="Bull",IF(RAND()&lt;Assumptions!$B$7,"Bull","Bear"),IF(RAND()&lt;Assumptions!$B$10,"Bear","Bull"))</f>
        <v>Bull</v>
      </c>
      <c r="E451" s="0" t="str">
        <f aca="true">IF(D451="Bull",IF(RAND()&lt;Assumptions!$B$7,"Bull","Bear"),IF(RAND()&lt;Assumptions!$B$10,"Bear","Bull"))</f>
        <v>Bull</v>
      </c>
      <c r="F451" s="0" t="str">
        <f aca="true">IF(E451="Bull",IF(RAND()&lt;Assumptions!$B$7,"Bull","Bear"),IF(RAND()&lt;Assumptions!$B$10,"Bear","Bull"))</f>
        <v>Bull</v>
      </c>
      <c r="G451" s="0" t="str">
        <f aca="true">IF(F451="Bull",IF(RAND()&lt;Assumptions!$B$7,"Bull","Bear"),IF(RAND()&lt;Assumptions!$B$10,"Bear","Bull"))</f>
        <v>Bear</v>
      </c>
      <c r="H451" s="8" t="n">
        <f aca="true">IF(B451="Bull",NORMINV(RAND(),Assumptions!$B$5,Assumptions!$B$6),NORMINV(RAND(),Assumptions!$B$8,Assumptions!$B$9))</f>
        <v>0.34854835912555</v>
      </c>
      <c r="I451" s="8" t="n">
        <f aca="true">IF(C451="Bull",NORMINV(RAND(),Assumptions!$B$5,Assumptions!$B$6),NORMINV(RAND(),Assumptions!$B$8,Assumptions!$B$9))</f>
        <v>0.0624744430484826</v>
      </c>
      <c r="J451" s="8" t="n">
        <f aca="true">IF(D451="Bull",NORMINV(RAND(),Assumptions!$B$5,Assumptions!$B$6),NORMINV(RAND(),Assumptions!$B$8,Assumptions!$B$9))</f>
        <v>0.057081275955002</v>
      </c>
      <c r="K451" s="8" t="n">
        <f aca="true">IF(E451="Bull",NORMINV(RAND(),Assumptions!$B$5,Assumptions!$B$6),NORMINV(RAND(),Assumptions!$B$8,Assumptions!$B$9))</f>
        <v>0.0625337227733159</v>
      </c>
      <c r="L451" s="8" t="n">
        <f aca="true">IF(F451="Bull",NORMINV(RAND(),Assumptions!$B$5,Assumptions!$B$6),NORMINV(RAND(),Assumptions!$B$8,Assumptions!$B$9))</f>
        <v>0.122426246877178</v>
      </c>
      <c r="M451" s="8" t="n">
        <f aca="true">IF(G451="Bull",NORMINV(RAND(),Assumptions!$B$5,Assumptions!$B$6),NORMINV(RAND(),Assumptions!$B$8,Assumptions!$B$9))</f>
        <v>0.216985828183839</v>
      </c>
      <c r="N451" s="8" t="n">
        <f aca="true">NORMINV(RAND(),Assumptions!$B$14,Assumptions!$B$15)</f>
        <v>0.0363376051629586</v>
      </c>
      <c r="O451" s="8" t="n">
        <f aca="true">NORMINV(RAND(),Assumptions!$B$14,Assumptions!$B$15)</f>
        <v>0.00121108449478555</v>
      </c>
      <c r="P451" s="8" t="n">
        <f aca="true">NORMINV(RAND(),Assumptions!$B$14,Assumptions!$B$15)</f>
        <v>0.0710487421414593</v>
      </c>
      <c r="Q451" s="8" t="n">
        <f aca="true">NORMINV(RAND(),Assumptions!$B$14,Assumptions!$B$15)</f>
        <v>0.0553464211876862</v>
      </c>
      <c r="R451" s="8" t="n">
        <f aca="true">NORMINV(RAND(),Assumptions!$B$14,Assumptions!$B$15)</f>
        <v>0.0363333145033556</v>
      </c>
      <c r="S451" s="8" t="n">
        <f aca="true">NORMINV(RAND(),Assumptions!$B$14,Assumptions!$B$15)</f>
        <v>0.00924693548220881</v>
      </c>
      <c r="T451" s="8" t="n">
        <f aca="false">Assumptions!$B$19*H451+(1-Assumptions!$B$19)*N451</f>
        <v>0.34854835912555</v>
      </c>
      <c r="U451" s="8" t="n">
        <f aca="false">Assumptions!$B$20*I451+(1-Assumptions!$B$20)*O451</f>
        <v>0.0624744430484826</v>
      </c>
      <c r="V451" s="8" t="n">
        <f aca="false">Assumptions!$B$21*J451+(1-Assumptions!$B$21)*P451</f>
        <v>0.057081275955002</v>
      </c>
      <c r="W451" s="8" t="n">
        <f aca="false">Assumptions!$B$22*K451+(1-Assumptions!$B$22)*Q451</f>
        <v>0.0625337227733159</v>
      </c>
      <c r="X451" s="8" t="n">
        <f aca="false">Assumptions!$B$23*L451+(1-Assumptions!$B$23)*R451</f>
        <v>0.105207660402414</v>
      </c>
      <c r="Y451" s="8" t="n">
        <f aca="false">Assumptions!$B$24*M451+(1-Assumptions!$B$24)*S451</f>
        <v>0.133890271103187</v>
      </c>
      <c r="Z451" s="6" t="n">
        <f aca="false">Assumptions!$B$27*(1+T451)</f>
        <v>404564.507737665</v>
      </c>
      <c r="AA451" s="6" t="n">
        <f aca="false">(Z451+Assumptions!$B$28)*(1+U451)</f>
        <v>589210.616493032</v>
      </c>
      <c r="AB451" s="6" t="n">
        <f aca="false">AA451*(1+V451)</f>
        <v>622843.510288687</v>
      </c>
      <c r="AC451" s="6" t="n">
        <f aca="false">AB451*(1+W451)</f>
        <v>661792.233692239</v>
      </c>
      <c r="AD451" s="6" t="n">
        <f aca="false">AC451*(1+X451)</f>
        <v>731417.846271487</v>
      </c>
      <c r="AE451" s="6" t="n">
        <f aca="false">AD451*(1+Y451)</f>
        <v>829347.579998485</v>
      </c>
      <c r="AF451" s="6" t="n">
        <f aca="false">Z451</f>
        <v>404564.507737665</v>
      </c>
      <c r="AG451" s="6" t="n">
        <f aca="false">MAX(AF451,AA451)</f>
        <v>589210.616493032</v>
      </c>
      <c r="AH451" s="6" t="n">
        <f aca="false">MAX(AG451,AB451)</f>
        <v>622843.510288687</v>
      </c>
      <c r="AI451" s="6" t="n">
        <f aca="false">MAX(AH451,AC451)</f>
        <v>661792.233692239</v>
      </c>
      <c r="AJ451" s="6" t="n">
        <f aca="false">MAX(AI451,AD451)</f>
        <v>731417.846271487</v>
      </c>
      <c r="AK451" s="6" t="n">
        <f aca="false">MAX(AJ451,AE451)</f>
        <v>829347.579998485</v>
      </c>
      <c r="AL451" s="8" t="n">
        <f aca="false">MIN(Z451/AF451-1,AA451/AG451-1,AB451/AH451-1,AC451/AI451-1,AD451/AJ451-1,AE451/AK451-1)</f>
        <v>0</v>
      </c>
      <c r="AM451" s="6" t="n">
        <f aca="false">AE451-Assumptions!$B$35</f>
        <v>388083.583335982</v>
      </c>
    </row>
    <row r="452" customFormat="false" ht="15" hidden="false" customHeight="false" outlineLevel="0" collapsed="false">
      <c r="A452" s="0" t="n">
        <f aca="false">ROW()-1</f>
        <v>451</v>
      </c>
      <c r="B452" s="0" t="str">
        <f aca="true">IF(RAND()&lt;Assumptions!$B$11,"Bull","Bear")</f>
        <v>Bull</v>
      </c>
      <c r="C452" s="0" t="str">
        <f aca="true">IF(B452="Bull",IF(RAND()&lt;Assumptions!$B$7,"Bull","Bear"),IF(RAND()&lt;Assumptions!$B$10,"Bear","Bull"))</f>
        <v>Bull</v>
      </c>
      <c r="D452" s="0" t="str">
        <f aca="true">IF(C452="Bull",IF(RAND()&lt;Assumptions!$B$7,"Bull","Bear"),IF(RAND()&lt;Assumptions!$B$10,"Bear","Bull"))</f>
        <v>Bull</v>
      </c>
      <c r="E452" s="0" t="str">
        <f aca="true">IF(D452="Bull",IF(RAND()&lt;Assumptions!$B$7,"Bull","Bear"),IF(RAND()&lt;Assumptions!$B$10,"Bear","Bull"))</f>
        <v>Bull</v>
      </c>
      <c r="F452" s="0" t="str">
        <f aca="true">IF(E452="Bull",IF(RAND()&lt;Assumptions!$B$7,"Bull","Bear"),IF(RAND()&lt;Assumptions!$B$10,"Bear","Bull"))</f>
        <v>Bull</v>
      </c>
      <c r="G452" s="0" t="str">
        <f aca="true">IF(F452="Bull",IF(RAND()&lt;Assumptions!$B$7,"Bull","Bear"),IF(RAND()&lt;Assumptions!$B$10,"Bear","Bull"))</f>
        <v>Bull</v>
      </c>
      <c r="H452" s="8" t="n">
        <f aca="true">IF(B452="Bull",NORMINV(RAND(),Assumptions!$B$5,Assumptions!$B$6),NORMINV(RAND(),Assumptions!$B$8,Assumptions!$B$9))</f>
        <v>0.151939809408262</v>
      </c>
      <c r="I452" s="8" t="n">
        <f aca="true">IF(C452="Bull",NORMINV(RAND(),Assumptions!$B$5,Assumptions!$B$6),NORMINV(RAND(),Assumptions!$B$8,Assumptions!$B$9))</f>
        <v>0.0904419815977957</v>
      </c>
      <c r="J452" s="8" t="n">
        <f aca="true">IF(D452="Bull",NORMINV(RAND(),Assumptions!$B$5,Assumptions!$B$6),NORMINV(RAND(),Assumptions!$B$8,Assumptions!$B$9))</f>
        <v>0.2404335553802</v>
      </c>
      <c r="K452" s="8" t="n">
        <f aca="true">IF(E452="Bull",NORMINV(RAND(),Assumptions!$B$5,Assumptions!$B$6),NORMINV(RAND(),Assumptions!$B$8,Assumptions!$B$9))</f>
        <v>0.226123760578451</v>
      </c>
      <c r="L452" s="8" t="n">
        <f aca="true">IF(F452="Bull",NORMINV(RAND(),Assumptions!$B$5,Assumptions!$B$6),NORMINV(RAND(),Assumptions!$B$8,Assumptions!$B$9))</f>
        <v>0.0144590029940784</v>
      </c>
      <c r="M452" s="8" t="n">
        <f aca="true">IF(G452="Bull",NORMINV(RAND(),Assumptions!$B$5,Assumptions!$B$6),NORMINV(RAND(),Assumptions!$B$8,Assumptions!$B$9))</f>
        <v>-0.0288509328644747</v>
      </c>
      <c r="N452" s="8" t="n">
        <f aca="true">NORMINV(RAND(),Assumptions!$B$14,Assumptions!$B$15)</f>
        <v>0.0932739485727087</v>
      </c>
      <c r="O452" s="8" t="n">
        <f aca="true">NORMINV(RAND(),Assumptions!$B$14,Assumptions!$B$15)</f>
        <v>0.0601649663030075</v>
      </c>
      <c r="P452" s="8" t="n">
        <f aca="true">NORMINV(RAND(),Assumptions!$B$14,Assumptions!$B$15)</f>
        <v>0.086668825816673</v>
      </c>
      <c r="Q452" s="8" t="n">
        <f aca="true">NORMINV(RAND(),Assumptions!$B$14,Assumptions!$B$15)</f>
        <v>0.0833666263342179</v>
      </c>
      <c r="R452" s="8" t="n">
        <f aca="true">NORMINV(RAND(),Assumptions!$B$14,Assumptions!$B$15)</f>
        <v>0.063735413857796</v>
      </c>
      <c r="S452" s="8" t="n">
        <f aca="true">NORMINV(RAND(),Assumptions!$B$14,Assumptions!$B$15)</f>
        <v>0.0996032404638264</v>
      </c>
      <c r="T452" s="8" t="n">
        <f aca="false">Assumptions!$B$19*H452+(1-Assumptions!$B$19)*N452</f>
        <v>0.151939809408262</v>
      </c>
      <c r="U452" s="8" t="n">
        <f aca="false">Assumptions!$B$20*I452+(1-Assumptions!$B$20)*O452</f>
        <v>0.0904419815977957</v>
      </c>
      <c r="V452" s="8" t="n">
        <f aca="false">Assumptions!$B$21*J452+(1-Assumptions!$B$21)*P452</f>
        <v>0.2404335553802</v>
      </c>
      <c r="W452" s="8" t="n">
        <f aca="false">Assumptions!$B$22*K452+(1-Assumptions!$B$22)*Q452</f>
        <v>0.226123760578451</v>
      </c>
      <c r="X452" s="8" t="n">
        <f aca="false">Assumptions!$B$23*L452+(1-Assumptions!$B$23)*R452</f>
        <v>0.0243142851668219</v>
      </c>
      <c r="Y452" s="8" t="n">
        <f aca="false">Assumptions!$B$24*M452+(1-Assumptions!$B$24)*S452</f>
        <v>0.0225307364668458</v>
      </c>
      <c r="Z452" s="6" t="n">
        <f aca="false">Assumptions!$B$27*(1+T452)</f>
        <v>345581.942822479</v>
      </c>
      <c r="AA452" s="6" t="n">
        <f aca="false">(Z452+Assumptions!$B$28)*(1+U452)</f>
        <v>540403.355775429</v>
      </c>
      <c r="AB452" s="6" t="n">
        <f aca="false">AA452*(1+V452)</f>
        <v>670334.455943907</v>
      </c>
      <c r="AC452" s="6" t="n">
        <f aca="false">AB452*(1+W452)</f>
        <v>821913.003967253</v>
      </c>
      <c r="AD452" s="6" t="n">
        <f aca="false">AC452*(1+X452)</f>
        <v>841897.231128032</v>
      </c>
      <c r="AE452" s="6" t="n">
        <f aca="false">AD452*(1+Y452)</f>
        <v>860865.795774745</v>
      </c>
      <c r="AF452" s="6" t="n">
        <f aca="false">Z452</f>
        <v>345581.942822479</v>
      </c>
      <c r="AG452" s="6" t="n">
        <f aca="false">MAX(AF452,AA452)</f>
        <v>540403.355775429</v>
      </c>
      <c r="AH452" s="6" t="n">
        <f aca="false">MAX(AG452,AB452)</f>
        <v>670334.455943907</v>
      </c>
      <c r="AI452" s="6" t="n">
        <f aca="false">MAX(AH452,AC452)</f>
        <v>821913.003967253</v>
      </c>
      <c r="AJ452" s="6" t="n">
        <f aca="false">MAX(AI452,AD452)</f>
        <v>841897.231128032</v>
      </c>
      <c r="AK452" s="6" t="n">
        <f aca="false">MAX(AJ452,AE452)</f>
        <v>860865.795774745</v>
      </c>
      <c r="AL452" s="8" t="n">
        <f aca="false">MIN(Z452/AF452-1,AA452/AG452-1,AB452/AH452-1,AC452/AI452-1,AD452/AJ452-1,AE452/AK452-1)</f>
        <v>0</v>
      </c>
      <c r="AM452" s="6" t="n">
        <f aca="false">AE452-Assumptions!$B$35</f>
        <v>419601.799112241</v>
      </c>
    </row>
    <row r="453" customFormat="false" ht="15" hidden="false" customHeight="false" outlineLevel="0" collapsed="false">
      <c r="A453" s="0" t="n">
        <f aca="false">ROW()-1</f>
        <v>452</v>
      </c>
      <c r="B453" s="0" t="str">
        <f aca="true">IF(RAND()&lt;Assumptions!$B$11,"Bull","Bear")</f>
        <v>Bull</v>
      </c>
      <c r="C453" s="0" t="str">
        <f aca="true">IF(B453="Bull",IF(RAND()&lt;Assumptions!$B$7,"Bull","Bear"),IF(RAND()&lt;Assumptions!$B$10,"Bear","Bull"))</f>
        <v>Bull</v>
      </c>
      <c r="D453" s="0" t="str">
        <f aca="true">IF(C453="Bull",IF(RAND()&lt;Assumptions!$B$7,"Bull","Bear"),IF(RAND()&lt;Assumptions!$B$10,"Bear","Bull"))</f>
        <v>Bull</v>
      </c>
      <c r="E453" s="0" t="str">
        <f aca="true">IF(D453="Bull",IF(RAND()&lt;Assumptions!$B$7,"Bull","Bear"),IF(RAND()&lt;Assumptions!$B$10,"Bear","Bull"))</f>
        <v>Bear</v>
      </c>
      <c r="F453" s="0" t="str">
        <f aca="true">IF(E453="Bull",IF(RAND()&lt;Assumptions!$B$7,"Bull","Bear"),IF(RAND()&lt;Assumptions!$B$10,"Bear","Bull"))</f>
        <v>Bear</v>
      </c>
      <c r="G453" s="0" t="str">
        <f aca="true">IF(F453="Bull",IF(RAND()&lt;Assumptions!$B$7,"Bull","Bear"),IF(RAND()&lt;Assumptions!$B$10,"Bear","Bull"))</f>
        <v>Bull</v>
      </c>
      <c r="H453" s="8" t="n">
        <f aca="true">IF(B453="Bull",NORMINV(RAND(),Assumptions!$B$5,Assumptions!$B$6),NORMINV(RAND(),Assumptions!$B$8,Assumptions!$B$9))</f>
        <v>0.315301769404299</v>
      </c>
      <c r="I453" s="8" t="n">
        <f aca="true">IF(C453="Bull",NORMINV(RAND(),Assumptions!$B$5,Assumptions!$B$6),NORMINV(RAND(),Assumptions!$B$8,Assumptions!$B$9))</f>
        <v>0.0134337691004656</v>
      </c>
      <c r="J453" s="8" t="n">
        <f aca="true">IF(D453="Bull",NORMINV(RAND(),Assumptions!$B$5,Assumptions!$B$6),NORMINV(RAND(),Assumptions!$B$8,Assumptions!$B$9))</f>
        <v>0.251770514980967</v>
      </c>
      <c r="K453" s="8" t="n">
        <f aca="true">IF(E453="Bull",NORMINV(RAND(),Assumptions!$B$5,Assumptions!$B$6),NORMINV(RAND(),Assumptions!$B$8,Assumptions!$B$9))</f>
        <v>0.0280331510543313</v>
      </c>
      <c r="L453" s="8" t="n">
        <f aca="true">IF(F453="Bull",NORMINV(RAND(),Assumptions!$B$5,Assumptions!$B$6),NORMINV(RAND(),Assumptions!$B$8,Assumptions!$B$9))</f>
        <v>-0.0259937941388752</v>
      </c>
      <c r="M453" s="8" t="n">
        <f aca="true">IF(G453="Bull",NORMINV(RAND(),Assumptions!$B$5,Assumptions!$B$6),NORMINV(RAND(),Assumptions!$B$8,Assumptions!$B$9))</f>
        <v>0.119910585369736</v>
      </c>
      <c r="N453" s="8" t="n">
        <f aca="true">NORMINV(RAND(),Assumptions!$B$14,Assumptions!$B$15)</f>
        <v>0.110743481899685</v>
      </c>
      <c r="O453" s="8" t="n">
        <f aca="true">NORMINV(RAND(),Assumptions!$B$14,Assumptions!$B$15)</f>
        <v>0.0707494919919559</v>
      </c>
      <c r="P453" s="8" t="n">
        <f aca="true">NORMINV(RAND(),Assumptions!$B$14,Assumptions!$B$15)</f>
        <v>0.065781711558223</v>
      </c>
      <c r="Q453" s="8" t="n">
        <f aca="true">NORMINV(RAND(),Assumptions!$B$14,Assumptions!$B$15)</f>
        <v>0.0397814953689734</v>
      </c>
      <c r="R453" s="8" t="n">
        <f aca="true">NORMINV(RAND(),Assumptions!$B$14,Assumptions!$B$15)</f>
        <v>0.0759894443414637</v>
      </c>
      <c r="S453" s="8" t="n">
        <f aca="true">NORMINV(RAND(),Assumptions!$B$14,Assumptions!$B$15)</f>
        <v>0.0346329442877144</v>
      </c>
      <c r="T453" s="8" t="n">
        <f aca="false">Assumptions!$B$19*H453+(1-Assumptions!$B$19)*N453</f>
        <v>0.315301769404299</v>
      </c>
      <c r="U453" s="8" t="n">
        <f aca="false">Assumptions!$B$20*I453+(1-Assumptions!$B$20)*O453</f>
        <v>0.0134337691004656</v>
      </c>
      <c r="V453" s="8" t="n">
        <f aca="false">Assumptions!$B$21*J453+(1-Assumptions!$B$21)*P453</f>
        <v>0.251770514980967</v>
      </c>
      <c r="W453" s="8" t="n">
        <f aca="false">Assumptions!$B$22*K453+(1-Assumptions!$B$22)*Q453</f>
        <v>0.0280331510543313</v>
      </c>
      <c r="X453" s="8" t="n">
        <f aca="false">Assumptions!$B$23*L453+(1-Assumptions!$B$23)*R453</f>
        <v>-0.0055971464428074</v>
      </c>
      <c r="Y453" s="8" t="n">
        <f aca="false">Assumptions!$B$24*M453+(1-Assumptions!$B$24)*S453</f>
        <v>0.0857995289369272</v>
      </c>
      <c r="Z453" s="6" t="n">
        <f aca="false">Assumptions!$B$27*(1+T453)</f>
        <v>394590.53082129</v>
      </c>
      <c r="AA453" s="6" t="n">
        <f aca="false">(Z453+Assumptions!$B$28)*(1+U453)</f>
        <v>551906.434266643</v>
      </c>
      <c r="AB453" s="6" t="n">
        <f aca="false">AA453*(1+V453)</f>
        <v>690860.201443265</v>
      </c>
      <c r="AC453" s="6" t="n">
        <f aca="false">AB453*(1+W453)</f>
        <v>710227.18982775</v>
      </c>
      <c r="AD453" s="6" t="n">
        <f aca="false">AC453*(1+X453)</f>
        <v>706251.94423862</v>
      </c>
      <c r="AE453" s="6" t="n">
        <f aca="false">AD453*(1+Y453)</f>
        <v>766848.028365083</v>
      </c>
      <c r="AF453" s="6" t="n">
        <f aca="false">Z453</f>
        <v>394590.53082129</v>
      </c>
      <c r="AG453" s="6" t="n">
        <f aca="false">MAX(AF453,AA453)</f>
        <v>551906.434266643</v>
      </c>
      <c r="AH453" s="6" t="n">
        <f aca="false">MAX(AG453,AB453)</f>
        <v>690860.201443265</v>
      </c>
      <c r="AI453" s="6" t="n">
        <f aca="false">MAX(AH453,AC453)</f>
        <v>710227.18982775</v>
      </c>
      <c r="AJ453" s="6" t="n">
        <f aca="false">MAX(AI453,AD453)</f>
        <v>710227.18982775</v>
      </c>
      <c r="AK453" s="6" t="n">
        <f aca="false">MAX(AJ453,AE453)</f>
        <v>766848.028365083</v>
      </c>
      <c r="AL453" s="8" t="n">
        <f aca="false">MIN(Z453/AF453-1,AA453/AG453-1,AB453/AH453-1,AC453/AI453-1,AD453/AJ453-1,AE453/AK453-1)</f>
        <v>-0.0055971464428074</v>
      </c>
      <c r="AM453" s="6" t="n">
        <f aca="false">AE453-Assumptions!$B$35</f>
        <v>325584.031702579</v>
      </c>
    </row>
    <row r="454" customFormat="false" ht="15" hidden="false" customHeight="false" outlineLevel="0" collapsed="false">
      <c r="A454" s="0" t="n">
        <f aca="false">ROW()-1</f>
        <v>453</v>
      </c>
      <c r="B454" s="0" t="str">
        <f aca="true">IF(RAND()&lt;Assumptions!$B$11,"Bull","Bear")</f>
        <v>Bull</v>
      </c>
      <c r="C454" s="0" t="str">
        <f aca="true">IF(B454="Bull",IF(RAND()&lt;Assumptions!$B$7,"Bull","Bear"),IF(RAND()&lt;Assumptions!$B$10,"Bear","Bull"))</f>
        <v>Bull</v>
      </c>
      <c r="D454" s="0" t="str">
        <f aca="true">IF(C454="Bull",IF(RAND()&lt;Assumptions!$B$7,"Bull","Bear"),IF(RAND()&lt;Assumptions!$B$10,"Bear","Bull"))</f>
        <v>Bear</v>
      </c>
      <c r="E454" s="0" t="str">
        <f aca="true">IF(D454="Bull",IF(RAND()&lt;Assumptions!$B$7,"Bull","Bear"),IF(RAND()&lt;Assumptions!$B$10,"Bear","Bull"))</f>
        <v>Bear</v>
      </c>
      <c r="F454" s="0" t="str">
        <f aca="true">IF(E454="Bull",IF(RAND()&lt;Assumptions!$B$7,"Bull","Bear"),IF(RAND()&lt;Assumptions!$B$10,"Bear","Bull"))</f>
        <v>Bull</v>
      </c>
      <c r="G454" s="0" t="str">
        <f aca="true">IF(F454="Bull",IF(RAND()&lt;Assumptions!$B$7,"Bull","Bear"),IF(RAND()&lt;Assumptions!$B$10,"Bear","Bull"))</f>
        <v>Bear</v>
      </c>
      <c r="H454" s="8" t="n">
        <f aca="true">IF(B454="Bull",NORMINV(RAND(),Assumptions!$B$5,Assumptions!$B$6),NORMINV(RAND(),Assumptions!$B$8,Assumptions!$B$9))</f>
        <v>0.308564357018464</v>
      </c>
      <c r="I454" s="8" t="n">
        <f aca="true">IF(C454="Bull",NORMINV(RAND(),Assumptions!$B$5,Assumptions!$B$6),NORMINV(RAND(),Assumptions!$B$8,Assumptions!$B$9))</f>
        <v>0.2393623001474</v>
      </c>
      <c r="J454" s="8" t="n">
        <f aca="true">IF(D454="Bull",NORMINV(RAND(),Assumptions!$B$5,Assumptions!$B$6),NORMINV(RAND(),Assumptions!$B$8,Assumptions!$B$9))</f>
        <v>-0.329904275209989</v>
      </c>
      <c r="K454" s="8" t="n">
        <f aca="true">IF(E454="Bull",NORMINV(RAND(),Assumptions!$B$5,Assumptions!$B$6),NORMINV(RAND(),Assumptions!$B$8,Assumptions!$B$9))</f>
        <v>-0.21630864670367</v>
      </c>
      <c r="L454" s="8" t="n">
        <f aca="true">IF(F454="Bull",NORMINV(RAND(),Assumptions!$B$5,Assumptions!$B$6),NORMINV(RAND(),Assumptions!$B$8,Assumptions!$B$9))</f>
        <v>0.236501573117774</v>
      </c>
      <c r="M454" s="8" t="n">
        <f aca="true">IF(G454="Bull",NORMINV(RAND(),Assumptions!$B$5,Assumptions!$B$6),NORMINV(RAND(),Assumptions!$B$8,Assumptions!$B$9))</f>
        <v>-0.134965219434761</v>
      </c>
      <c r="N454" s="8" t="n">
        <f aca="true">NORMINV(RAND(),Assumptions!$B$14,Assumptions!$B$15)</f>
        <v>0.0785519902078522</v>
      </c>
      <c r="O454" s="8" t="n">
        <f aca="true">NORMINV(RAND(),Assumptions!$B$14,Assumptions!$B$15)</f>
        <v>0.0880746049887839</v>
      </c>
      <c r="P454" s="8" t="n">
        <f aca="true">NORMINV(RAND(),Assumptions!$B$14,Assumptions!$B$15)</f>
        <v>0.0723817839109578</v>
      </c>
      <c r="Q454" s="8" t="n">
        <f aca="true">NORMINV(RAND(),Assumptions!$B$14,Assumptions!$B$15)</f>
        <v>0.0770924098347897</v>
      </c>
      <c r="R454" s="8" t="n">
        <f aca="true">NORMINV(RAND(),Assumptions!$B$14,Assumptions!$B$15)</f>
        <v>0.0607818127912532</v>
      </c>
      <c r="S454" s="8" t="n">
        <f aca="true">NORMINV(RAND(),Assumptions!$B$14,Assumptions!$B$15)</f>
        <v>0.047965160259638</v>
      </c>
      <c r="T454" s="8" t="n">
        <f aca="false">Assumptions!$B$19*H454+(1-Assumptions!$B$19)*N454</f>
        <v>0.308564357018464</v>
      </c>
      <c r="U454" s="8" t="n">
        <f aca="false">Assumptions!$B$20*I454+(1-Assumptions!$B$20)*O454</f>
        <v>0.2393623001474</v>
      </c>
      <c r="V454" s="8" t="n">
        <f aca="false">Assumptions!$B$21*J454+(1-Assumptions!$B$21)*P454</f>
        <v>-0.329904275209989</v>
      </c>
      <c r="W454" s="8" t="n">
        <f aca="false">Assumptions!$B$22*K454+(1-Assumptions!$B$22)*Q454</f>
        <v>-0.21630864670367</v>
      </c>
      <c r="X454" s="8" t="n">
        <f aca="false">Assumptions!$B$23*L454+(1-Assumptions!$B$23)*R454</f>
        <v>0.201357621052469</v>
      </c>
      <c r="Y454" s="8" t="n">
        <f aca="false">Assumptions!$B$24*M454+(1-Assumptions!$B$24)*S454</f>
        <v>-0.0617930675570012</v>
      </c>
      <c r="Z454" s="6" t="n">
        <f aca="false">Assumptions!$B$27*(1+T454)</f>
        <v>392569.307105539</v>
      </c>
      <c r="AA454" s="6" t="n">
        <f aca="false">(Z454+Assumptions!$B$28)*(1+U454)</f>
        <v>672439.944443702</v>
      </c>
      <c r="AB454" s="6" t="n">
        <f aca="false">AA454*(1+V454)</f>
        <v>450599.131949757</v>
      </c>
      <c r="AC454" s="6" t="n">
        <f aca="false">AB454*(1+W454)</f>
        <v>353130.643511857</v>
      </c>
      <c r="AD454" s="6" t="n">
        <f aca="false">AC454*(1+X454)</f>
        <v>424236.189810132</v>
      </c>
      <c r="AE454" s="6" t="n">
        <f aca="false">AD454*(1+Y454)</f>
        <v>398021.33427307</v>
      </c>
      <c r="AF454" s="6" t="n">
        <f aca="false">Z454</f>
        <v>392569.307105539</v>
      </c>
      <c r="AG454" s="6" t="n">
        <f aca="false">MAX(AF454,AA454)</f>
        <v>672439.944443702</v>
      </c>
      <c r="AH454" s="6" t="n">
        <f aca="false">MAX(AG454,AB454)</f>
        <v>672439.944443702</v>
      </c>
      <c r="AI454" s="6" t="n">
        <f aca="false">MAX(AH454,AC454)</f>
        <v>672439.944443702</v>
      </c>
      <c r="AJ454" s="6" t="n">
        <f aca="false">MAX(AI454,AD454)</f>
        <v>672439.944443702</v>
      </c>
      <c r="AK454" s="6" t="n">
        <f aca="false">MAX(AJ454,AE454)</f>
        <v>672439.944443702</v>
      </c>
      <c r="AL454" s="8" t="n">
        <f aca="false">MIN(Z454/AF454-1,AA454/AG454-1,AB454/AH454-1,AC454/AI454-1,AD454/AJ454-1,AE454/AK454-1)</f>
        <v>-0.474851774601232</v>
      </c>
      <c r="AM454" s="6" t="n">
        <f aca="false">AE454-Assumptions!$B$35</f>
        <v>-43242.6623894339</v>
      </c>
    </row>
    <row r="455" customFormat="false" ht="15" hidden="false" customHeight="false" outlineLevel="0" collapsed="false">
      <c r="A455" s="0" t="n">
        <f aca="false">ROW()-1</f>
        <v>454</v>
      </c>
      <c r="B455" s="0" t="str">
        <f aca="true">IF(RAND()&lt;Assumptions!$B$11,"Bull","Bear")</f>
        <v>Bull</v>
      </c>
      <c r="C455" s="0" t="str">
        <f aca="true">IF(B455="Bull",IF(RAND()&lt;Assumptions!$B$7,"Bull","Bear"),IF(RAND()&lt;Assumptions!$B$10,"Bear","Bull"))</f>
        <v>Bull</v>
      </c>
      <c r="D455" s="0" t="str">
        <f aca="true">IF(C455="Bull",IF(RAND()&lt;Assumptions!$B$7,"Bull","Bear"),IF(RAND()&lt;Assumptions!$B$10,"Bear","Bull"))</f>
        <v>Bull</v>
      </c>
      <c r="E455" s="0" t="str">
        <f aca="true">IF(D455="Bull",IF(RAND()&lt;Assumptions!$B$7,"Bull","Bear"),IF(RAND()&lt;Assumptions!$B$10,"Bear","Bull"))</f>
        <v>Bull</v>
      </c>
      <c r="F455" s="0" t="str">
        <f aca="true">IF(E455="Bull",IF(RAND()&lt;Assumptions!$B$7,"Bull","Bear"),IF(RAND()&lt;Assumptions!$B$10,"Bear","Bull"))</f>
        <v>Bear</v>
      </c>
      <c r="G455" s="0" t="str">
        <f aca="true">IF(F455="Bull",IF(RAND()&lt;Assumptions!$B$7,"Bull","Bear"),IF(RAND()&lt;Assumptions!$B$10,"Bear","Bull"))</f>
        <v>Bear</v>
      </c>
      <c r="H455" s="8" t="n">
        <f aca="true">IF(B455="Bull",NORMINV(RAND(),Assumptions!$B$5,Assumptions!$B$6),NORMINV(RAND(),Assumptions!$B$8,Assumptions!$B$9))</f>
        <v>0.20311312936909</v>
      </c>
      <c r="I455" s="8" t="n">
        <f aca="true">IF(C455="Bull",NORMINV(RAND(),Assumptions!$B$5,Assumptions!$B$6),NORMINV(RAND(),Assumptions!$B$8,Assumptions!$B$9))</f>
        <v>0.119653185513958</v>
      </c>
      <c r="J455" s="8" t="n">
        <f aca="true">IF(D455="Bull",NORMINV(RAND(),Assumptions!$B$5,Assumptions!$B$6),NORMINV(RAND(),Assumptions!$B$8,Assumptions!$B$9))</f>
        <v>0.174869414135257</v>
      </c>
      <c r="K455" s="8" t="n">
        <f aca="true">IF(E455="Bull",NORMINV(RAND(),Assumptions!$B$5,Assumptions!$B$6),NORMINV(RAND(),Assumptions!$B$8,Assumptions!$B$9))</f>
        <v>0.208414265524694</v>
      </c>
      <c r="L455" s="8" t="n">
        <f aca="true">IF(F455="Bull",NORMINV(RAND(),Assumptions!$B$5,Assumptions!$B$6),NORMINV(RAND(),Assumptions!$B$8,Assumptions!$B$9))</f>
        <v>-0.226718238819592</v>
      </c>
      <c r="M455" s="8" t="n">
        <f aca="true">IF(G455="Bull",NORMINV(RAND(),Assumptions!$B$5,Assumptions!$B$6),NORMINV(RAND(),Assumptions!$B$8,Assumptions!$B$9))</f>
        <v>-0.242715393667546</v>
      </c>
      <c r="N455" s="8" t="n">
        <f aca="true">NORMINV(RAND(),Assumptions!$B$14,Assumptions!$B$15)</f>
        <v>0.0404278076638906</v>
      </c>
      <c r="O455" s="8" t="n">
        <f aca="true">NORMINV(RAND(),Assumptions!$B$14,Assumptions!$B$15)</f>
        <v>0.0416770653580179</v>
      </c>
      <c r="P455" s="8" t="n">
        <f aca="true">NORMINV(RAND(),Assumptions!$B$14,Assumptions!$B$15)</f>
        <v>0.0505235050340291</v>
      </c>
      <c r="Q455" s="8" t="n">
        <f aca="true">NORMINV(RAND(),Assumptions!$B$14,Assumptions!$B$15)</f>
        <v>0.0357005073180964</v>
      </c>
      <c r="R455" s="8" t="n">
        <f aca="true">NORMINV(RAND(),Assumptions!$B$14,Assumptions!$B$15)</f>
        <v>0.0205068411335778</v>
      </c>
      <c r="S455" s="8" t="n">
        <f aca="true">NORMINV(RAND(),Assumptions!$B$14,Assumptions!$B$15)</f>
        <v>0.0699341752014081</v>
      </c>
      <c r="T455" s="8" t="n">
        <f aca="false">Assumptions!$B$19*H455+(1-Assumptions!$B$19)*N455</f>
        <v>0.20311312936909</v>
      </c>
      <c r="U455" s="8" t="n">
        <f aca="false">Assumptions!$B$20*I455+(1-Assumptions!$B$20)*O455</f>
        <v>0.119653185513958</v>
      </c>
      <c r="V455" s="8" t="n">
        <f aca="false">Assumptions!$B$21*J455+(1-Assumptions!$B$21)*P455</f>
        <v>0.174869414135257</v>
      </c>
      <c r="W455" s="8" t="n">
        <f aca="false">Assumptions!$B$22*K455+(1-Assumptions!$B$22)*Q455</f>
        <v>0.208414265524694</v>
      </c>
      <c r="X455" s="8" t="n">
        <f aca="false">Assumptions!$B$23*L455+(1-Assumptions!$B$23)*R455</f>
        <v>-0.177273222828958</v>
      </c>
      <c r="Y455" s="8" t="n">
        <f aca="false">Assumptions!$B$24*M455+(1-Assumptions!$B$24)*S455</f>
        <v>-0.117655566119965</v>
      </c>
      <c r="Z455" s="6" t="n">
        <f aca="false">Assumptions!$B$27*(1+T455)</f>
        <v>360933.938810727</v>
      </c>
      <c r="AA455" s="6" t="n">
        <f aca="false">(Z455+Assumptions!$B$28)*(1+U455)</f>
        <v>572068.812176624</v>
      </c>
      <c r="AB455" s="6" t="n">
        <f aca="false">AA455*(1+V455)</f>
        <v>672106.150207003</v>
      </c>
      <c r="AC455" s="6" t="n">
        <f aca="false">AB455*(1+W455)</f>
        <v>812182.659857025</v>
      </c>
      <c r="AD455" s="6" t="n">
        <f aca="false">AC455*(1+X455)</f>
        <v>668204.422218375</v>
      </c>
      <c r="AE455" s="6" t="n">
        <f aca="false">AD455*(1+Y455)</f>
        <v>589586.452638408</v>
      </c>
      <c r="AF455" s="6" t="n">
        <f aca="false">Z455</f>
        <v>360933.938810727</v>
      </c>
      <c r="AG455" s="6" t="n">
        <f aca="false">MAX(AF455,AA455)</f>
        <v>572068.812176624</v>
      </c>
      <c r="AH455" s="6" t="n">
        <f aca="false">MAX(AG455,AB455)</f>
        <v>672106.150207003</v>
      </c>
      <c r="AI455" s="6" t="n">
        <f aca="false">MAX(AH455,AC455)</f>
        <v>812182.659857025</v>
      </c>
      <c r="AJ455" s="6" t="n">
        <f aca="false">MAX(AI455,AD455)</f>
        <v>812182.659857025</v>
      </c>
      <c r="AK455" s="6" t="n">
        <f aca="false">MAX(AJ455,AE455)</f>
        <v>812182.659857025</v>
      </c>
      <c r="AL455" s="8" t="n">
        <f aca="false">MIN(Z455/AF455-1,AA455/AG455-1,AB455/AH455-1,AC455/AI455-1,AD455/AJ455-1,AE455/AK455-1)</f>
        <v>-0.274071607559071</v>
      </c>
      <c r="AM455" s="6" t="n">
        <f aca="false">AE455-Assumptions!$B$35</f>
        <v>148322.455975905</v>
      </c>
    </row>
    <row r="456" customFormat="false" ht="15" hidden="false" customHeight="false" outlineLevel="0" collapsed="false">
      <c r="A456" s="0" t="n">
        <f aca="false">ROW()-1</f>
        <v>455</v>
      </c>
      <c r="B456" s="0" t="str">
        <f aca="true">IF(RAND()&lt;Assumptions!$B$11,"Bull","Bear")</f>
        <v>Bull</v>
      </c>
      <c r="C456" s="0" t="str">
        <f aca="true">IF(B456="Bull",IF(RAND()&lt;Assumptions!$B$7,"Bull","Bear"),IF(RAND()&lt;Assumptions!$B$10,"Bear","Bull"))</f>
        <v>Bull</v>
      </c>
      <c r="D456" s="0" t="str">
        <f aca="true">IF(C456="Bull",IF(RAND()&lt;Assumptions!$B$7,"Bull","Bear"),IF(RAND()&lt;Assumptions!$B$10,"Bear","Bull"))</f>
        <v>Bull</v>
      </c>
      <c r="E456" s="0" t="str">
        <f aca="true">IF(D456="Bull",IF(RAND()&lt;Assumptions!$B$7,"Bull","Bear"),IF(RAND()&lt;Assumptions!$B$10,"Bear","Bull"))</f>
        <v>Bull</v>
      </c>
      <c r="F456" s="0" t="str">
        <f aca="true">IF(E456="Bull",IF(RAND()&lt;Assumptions!$B$7,"Bull","Bear"),IF(RAND()&lt;Assumptions!$B$10,"Bear","Bull"))</f>
        <v>Bear</v>
      </c>
      <c r="G456" s="0" t="str">
        <f aca="true">IF(F456="Bull",IF(RAND()&lt;Assumptions!$B$7,"Bull","Bear"),IF(RAND()&lt;Assumptions!$B$10,"Bear","Bull"))</f>
        <v>Bear</v>
      </c>
      <c r="H456" s="8" t="n">
        <f aca="true">IF(B456="Bull",NORMINV(RAND(),Assumptions!$B$5,Assumptions!$B$6),NORMINV(RAND(),Assumptions!$B$8,Assumptions!$B$9))</f>
        <v>0.144454451781127</v>
      </c>
      <c r="I456" s="8" t="n">
        <f aca="true">IF(C456="Bull",NORMINV(RAND(),Assumptions!$B$5,Assumptions!$B$6),NORMINV(RAND(),Assumptions!$B$8,Assumptions!$B$9))</f>
        <v>0.164443815811133</v>
      </c>
      <c r="J456" s="8" t="n">
        <f aca="true">IF(D456="Bull",NORMINV(RAND(),Assumptions!$B$5,Assumptions!$B$6),NORMINV(RAND(),Assumptions!$B$8,Assumptions!$B$9))</f>
        <v>0.189149178312413</v>
      </c>
      <c r="K456" s="8" t="n">
        <f aca="true">IF(E456="Bull",NORMINV(RAND(),Assumptions!$B$5,Assumptions!$B$6),NORMINV(RAND(),Assumptions!$B$8,Assumptions!$B$9))</f>
        <v>0.200199416175265</v>
      </c>
      <c r="L456" s="8" t="n">
        <f aca="true">IF(F456="Bull",NORMINV(RAND(),Assumptions!$B$5,Assumptions!$B$6),NORMINV(RAND(),Assumptions!$B$8,Assumptions!$B$9))</f>
        <v>-0.103791847510582</v>
      </c>
      <c r="M456" s="8" t="n">
        <f aca="true">IF(G456="Bull",NORMINV(RAND(),Assumptions!$B$5,Assumptions!$B$6),NORMINV(RAND(),Assumptions!$B$8,Assumptions!$B$9))</f>
        <v>-0.271325666899229</v>
      </c>
      <c r="N456" s="8" t="n">
        <f aca="true">NORMINV(RAND(),Assumptions!$B$14,Assumptions!$B$15)</f>
        <v>0.00869560450572906</v>
      </c>
      <c r="O456" s="8" t="n">
        <f aca="true">NORMINV(RAND(),Assumptions!$B$14,Assumptions!$B$15)</f>
        <v>0.0518538947371221</v>
      </c>
      <c r="P456" s="8" t="n">
        <f aca="true">NORMINV(RAND(),Assumptions!$B$14,Assumptions!$B$15)</f>
        <v>0.0472471433028302</v>
      </c>
      <c r="Q456" s="8" t="n">
        <f aca="true">NORMINV(RAND(),Assumptions!$B$14,Assumptions!$B$15)</f>
        <v>0.0227915434032774</v>
      </c>
      <c r="R456" s="8" t="n">
        <f aca="true">NORMINV(RAND(),Assumptions!$B$14,Assumptions!$B$15)</f>
        <v>0.0358561856864002</v>
      </c>
      <c r="S456" s="8" t="n">
        <f aca="true">NORMINV(RAND(),Assumptions!$B$14,Assumptions!$B$15)</f>
        <v>0.0294337306438003</v>
      </c>
      <c r="T456" s="8" t="n">
        <f aca="false">Assumptions!$B$19*H456+(1-Assumptions!$B$19)*N456</f>
        <v>0.144454451781127</v>
      </c>
      <c r="U456" s="8" t="n">
        <f aca="false">Assumptions!$B$20*I456+(1-Assumptions!$B$20)*O456</f>
        <v>0.164443815811133</v>
      </c>
      <c r="V456" s="8" t="n">
        <f aca="false">Assumptions!$B$21*J456+(1-Assumptions!$B$21)*P456</f>
        <v>0.189149178312413</v>
      </c>
      <c r="W456" s="8" t="n">
        <f aca="false">Assumptions!$B$22*K456+(1-Assumptions!$B$22)*Q456</f>
        <v>0.200199416175265</v>
      </c>
      <c r="X456" s="8" t="n">
        <f aca="false">Assumptions!$B$23*L456+(1-Assumptions!$B$23)*R456</f>
        <v>-0.0758622408711853</v>
      </c>
      <c r="Y456" s="8" t="n">
        <f aca="false">Assumptions!$B$24*M456+(1-Assumptions!$B$24)*S456</f>
        <v>-0.151021907882017</v>
      </c>
      <c r="Z456" s="6" t="n">
        <f aca="false">Assumptions!$B$27*(1+T456)</f>
        <v>343336.335534338</v>
      </c>
      <c r="AA456" s="6" t="n">
        <f aca="false">(Z456+Assumptions!$B$28)*(1+U456)</f>
        <v>574462.445027886</v>
      </c>
      <c r="AB456" s="6" t="n">
        <f aca="false">AA456*(1+V456)</f>
        <v>683121.544476251</v>
      </c>
      <c r="AC456" s="6" t="n">
        <f aca="false">AB456*(1+W456)</f>
        <v>819882.078857141</v>
      </c>
      <c r="AD456" s="6" t="n">
        <f aca="false">AC456*(1+X456)</f>
        <v>757683.987104913</v>
      </c>
      <c r="AE456" s="6" t="n">
        <f aca="false">AD456*(1+Y456)</f>
        <v>643257.105800675</v>
      </c>
      <c r="AF456" s="6" t="n">
        <f aca="false">Z456</f>
        <v>343336.335534338</v>
      </c>
      <c r="AG456" s="6" t="n">
        <f aca="false">MAX(AF456,AA456)</f>
        <v>574462.445027886</v>
      </c>
      <c r="AH456" s="6" t="n">
        <f aca="false">MAX(AG456,AB456)</f>
        <v>683121.544476251</v>
      </c>
      <c r="AI456" s="6" t="n">
        <f aca="false">MAX(AH456,AC456)</f>
        <v>819882.078857141</v>
      </c>
      <c r="AJ456" s="6" t="n">
        <f aca="false">MAX(AI456,AD456)</f>
        <v>819882.078857141</v>
      </c>
      <c r="AK456" s="6" t="n">
        <f aca="false">MAX(AJ456,AE456)</f>
        <v>819882.078857141</v>
      </c>
      <c r="AL456" s="8" t="n">
        <f aca="false">MIN(Z456/AF456-1,AA456/AG456-1,AB456/AH456-1,AC456/AI456-1,AD456/AJ456-1,AE456/AK456-1)</f>
        <v>-0.215427288400631</v>
      </c>
      <c r="AM456" s="6" t="n">
        <f aca="false">AE456-Assumptions!$B$35</f>
        <v>201993.109138171</v>
      </c>
    </row>
    <row r="457" customFormat="false" ht="15" hidden="false" customHeight="false" outlineLevel="0" collapsed="false">
      <c r="A457" s="0" t="n">
        <f aca="false">ROW()-1</f>
        <v>456</v>
      </c>
      <c r="B457" s="0" t="str">
        <f aca="true">IF(RAND()&lt;Assumptions!$B$11,"Bull","Bear")</f>
        <v>Bull</v>
      </c>
      <c r="C457" s="0" t="str">
        <f aca="true">IF(B457="Bull",IF(RAND()&lt;Assumptions!$B$7,"Bull","Bear"),IF(RAND()&lt;Assumptions!$B$10,"Bear","Bull"))</f>
        <v>Bull</v>
      </c>
      <c r="D457" s="0" t="str">
        <f aca="true">IF(C457="Bull",IF(RAND()&lt;Assumptions!$B$7,"Bull","Bear"),IF(RAND()&lt;Assumptions!$B$10,"Bear","Bull"))</f>
        <v>Bull</v>
      </c>
      <c r="E457" s="0" t="str">
        <f aca="true">IF(D457="Bull",IF(RAND()&lt;Assumptions!$B$7,"Bull","Bear"),IF(RAND()&lt;Assumptions!$B$10,"Bear","Bull"))</f>
        <v>Bull</v>
      </c>
      <c r="F457" s="0" t="str">
        <f aca="true">IF(E457="Bull",IF(RAND()&lt;Assumptions!$B$7,"Bull","Bear"),IF(RAND()&lt;Assumptions!$B$10,"Bear","Bull"))</f>
        <v>Bull</v>
      </c>
      <c r="G457" s="0" t="str">
        <f aca="true">IF(F457="Bull",IF(RAND()&lt;Assumptions!$B$7,"Bull","Bear"),IF(RAND()&lt;Assumptions!$B$10,"Bear","Bull"))</f>
        <v>Bull</v>
      </c>
      <c r="H457" s="8" t="n">
        <f aca="true">IF(B457="Bull",NORMINV(RAND(),Assumptions!$B$5,Assumptions!$B$6),NORMINV(RAND(),Assumptions!$B$8,Assumptions!$B$9))</f>
        <v>0.0961790498537609</v>
      </c>
      <c r="I457" s="8" t="n">
        <f aca="true">IF(C457="Bull",NORMINV(RAND(),Assumptions!$B$5,Assumptions!$B$6),NORMINV(RAND(),Assumptions!$B$8,Assumptions!$B$9))</f>
        <v>0.217412007665708</v>
      </c>
      <c r="J457" s="8" t="n">
        <f aca="true">IF(D457="Bull",NORMINV(RAND(),Assumptions!$B$5,Assumptions!$B$6),NORMINV(RAND(),Assumptions!$B$8,Assumptions!$B$9))</f>
        <v>0.349452787866938</v>
      </c>
      <c r="K457" s="8" t="n">
        <f aca="true">IF(E457="Bull",NORMINV(RAND(),Assumptions!$B$5,Assumptions!$B$6),NORMINV(RAND(),Assumptions!$B$8,Assumptions!$B$9))</f>
        <v>0.223557484374694</v>
      </c>
      <c r="L457" s="8" t="n">
        <f aca="true">IF(F457="Bull",NORMINV(RAND(),Assumptions!$B$5,Assumptions!$B$6),NORMINV(RAND(),Assumptions!$B$8,Assumptions!$B$9))</f>
        <v>0.282838869459083</v>
      </c>
      <c r="M457" s="8" t="n">
        <f aca="true">IF(G457="Bull",NORMINV(RAND(),Assumptions!$B$5,Assumptions!$B$6),NORMINV(RAND(),Assumptions!$B$8,Assumptions!$B$9))</f>
        <v>0.0887159270394824</v>
      </c>
      <c r="N457" s="8" t="n">
        <f aca="true">NORMINV(RAND(),Assumptions!$B$14,Assumptions!$B$15)</f>
        <v>0.0472895351403918</v>
      </c>
      <c r="O457" s="8" t="n">
        <f aca="true">NORMINV(RAND(),Assumptions!$B$14,Assumptions!$B$15)</f>
        <v>0.0390571737841829</v>
      </c>
      <c r="P457" s="8" t="n">
        <f aca="true">NORMINV(RAND(),Assumptions!$B$14,Assumptions!$B$15)</f>
        <v>0.0722791767259707</v>
      </c>
      <c r="Q457" s="8" t="n">
        <f aca="true">NORMINV(RAND(),Assumptions!$B$14,Assumptions!$B$15)</f>
        <v>0.0731265666199021</v>
      </c>
      <c r="R457" s="8" t="n">
        <f aca="true">NORMINV(RAND(),Assumptions!$B$14,Assumptions!$B$15)</f>
        <v>0.0818889803770908</v>
      </c>
      <c r="S457" s="8" t="n">
        <f aca="true">NORMINV(RAND(),Assumptions!$B$14,Assumptions!$B$15)</f>
        <v>0.0970441218290759</v>
      </c>
      <c r="T457" s="8" t="n">
        <f aca="false">Assumptions!$B$19*H457+(1-Assumptions!$B$19)*N457</f>
        <v>0.0961790498537609</v>
      </c>
      <c r="U457" s="8" t="n">
        <f aca="false">Assumptions!$B$20*I457+(1-Assumptions!$B$20)*O457</f>
        <v>0.217412007665708</v>
      </c>
      <c r="V457" s="8" t="n">
        <f aca="false">Assumptions!$B$21*J457+(1-Assumptions!$B$21)*P457</f>
        <v>0.349452787866938</v>
      </c>
      <c r="W457" s="8" t="n">
        <f aca="false">Assumptions!$B$22*K457+(1-Assumptions!$B$22)*Q457</f>
        <v>0.223557484374694</v>
      </c>
      <c r="X457" s="8" t="n">
        <f aca="false">Assumptions!$B$23*L457+(1-Assumptions!$B$23)*R457</f>
        <v>0.242648891642685</v>
      </c>
      <c r="Y457" s="8" t="n">
        <f aca="false">Assumptions!$B$24*M457+(1-Assumptions!$B$24)*S457</f>
        <v>0.0920472049553198</v>
      </c>
      <c r="Z457" s="6" t="n">
        <f aca="false">Assumptions!$B$27*(1+T457)</f>
        <v>328853.714956128</v>
      </c>
      <c r="AA457" s="6" t="n">
        <f aca="false">(Z457+Assumptions!$B$28)*(1+U457)</f>
        <v>582962.262502923</v>
      </c>
      <c r="AB457" s="6" t="n">
        <f aca="false">AA457*(1+V457)</f>
        <v>786680.050355787</v>
      </c>
      <c r="AC457" s="6" t="n">
        <f aca="false">AB457*(1+W457)</f>
        <v>962548.263421084</v>
      </c>
      <c r="AD457" s="6" t="n">
        <f aca="false">AC457*(1+X457)</f>
        <v>1196109.5326928</v>
      </c>
      <c r="AE457" s="6" t="n">
        <f aca="false">AD457*(1+Y457)</f>
        <v>1306208.07199759</v>
      </c>
      <c r="AF457" s="6" t="n">
        <f aca="false">Z457</f>
        <v>328853.714956128</v>
      </c>
      <c r="AG457" s="6" t="n">
        <f aca="false">MAX(AF457,AA457)</f>
        <v>582962.262502923</v>
      </c>
      <c r="AH457" s="6" t="n">
        <f aca="false">MAX(AG457,AB457)</f>
        <v>786680.050355787</v>
      </c>
      <c r="AI457" s="6" t="n">
        <f aca="false">MAX(AH457,AC457)</f>
        <v>962548.263421084</v>
      </c>
      <c r="AJ457" s="6" t="n">
        <f aca="false">MAX(AI457,AD457)</f>
        <v>1196109.5326928</v>
      </c>
      <c r="AK457" s="6" t="n">
        <f aca="false">MAX(AJ457,AE457)</f>
        <v>1306208.07199759</v>
      </c>
      <c r="AL457" s="8" t="n">
        <f aca="false">MIN(Z457/AF457-1,AA457/AG457-1,AB457/AH457-1,AC457/AI457-1,AD457/AJ457-1,AE457/AK457-1)</f>
        <v>0</v>
      </c>
      <c r="AM457" s="6" t="n">
        <f aca="false">AE457-Assumptions!$B$35</f>
        <v>864944.075335084</v>
      </c>
    </row>
    <row r="458" customFormat="false" ht="15" hidden="false" customHeight="false" outlineLevel="0" collapsed="false">
      <c r="A458" s="0" t="n">
        <f aca="false">ROW()-1</f>
        <v>457</v>
      </c>
      <c r="B458" s="0" t="str">
        <f aca="true">IF(RAND()&lt;Assumptions!$B$11,"Bull","Bear")</f>
        <v>Bull</v>
      </c>
      <c r="C458" s="0" t="str">
        <f aca="true">IF(B458="Bull",IF(RAND()&lt;Assumptions!$B$7,"Bull","Bear"),IF(RAND()&lt;Assumptions!$B$10,"Bear","Bull"))</f>
        <v>Bull</v>
      </c>
      <c r="D458" s="0" t="str">
        <f aca="true">IF(C458="Bull",IF(RAND()&lt;Assumptions!$B$7,"Bull","Bear"),IF(RAND()&lt;Assumptions!$B$10,"Bear","Bull"))</f>
        <v>Bull</v>
      </c>
      <c r="E458" s="0" t="str">
        <f aca="true">IF(D458="Bull",IF(RAND()&lt;Assumptions!$B$7,"Bull","Bear"),IF(RAND()&lt;Assumptions!$B$10,"Bear","Bull"))</f>
        <v>Bull</v>
      </c>
      <c r="F458" s="0" t="str">
        <f aca="true">IF(E458="Bull",IF(RAND()&lt;Assumptions!$B$7,"Bull","Bear"),IF(RAND()&lt;Assumptions!$B$10,"Bear","Bull"))</f>
        <v>Bull</v>
      </c>
      <c r="G458" s="0" t="str">
        <f aca="true">IF(F458="Bull",IF(RAND()&lt;Assumptions!$B$7,"Bull","Bear"),IF(RAND()&lt;Assumptions!$B$10,"Bear","Bull"))</f>
        <v>Bull</v>
      </c>
      <c r="H458" s="8" t="n">
        <f aca="true">IF(B458="Bull",NORMINV(RAND(),Assumptions!$B$5,Assumptions!$B$6),NORMINV(RAND(),Assumptions!$B$8,Assumptions!$B$9))</f>
        <v>0.243018540040704</v>
      </c>
      <c r="I458" s="8" t="n">
        <f aca="true">IF(C458="Bull",NORMINV(RAND(),Assumptions!$B$5,Assumptions!$B$6),NORMINV(RAND(),Assumptions!$B$8,Assumptions!$B$9))</f>
        <v>0.181608869284326</v>
      </c>
      <c r="J458" s="8" t="n">
        <f aca="true">IF(D458="Bull",NORMINV(RAND(),Assumptions!$B$5,Assumptions!$B$6),NORMINV(RAND(),Assumptions!$B$8,Assumptions!$B$9))</f>
        <v>0.243677684251539</v>
      </c>
      <c r="K458" s="8" t="n">
        <f aca="true">IF(E458="Bull",NORMINV(RAND(),Assumptions!$B$5,Assumptions!$B$6),NORMINV(RAND(),Assumptions!$B$8,Assumptions!$B$9))</f>
        <v>0.113275795901881</v>
      </c>
      <c r="L458" s="8" t="n">
        <f aca="true">IF(F458="Bull",NORMINV(RAND(),Assumptions!$B$5,Assumptions!$B$6),NORMINV(RAND(),Assumptions!$B$8,Assumptions!$B$9))</f>
        <v>0.109799852424464</v>
      </c>
      <c r="M458" s="8" t="n">
        <f aca="true">IF(G458="Bull",NORMINV(RAND(),Assumptions!$B$5,Assumptions!$B$6),NORMINV(RAND(),Assumptions!$B$8,Assumptions!$B$9))</f>
        <v>0.192477735735288</v>
      </c>
      <c r="N458" s="8" t="n">
        <f aca="true">NORMINV(RAND(),Assumptions!$B$14,Assumptions!$B$15)</f>
        <v>-0.000261116913360164</v>
      </c>
      <c r="O458" s="8" t="n">
        <f aca="true">NORMINV(RAND(),Assumptions!$B$14,Assumptions!$B$15)</f>
        <v>0.047915570606833</v>
      </c>
      <c r="P458" s="8" t="n">
        <f aca="true">NORMINV(RAND(),Assumptions!$B$14,Assumptions!$B$15)</f>
        <v>0.0359242564887487</v>
      </c>
      <c r="Q458" s="8" t="n">
        <f aca="true">NORMINV(RAND(),Assumptions!$B$14,Assumptions!$B$15)</f>
        <v>0.0603349907862639</v>
      </c>
      <c r="R458" s="8" t="n">
        <f aca="true">NORMINV(RAND(),Assumptions!$B$14,Assumptions!$B$15)</f>
        <v>0.0624318715847545</v>
      </c>
      <c r="S458" s="8" t="n">
        <f aca="true">NORMINV(RAND(),Assumptions!$B$14,Assumptions!$B$15)</f>
        <v>0.0920057908349895</v>
      </c>
      <c r="T458" s="8" t="n">
        <f aca="false">Assumptions!$B$19*H458+(1-Assumptions!$B$19)*N458</f>
        <v>0.243018540040704</v>
      </c>
      <c r="U458" s="8" t="n">
        <f aca="false">Assumptions!$B$20*I458+(1-Assumptions!$B$20)*O458</f>
        <v>0.181608869284326</v>
      </c>
      <c r="V458" s="8" t="n">
        <f aca="false">Assumptions!$B$21*J458+(1-Assumptions!$B$21)*P458</f>
        <v>0.243677684251539</v>
      </c>
      <c r="W458" s="8" t="n">
        <f aca="false">Assumptions!$B$22*K458+(1-Assumptions!$B$22)*Q458</f>
        <v>0.113275795901881</v>
      </c>
      <c r="X458" s="8" t="n">
        <f aca="false">Assumptions!$B$23*L458+(1-Assumptions!$B$23)*R458</f>
        <v>0.100326256256522</v>
      </c>
      <c r="Y458" s="8" t="n">
        <f aca="false">Assumptions!$B$24*M458+(1-Assumptions!$B$24)*S458</f>
        <v>0.152288957775168</v>
      </c>
      <c r="Z458" s="6" t="n">
        <f aca="false">Assumptions!$B$27*(1+T458)</f>
        <v>372905.562012211</v>
      </c>
      <c r="AA458" s="6" t="n">
        <f aca="false">(Z458+Assumptions!$B$28)*(1+U458)</f>
        <v>617869.849871734</v>
      </c>
      <c r="AB458" s="6" t="n">
        <f aca="false">AA458*(1+V458)</f>
        <v>768430.944057324</v>
      </c>
      <c r="AC458" s="6" t="n">
        <f aca="false">AB458*(1+W458)</f>
        <v>855475.570841051</v>
      </c>
      <c r="AD458" s="6" t="n">
        <f aca="false">AC458*(1+X458)</f>
        <v>941302.232182445</v>
      </c>
      <c r="AE458" s="6" t="n">
        <f aca="false">AD458*(1+Y458)</f>
        <v>1084652.16807295</v>
      </c>
      <c r="AF458" s="6" t="n">
        <f aca="false">Z458</f>
        <v>372905.562012211</v>
      </c>
      <c r="AG458" s="6" t="n">
        <f aca="false">MAX(AF458,AA458)</f>
        <v>617869.849871734</v>
      </c>
      <c r="AH458" s="6" t="n">
        <f aca="false">MAX(AG458,AB458)</f>
        <v>768430.944057324</v>
      </c>
      <c r="AI458" s="6" t="n">
        <f aca="false">MAX(AH458,AC458)</f>
        <v>855475.570841051</v>
      </c>
      <c r="AJ458" s="6" t="n">
        <f aca="false">MAX(AI458,AD458)</f>
        <v>941302.232182445</v>
      </c>
      <c r="AK458" s="6" t="n">
        <f aca="false">MAX(AJ458,AE458)</f>
        <v>1084652.16807295</v>
      </c>
      <c r="AL458" s="8" t="n">
        <f aca="false">MIN(Z458/AF458-1,AA458/AG458-1,AB458/AH458-1,AC458/AI458-1,AD458/AJ458-1,AE458/AK458-1)</f>
        <v>0</v>
      </c>
      <c r="AM458" s="6" t="n">
        <f aca="false">AE458-Assumptions!$B$35</f>
        <v>643388.171410446</v>
      </c>
    </row>
    <row r="459" customFormat="false" ht="15" hidden="false" customHeight="false" outlineLevel="0" collapsed="false">
      <c r="A459" s="0" t="n">
        <f aca="false">ROW()-1</f>
        <v>458</v>
      </c>
      <c r="B459" s="0" t="str">
        <f aca="true">IF(RAND()&lt;Assumptions!$B$11,"Bull","Bear")</f>
        <v>Bull</v>
      </c>
      <c r="C459" s="0" t="str">
        <f aca="true">IF(B459="Bull",IF(RAND()&lt;Assumptions!$B$7,"Bull","Bear"),IF(RAND()&lt;Assumptions!$B$10,"Bear","Bull"))</f>
        <v>Bear</v>
      </c>
      <c r="D459" s="0" t="str">
        <f aca="true">IF(C459="Bull",IF(RAND()&lt;Assumptions!$B$7,"Bull","Bear"),IF(RAND()&lt;Assumptions!$B$10,"Bear","Bull"))</f>
        <v>Bear</v>
      </c>
      <c r="E459" s="0" t="str">
        <f aca="true">IF(D459="Bull",IF(RAND()&lt;Assumptions!$B$7,"Bull","Bear"),IF(RAND()&lt;Assumptions!$B$10,"Bear","Bull"))</f>
        <v>Bear</v>
      </c>
      <c r="F459" s="0" t="str">
        <f aca="true">IF(E459="Bull",IF(RAND()&lt;Assumptions!$B$7,"Bull","Bear"),IF(RAND()&lt;Assumptions!$B$10,"Bear","Bull"))</f>
        <v>Bull</v>
      </c>
      <c r="G459" s="0" t="str">
        <f aca="true">IF(F459="Bull",IF(RAND()&lt;Assumptions!$B$7,"Bull","Bear"),IF(RAND()&lt;Assumptions!$B$10,"Bear","Bull"))</f>
        <v>Bear</v>
      </c>
      <c r="H459" s="8" t="n">
        <f aca="true">IF(B459="Bull",NORMINV(RAND(),Assumptions!$B$5,Assumptions!$B$6),NORMINV(RAND(),Assumptions!$B$8,Assumptions!$B$9))</f>
        <v>0.0128215742736086</v>
      </c>
      <c r="I459" s="8" t="n">
        <f aca="true">IF(C459="Bull",NORMINV(RAND(),Assumptions!$B$5,Assumptions!$B$6),NORMINV(RAND(),Assumptions!$B$8,Assumptions!$B$9))</f>
        <v>-0.084518967316448</v>
      </c>
      <c r="J459" s="8" t="n">
        <f aca="true">IF(D459="Bull",NORMINV(RAND(),Assumptions!$B$5,Assumptions!$B$6),NORMINV(RAND(),Assumptions!$B$8,Assumptions!$B$9))</f>
        <v>-0.194007542462425</v>
      </c>
      <c r="K459" s="8" t="n">
        <f aca="true">IF(E459="Bull",NORMINV(RAND(),Assumptions!$B$5,Assumptions!$B$6),NORMINV(RAND(),Assumptions!$B$8,Assumptions!$B$9))</f>
        <v>-0.176366123580745</v>
      </c>
      <c r="L459" s="8" t="n">
        <f aca="true">IF(F459="Bull",NORMINV(RAND(),Assumptions!$B$5,Assumptions!$B$6),NORMINV(RAND(),Assumptions!$B$8,Assumptions!$B$9))</f>
        <v>0.0552903993207037</v>
      </c>
      <c r="M459" s="8" t="n">
        <f aca="true">IF(G459="Bull",NORMINV(RAND(),Assumptions!$B$5,Assumptions!$B$6),NORMINV(RAND(),Assumptions!$B$8,Assumptions!$B$9))</f>
        <v>0.0206088371302664</v>
      </c>
      <c r="N459" s="8" t="n">
        <f aca="true">NORMINV(RAND(),Assumptions!$B$14,Assumptions!$B$15)</f>
        <v>0.0379377153548797</v>
      </c>
      <c r="O459" s="8" t="n">
        <f aca="true">NORMINV(RAND(),Assumptions!$B$14,Assumptions!$B$15)</f>
        <v>0.0934198973963005</v>
      </c>
      <c r="P459" s="8" t="n">
        <f aca="true">NORMINV(RAND(),Assumptions!$B$14,Assumptions!$B$15)</f>
        <v>0.0509647455429913</v>
      </c>
      <c r="Q459" s="8" t="n">
        <f aca="true">NORMINV(RAND(),Assumptions!$B$14,Assumptions!$B$15)</f>
        <v>0.0468935496340286</v>
      </c>
      <c r="R459" s="8" t="n">
        <f aca="true">NORMINV(RAND(),Assumptions!$B$14,Assumptions!$B$15)</f>
        <v>0.054403642984322</v>
      </c>
      <c r="S459" s="8" t="n">
        <f aca="true">NORMINV(RAND(),Assumptions!$B$14,Assumptions!$B$15)</f>
        <v>0.0624502875280747</v>
      </c>
      <c r="T459" s="8" t="n">
        <f aca="false">Assumptions!$B$19*H459+(1-Assumptions!$B$19)*N459</f>
        <v>0.0128215742736086</v>
      </c>
      <c r="U459" s="8" t="n">
        <f aca="false">Assumptions!$B$20*I459+(1-Assumptions!$B$20)*O459</f>
        <v>-0.084518967316448</v>
      </c>
      <c r="V459" s="8" t="n">
        <f aca="false">Assumptions!$B$21*J459+(1-Assumptions!$B$21)*P459</f>
        <v>-0.194007542462425</v>
      </c>
      <c r="W459" s="8" t="n">
        <f aca="false">Assumptions!$B$22*K459+(1-Assumptions!$B$22)*Q459</f>
        <v>-0.176366123580745</v>
      </c>
      <c r="X459" s="8" t="n">
        <f aca="false">Assumptions!$B$23*L459+(1-Assumptions!$B$23)*R459</f>
        <v>0.0551130480534274</v>
      </c>
      <c r="Y459" s="8" t="n">
        <f aca="false">Assumptions!$B$24*M459+(1-Assumptions!$B$24)*S459</f>
        <v>0.0373454172893897</v>
      </c>
      <c r="Z459" s="6" t="n">
        <f aca="false">Assumptions!$B$27*(1+T459)</f>
        <v>303846.472282083</v>
      </c>
      <c r="AA459" s="6" t="n">
        <f aca="false">(Z459+Assumptions!$B$28)*(1+U459)</f>
        <v>415487.837124588</v>
      </c>
      <c r="AB459" s="6" t="n">
        <f aca="false">AA459*(1+V459)</f>
        <v>334880.062921018</v>
      </c>
      <c r="AC459" s="6" t="n">
        <f aca="false">AB459*(1+W459)</f>
        <v>275818.564359163</v>
      </c>
      <c r="AD459" s="6" t="n">
        <f aca="false">AC459*(1+X459)</f>
        <v>291019.766150716</v>
      </c>
      <c r="AE459" s="6" t="n">
        <f aca="false">AD459*(1+Y459)</f>
        <v>301888.020757076</v>
      </c>
      <c r="AF459" s="6" t="n">
        <f aca="false">Z459</f>
        <v>303846.472282083</v>
      </c>
      <c r="AG459" s="6" t="n">
        <f aca="false">MAX(AF459,AA459)</f>
        <v>415487.837124588</v>
      </c>
      <c r="AH459" s="6" t="n">
        <f aca="false">MAX(AG459,AB459)</f>
        <v>415487.837124588</v>
      </c>
      <c r="AI459" s="6" t="n">
        <f aca="false">MAX(AH459,AC459)</f>
        <v>415487.837124588</v>
      </c>
      <c r="AJ459" s="6" t="n">
        <f aca="false">MAX(AI459,AD459)</f>
        <v>415487.837124588</v>
      </c>
      <c r="AK459" s="6" t="n">
        <f aca="false">MAX(AJ459,AE459)</f>
        <v>415487.837124588</v>
      </c>
      <c r="AL459" s="8" t="n">
        <f aca="false">MIN(Z459/AF459-1,AA459/AG459-1,AB459/AH459-1,AC459/AI459-1,AD459/AJ459-1,AE459/AK459-1)</f>
        <v>-0.336157307833645</v>
      </c>
      <c r="AM459" s="6" t="n">
        <f aca="false">AE459-Assumptions!$B$35</f>
        <v>-139375.975905428</v>
      </c>
    </row>
    <row r="460" customFormat="false" ht="15" hidden="false" customHeight="false" outlineLevel="0" collapsed="false">
      <c r="A460" s="0" t="n">
        <f aca="false">ROW()-1</f>
        <v>459</v>
      </c>
      <c r="B460" s="0" t="str">
        <f aca="true">IF(RAND()&lt;Assumptions!$B$11,"Bull","Bear")</f>
        <v>Bull</v>
      </c>
      <c r="C460" s="0" t="str">
        <f aca="true">IF(B460="Bull",IF(RAND()&lt;Assumptions!$B$7,"Bull","Bear"),IF(RAND()&lt;Assumptions!$B$10,"Bear","Bull"))</f>
        <v>Bull</v>
      </c>
      <c r="D460" s="0" t="str">
        <f aca="true">IF(C460="Bull",IF(RAND()&lt;Assumptions!$B$7,"Bull","Bear"),IF(RAND()&lt;Assumptions!$B$10,"Bear","Bull"))</f>
        <v>Bull</v>
      </c>
      <c r="E460" s="0" t="str">
        <f aca="true">IF(D460="Bull",IF(RAND()&lt;Assumptions!$B$7,"Bull","Bear"),IF(RAND()&lt;Assumptions!$B$10,"Bear","Bull"))</f>
        <v>Bear</v>
      </c>
      <c r="F460" s="0" t="str">
        <f aca="true">IF(E460="Bull",IF(RAND()&lt;Assumptions!$B$7,"Bull","Bear"),IF(RAND()&lt;Assumptions!$B$10,"Bear","Bull"))</f>
        <v>Bull</v>
      </c>
      <c r="G460" s="0" t="str">
        <f aca="true">IF(F460="Bull",IF(RAND()&lt;Assumptions!$B$7,"Bull","Bear"),IF(RAND()&lt;Assumptions!$B$10,"Bear","Bull"))</f>
        <v>Bull</v>
      </c>
      <c r="H460" s="8" t="n">
        <f aca="true">IF(B460="Bull",NORMINV(RAND(),Assumptions!$B$5,Assumptions!$B$6),NORMINV(RAND(),Assumptions!$B$8,Assumptions!$B$9))</f>
        <v>0.111276067354776</v>
      </c>
      <c r="I460" s="8" t="n">
        <f aca="true">IF(C460="Bull",NORMINV(RAND(),Assumptions!$B$5,Assumptions!$B$6),NORMINV(RAND(),Assumptions!$B$8,Assumptions!$B$9))</f>
        <v>-0.0330318306301229</v>
      </c>
      <c r="J460" s="8" t="n">
        <f aca="true">IF(D460="Bull",NORMINV(RAND(),Assumptions!$B$5,Assumptions!$B$6),NORMINV(RAND(),Assumptions!$B$8,Assumptions!$B$9))</f>
        <v>0.495098144056244</v>
      </c>
      <c r="K460" s="8" t="n">
        <f aca="true">IF(E460="Bull",NORMINV(RAND(),Assumptions!$B$5,Assumptions!$B$6),NORMINV(RAND(),Assumptions!$B$8,Assumptions!$B$9))</f>
        <v>-0.198324979613867</v>
      </c>
      <c r="L460" s="8" t="n">
        <f aca="true">IF(F460="Bull",NORMINV(RAND(),Assumptions!$B$5,Assumptions!$B$6),NORMINV(RAND(),Assumptions!$B$8,Assumptions!$B$9))</f>
        <v>0.206527410911214</v>
      </c>
      <c r="M460" s="8" t="n">
        <f aca="true">IF(G460="Bull",NORMINV(RAND(),Assumptions!$B$5,Assumptions!$B$6),NORMINV(RAND(),Assumptions!$B$8,Assumptions!$B$9))</f>
        <v>0.141855722131591</v>
      </c>
      <c r="N460" s="8" t="n">
        <f aca="true">NORMINV(RAND(),Assumptions!$B$14,Assumptions!$B$15)</f>
        <v>0.0313567620607548</v>
      </c>
      <c r="O460" s="8" t="n">
        <f aca="true">NORMINV(RAND(),Assumptions!$B$14,Assumptions!$B$15)</f>
        <v>0.0327316559973302</v>
      </c>
      <c r="P460" s="8" t="n">
        <f aca="true">NORMINV(RAND(),Assumptions!$B$14,Assumptions!$B$15)</f>
        <v>0.018382980886462</v>
      </c>
      <c r="Q460" s="8" t="n">
        <f aca="true">NORMINV(RAND(),Assumptions!$B$14,Assumptions!$B$15)</f>
        <v>0.0726371384596057</v>
      </c>
      <c r="R460" s="8" t="n">
        <f aca="true">NORMINV(RAND(),Assumptions!$B$14,Assumptions!$B$15)</f>
        <v>0.040669902634021</v>
      </c>
      <c r="S460" s="8" t="n">
        <f aca="true">NORMINV(RAND(),Assumptions!$B$14,Assumptions!$B$15)</f>
        <v>0.0548184796596215</v>
      </c>
      <c r="T460" s="8" t="n">
        <f aca="false">Assumptions!$B$19*H460+(1-Assumptions!$B$19)*N460</f>
        <v>0.111276067354776</v>
      </c>
      <c r="U460" s="8" t="n">
        <f aca="false">Assumptions!$B$20*I460+(1-Assumptions!$B$20)*O460</f>
        <v>-0.0330318306301229</v>
      </c>
      <c r="V460" s="8" t="n">
        <f aca="false">Assumptions!$B$21*J460+(1-Assumptions!$B$21)*P460</f>
        <v>0.495098144056244</v>
      </c>
      <c r="W460" s="8" t="n">
        <f aca="false">Assumptions!$B$22*K460+(1-Assumptions!$B$22)*Q460</f>
        <v>-0.198324979613867</v>
      </c>
      <c r="X460" s="8" t="n">
        <f aca="false">Assumptions!$B$23*L460+(1-Assumptions!$B$23)*R460</f>
        <v>0.173355909255775</v>
      </c>
      <c r="Y460" s="8" t="n">
        <f aca="false">Assumptions!$B$24*M460+(1-Assumptions!$B$24)*S460</f>
        <v>0.107040825142803</v>
      </c>
      <c r="Z460" s="6" t="n">
        <f aca="false">Assumptions!$B$27*(1+T460)</f>
        <v>333382.820206433</v>
      </c>
      <c r="AA460" s="6" t="n">
        <f aca="false">(Z460+Assumptions!$B$28)*(1+U460)</f>
        <v>467415.800759863</v>
      </c>
      <c r="AB460" s="6" t="n">
        <f aca="false">AA460*(1+V460)</f>
        <v>698832.496218634</v>
      </c>
      <c r="AC460" s="6" t="n">
        <f aca="false">AB460*(1+W460)</f>
        <v>560236.555652566</v>
      </c>
      <c r="AD460" s="6" t="n">
        <f aca="false">AC460*(1+X460)</f>
        <v>657356.87315604</v>
      </c>
      <c r="AE460" s="6" t="n">
        <f aca="false">AD460*(1+Y460)</f>
        <v>727720.895271956</v>
      </c>
      <c r="AF460" s="6" t="n">
        <f aca="false">Z460</f>
        <v>333382.820206433</v>
      </c>
      <c r="AG460" s="6" t="n">
        <f aca="false">MAX(AF460,AA460)</f>
        <v>467415.800759863</v>
      </c>
      <c r="AH460" s="6" t="n">
        <f aca="false">MAX(AG460,AB460)</f>
        <v>698832.496218634</v>
      </c>
      <c r="AI460" s="6" t="n">
        <f aca="false">MAX(AH460,AC460)</f>
        <v>698832.496218634</v>
      </c>
      <c r="AJ460" s="6" t="n">
        <f aca="false">MAX(AI460,AD460)</f>
        <v>698832.496218634</v>
      </c>
      <c r="AK460" s="6" t="n">
        <f aca="false">MAX(AJ460,AE460)</f>
        <v>727720.895271956</v>
      </c>
      <c r="AL460" s="8" t="n">
        <f aca="false">MIN(Z460/AF460-1,AA460/AG460-1,AB460/AH460-1,AC460/AI460-1,AD460/AJ460-1,AE460/AK460-1)</f>
        <v>-0.198324979613867</v>
      </c>
      <c r="AM460" s="6" t="n">
        <f aca="false">AE460-Assumptions!$B$35</f>
        <v>286456.898609452</v>
      </c>
    </row>
    <row r="461" customFormat="false" ht="15" hidden="false" customHeight="false" outlineLevel="0" collapsed="false">
      <c r="A461" s="0" t="n">
        <f aca="false">ROW()-1</f>
        <v>460</v>
      </c>
      <c r="B461" s="0" t="str">
        <f aca="true">IF(RAND()&lt;Assumptions!$B$11,"Bull","Bear")</f>
        <v>Bear</v>
      </c>
      <c r="C461" s="0" t="str">
        <f aca="true">IF(B461="Bull",IF(RAND()&lt;Assumptions!$B$7,"Bull","Bear"),IF(RAND()&lt;Assumptions!$B$10,"Bear","Bull"))</f>
        <v>Bear</v>
      </c>
      <c r="D461" s="0" t="str">
        <f aca="true">IF(C461="Bull",IF(RAND()&lt;Assumptions!$B$7,"Bull","Bear"),IF(RAND()&lt;Assumptions!$B$10,"Bear","Bull"))</f>
        <v>Bull</v>
      </c>
      <c r="E461" s="0" t="str">
        <f aca="true">IF(D461="Bull",IF(RAND()&lt;Assumptions!$B$7,"Bull","Bear"),IF(RAND()&lt;Assumptions!$B$10,"Bear","Bull"))</f>
        <v>Bear</v>
      </c>
      <c r="F461" s="0" t="str">
        <f aca="true">IF(E461="Bull",IF(RAND()&lt;Assumptions!$B$7,"Bull","Bear"),IF(RAND()&lt;Assumptions!$B$10,"Bear","Bull"))</f>
        <v>Bull</v>
      </c>
      <c r="G461" s="0" t="str">
        <f aca="true">IF(F461="Bull",IF(RAND()&lt;Assumptions!$B$7,"Bull","Bear"),IF(RAND()&lt;Assumptions!$B$10,"Bear","Bull"))</f>
        <v>Bull</v>
      </c>
      <c r="H461" s="8" t="n">
        <f aca="true">IF(B461="Bull",NORMINV(RAND(),Assumptions!$B$5,Assumptions!$B$6),NORMINV(RAND(),Assumptions!$B$8,Assumptions!$B$9))</f>
        <v>-0.0468369871213953</v>
      </c>
      <c r="I461" s="8" t="n">
        <f aca="true">IF(C461="Bull",NORMINV(RAND(),Assumptions!$B$5,Assumptions!$B$6),NORMINV(RAND(),Assumptions!$B$8,Assumptions!$B$9))</f>
        <v>-0.0351758793895524</v>
      </c>
      <c r="J461" s="8" t="n">
        <f aca="true">IF(D461="Bull",NORMINV(RAND(),Assumptions!$B$5,Assumptions!$B$6),NORMINV(RAND(),Assumptions!$B$8,Assumptions!$B$9))</f>
        <v>0.0374028647140482</v>
      </c>
      <c r="K461" s="8" t="n">
        <f aca="true">IF(E461="Bull",NORMINV(RAND(),Assumptions!$B$5,Assumptions!$B$6),NORMINV(RAND(),Assumptions!$B$8,Assumptions!$B$9))</f>
        <v>-0.818461914492367</v>
      </c>
      <c r="L461" s="8" t="n">
        <f aca="true">IF(F461="Bull",NORMINV(RAND(),Assumptions!$B$5,Assumptions!$B$6),NORMINV(RAND(),Assumptions!$B$8,Assumptions!$B$9))</f>
        <v>0.103741854661859</v>
      </c>
      <c r="M461" s="8" t="n">
        <f aca="true">IF(G461="Bull",NORMINV(RAND(),Assumptions!$B$5,Assumptions!$B$6),NORMINV(RAND(),Assumptions!$B$8,Assumptions!$B$9))</f>
        <v>0.165706929893241</v>
      </c>
      <c r="N461" s="8" t="n">
        <f aca="true">NORMINV(RAND(),Assumptions!$B$14,Assumptions!$B$15)</f>
        <v>0.0266030187212315</v>
      </c>
      <c r="O461" s="8" t="n">
        <f aca="true">NORMINV(RAND(),Assumptions!$B$14,Assumptions!$B$15)</f>
        <v>0.0862200893946891</v>
      </c>
      <c r="P461" s="8" t="n">
        <f aca="true">NORMINV(RAND(),Assumptions!$B$14,Assumptions!$B$15)</f>
        <v>0.0775061602801677</v>
      </c>
      <c r="Q461" s="8" t="n">
        <f aca="true">NORMINV(RAND(),Assumptions!$B$14,Assumptions!$B$15)</f>
        <v>0.0811981790504885</v>
      </c>
      <c r="R461" s="8" t="n">
        <f aca="true">NORMINV(RAND(),Assumptions!$B$14,Assumptions!$B$15)</f>
        <v>0.0188899137001517</v>
      </c>
      <c r="S461" s="8" t="n">
        <f aca="true">NORMINV(RAND(),Assumptions!$B$14,Assumptions!$B$15)</f>
        <v>0.0119306671631102</v>
      </c>
      <c r="T461" s="8" t="n">
        <f aca="false">Assumptions!$B$19*H461+(1-Assumptions!$B$19)*N461</f>
        <v>-0.0468369871213953</v>
      </c>
      <c r="U461" s="8" t="n">
        <f aca="false">Assumptions!$B$20*I461+(1-Assumptions!$B$20)*O461</f>
        <v>-0.0351758793895524</v>
      </c>
      <c r="V461" s="8" t="n">
        <f aca="false">Assumptions!$B$21*J461+(1-Assumptions!$B$21)*P461</f>
        <v>0.0374028647140482</v>
      </c>
      <c r="W461" s="8" t="n">
        <f aca="false">Assumptions!$B$22*K461+(1-Assumptions!$B$22)*Q461</f>
        <v>-0.818461914492367</v>
      </c>
      <c r="X461" s="8" t="n">
        <f aca="false">Assumptions!$B$23*L461+(1-Assumptions!$B$23)*R461</f>
        <v>0.0867714664695172</v>
      </c>
      <c r="Y461" s="8" t="n">
        <f aca="false">Assumptions!$B$24*M461+(1-Assumptions!$B$24)*S461</f>
        <v>0.104196424801189</v>
      </c>
      <c r="Z461" s="6" t="n">
        <f aca="false">Assumptions!$B$27*(1+T461)</f>
        <v>285948.903863581</v>
      </c>
      <c r="AA461" s="6" t="n">
        <f aca="false">(Z461+Assumptions!$B$28)*(1+U461)</f>
        <v>420614.017801269</v>
      </c>
      <c r="AB461" s="6" t="n">
        <f aca="false">AA461*(1+V461)</f>
        <v>436346.187005922</v>
      </c>
      <c r="AC461" s="6" t="n">
        <f aca="false">AB461*(1+W461)</f>
        <v>79213.4514076108</v>
      </c>
      <c r="AD461" s="6" t="n">
        <f aca="false">AC461*(1+X461)</f>
        <v>86086.918750361</v>
      </c>
      <c r="AE461" s="6" t="n">
        <f aca="false">AD461*(1+Y461)</f>
        <v>95056.867906299</v>
      </c>
      <c r="AF461" s="6" t="n">
        <f aca="false">Z461</f>
        <v>285948.903863581</v>
      </c>
      <c r="AG461" s="6" t="n">
        <f aca="false">MAX(AF461,AA461)</f>
        <v>420614.017801269</v>
      </c>
      <c r="AH461" s="6" t="n">
        <f aca="false">MAX(AG461,AB461)</f>
        <v>436346.187005922</v>
      </c>
      <c r="AI461" s="6" t="n">
        <f aca="false">MAX(AH461,AC461)</f>
        <v>436346.187005922</v>
      </c>
      <c r="AJ461" s="6" t="n">
        <f aca="false">MAX(AI461,AD461)</f>
        <v>436346.187005922</v>
      </c>
      <c r="AK461" s="6" t="n">
        <f aca="false">MAX(AJ461,AE461)</f>
        <v>436346.187005922</v>
      </c>
      <c r="AL461" s="8" t="n">
        <f aca="false">MIN(Z461/AF461-1,AA461/AG461-1,AB461/AH461-1,AC461/AI461-1,AD461/AJ461-1,AE461/AK461-1)</f>
        <v>-0.818461914492367</v>
      </c>
      <c r="AM461" s="6" t="n">
        <f aca="false">AE461-Assumptions!$B$35</f>
        <v>-346207.128756205</v>
      </c>
    </row>
    <row r="462" customFormat="false" ht="15" hidden="false" customHeight="false" outlineLevel="0" collapsed="false">
      <c r="A462" s="0" t="n">
        <f aca="false">ROW()-1</f>
        <v>461</v>
      </c>
      <c r="B462" s="0" t="str">
        <f aca="true">IF(RAND()&lt;Assumptions!$B$11,"Bull","Bear")</f>
        <v>Bull</v>
      </c>
      <c r="C462" s="0" t="str">
        <f aca="true">IF(B462="Bull",IF(RAND()&lt;Assumptions!$B$7,"Bull","Bear"),IF(RAND()&lt;Assumptions!$B$10,"Bear","Bull"))</f>
        <v>Bear</v>
      </c>
      <c r="D462" s="0" t="str">
        <f aca="true">IF(C462="Bull",IF(RAND()&lt;Assumptions!$B$7,"Bull","Bear"),IF(RAND()&lt;Assumptions!$B$10,"Bear","Bull"))</f>
        <v>Bull</v>
      </c>
      <c r="E462" s="0" t="str">
        <f aca="true">IF(D462="Bull",IF(RAND()&lt;Assumptions!$B$7,"Bull","Bear"),IF(RAND()&lt;Assumptions!$B$10,"Bear","Bull"))</f>
        <v>Bull</v>
      </c>
      <c r="F462" s="0" t="str">
        <f aca="true">IF(E462="Bull",IF(RAND()&lt;Assumptions!$B$7,"Bull","Bear"),IF(RAND()&lt;Assumptions!$B$10,"Bear","Bull"))</f>
        <v>Bull</v>
      </c>
      <c r="G462" s="0" t="str">
        <f aca="true">IF(F462="Bull",IF(RAND()&lt;Assumptions!$B$7,"Bull","Bear"),IF(RAND()&lt;Assumptions!$B$10,"Bear","Bull"))</f>
        <v>Bear</v>
      </c>
      <c r="H462" s="8" t="n">
        <f aca="true">IF(B462="Bull",NORMINV(RAND(),Assumptions!$B$5,Assumptions!$B$6),NORMINV(RAND(),Assumptions!$B$8,Assumptions!$B$9))</f>
        <v>0.0488934020592444</v>
      </c>
      <c r="I462" s="8" t="n">
        <f aca="true">IF(C462="Bull",NORMINV(RAND(),Assumptions!$B$5,Assumptions!$B$6),NORMINV(RAND(),Assumptions!$B$8,Assumptions!$B$9))</f>
        <v>-0.0564597646917755</v>
      </c>
      <c r="J462" s="8" t="n">
        <f aca="true">IF(D462="Bull",NORMINV(RAND(),Assumptions!$B$5,Assumptions!$B$6),NORMINV(RAND(),Assumptions!$B$8,Assumptions!$B$9))</f>
        <v>0.398962884524336</v>
      </c>
      <c r="K462" s="8" t="n">
        <f aca="true">IF(E462="Bull",NORMINV(RAND(),Assumptions!$B$5,Assumptions!$B$6),NORMINV(RAND(),Assumptions!$B$8,Assumptions!$B$9))</f>
        <v>0.110129351108162</v>
      </c>
      <c r="L462" s="8" t="n">
        <f aca="true">IF(F462="Bull",NORMINV(RAND(),Assumptions!$B$5,Assumptions!$B$6),NORMINV(RAND(),Assumptions!$B$8,Assumptions!$B$9))</f>
        <v>0.31404381702105</v>
      </c>
      <c r="M462" s="8" t="n">
        <f aca="true">IF(G462="Bull",NORMINV(RAND(),Assumptions!$B$5,Assumptions!$B$6),NORMINV(RAND(),Assumptions!$B$8,Assumptions!$B$9))</f>
        <v>-0.0551313011551731</v>
      </c>
      <c r="N462" s="8" t="n">
        <f aca="true">NORMINV(RAND(),Assumptions!$B$14,Assumptions!$B$15)</f>
        <v>0.0368510185430535</v>
      </c>
      <c r="O462" s="8" t="n">
        <f aca="true">NORMINV(RAND(),Assumptions!$B$14,Assumptions!$B$15)</f>
        <v>0.0350630171344264</v>
      </c>
      <c r="P462" s="8" t="n">
        <f aca="true">NORMINV(RAND(),Assumptions!$B$14,Assumptions!$B$15)</f>
        <v>0.03254224106459</v>
      </c>
      <c r="Q462" s="8" t="n">
        <f aca="true">NORMINV(RAND(),Assumptions!$B$14,Assumptions!$B$15)</f>
        <v>0.0624475534894666</v>
      </c>
      <c r="R462" s="8" t="n">
        <f aca="true">NORMINV(RAND(),Assumptions!$B$14,Assumptions!$B$15)</f>
        <v>0.031142305205437</v>
      </c>
      <c r="S462" s="8" t="n">
        <f aca="true">NORMINV(RAND(),Assumptions!$B$14,Assumptions!$B$15)</f>
        <v>0.0210744807899264</v>
      </c>
      <c r="T462" s="8" t="n">
        <f aca="false">Assumptions!$B$19*H462+(1-Assumptions!$B$19)*N462</f>
        <v>0.0488934020592444</v>
      </c>
      <c r="U462" s="8" t="n">
        <f aca="false">Assumptions!$B$20*I462+(1-Assumptions!$B$20)*O462</f>
        <v>-0.0564597646917755</v>
      </c>
      <c r="V462" s="8" t="n">
        <f aca="false">Assumptions!$B$21*J462+(1-Assumptions!$B$21)*P462</f>
        <v>0.398962884524336</v>
      </c>
      <c r="W462" s="8" t="n">
        <f aca="false">Assumptions!$B$22*K462+(1-Assumptions!$B$22)*Q462</f>
        <v>0.110129351108162</v>
      </c>
      <c r="X462" s="8" t="n">
        <f aca="false">Assumptions!$B$23*L462+(1-Assumptions!$B$23)*R462</f>
        <v>0.257463514657928</v>
      </c>
      <c r="Y462" s="8" t="n">
        <f aca="false">Assumptions!$B$24*M462+(1-Assumptions!$B$24)*S462</f>
        <v>-0.0246489883771333</v>
      </c>
      <c r="Z462" s="6" t="n">
        <f aca="false">Assumptions!$B$27*(1+T462)</f>
        <v>314668.020617773</v>
      </c>
      <c r="AA462" s="6" t="n">
        <f aca="false">(Z462+Assumptions!$B$28)*(1+U462)</f>
        <v>438432.973513901</v>
      </c>
      <c r="AB462" s="6" t="n">
        <f aca="false">AA462*(1+V462)</f>
        <v>613351.457297588</v>
      </c>
      <c r="AC462" s="6" t="n">
        <f aca="false">AB462*(1+W462)</f>
        <v>680899.455291017</v>
      </c>
      <c r="AD462" s="6" t="n">
        <f aca="false">AC462*(1+X462)</f>
        <v>856206.222178911</v>
      </c>
      <c r="AE462" s="6" t="n">
        <f aca="false">AD462*(1+Y462)</f>
        <v>835101.604959994</v>
      </c>
      <c r="AF462" s="6" t="n">
        <f aca="false">Z462</f>
        <v>314668.020617773</v>
      </c>
      <c r="AG462" s="6" t="n">
        <f aca="false">MAX(AF462,AA462)</f>
        <v>438432.973513901</v>
      </c>
      <c r="AH462" s="6" t="n">
        <f aca="false">MAX(AG462,AB462)</f>
        <v>613351.457297588</v>
      </c>
      <c r="AI462" s="6" t="n">
        <f aca="false">MAX(AH462,AC462)</f>
        <v>680899.455291017</v>
      </c>
      <c r="AJ462" s="6" t="n">
        <f aca="false">MAX(AI462,AD462)</f>
        <v>856206.222178911</v>
      </c>
      <c r="AK462" s="6" t="n">
        <f aca="false">MAX(AJ462,AE462)</f>
        <v>856206.222178911</v>
      </c>
      <c r="AL462" s="8" t="n">
        <f aca="false">MIN(Z462/AF462-1,AA462/AG462-1,AB462/AH462-1,AC462/AI462-1,AD462/AJ462-1,AE462/AK462-1)</f>
        <v>-0.0246489883771334</v>
      </c>
      <c r="AM462" s="6" t="n">
        <f aca="false">AE462-Assumptions!$B$35</f>
        <v>393837.60829749</v>
      </c>
    </row>
    <row r="463" customFormat="false" ht="15" hidden="false" customHeight="false" outlineLevel="0" collapsed="false">
      <c r="A463" s="0" t="n">
        <f aca="false">ROW()-1</f>
        <v>462</v>
      </c>
      <c r="B463" s="0" t="str">
        <f aca="true">IF(RAND()&lt;Assumptions!$B$11,"Bull","Bear")</f>
        <v>Bull</v>
      </c>
      <c r="C463" s="0" t="str">
        <f aca="true">IF(B463="Bull",IF(RAND()&lt;Assumptions!$B$7,"Bull","Bear"),IF(RAND()&lt;Assumptions!$B$10,"Bear","Bull"))</f>
        <v>Bull</v>
      </c>
      <c r="D463" s="0" t="str">
        <f aca="true">IF(C463="Bull",IF(RAND()&lt;Assumptions!$B$7,"Bull","Bear"),IF(RAND()&lt;Assumptions!$B$10,"Bear","Bull"))</f>
        <v>Bear</v>
      </c>
      <c r="E463" s="0" t="str">
        <f aca="true">IF(D463="Bull",IF(RAND()&lt;Assumptions!$B$7,"Bull","Bear"),IF(RAND()&lt;Assumptions!$B$10,"Bear","Bull"))</f>
        <v>Bull</v>
      </c>
      <c r="F463" s="0" t="str">
        <f aca="true">IF(E463="Bull",IF(RAND()&lt;Assumptions!$B$7,"Bull","Bear"),IF(RAND()&lt;Assumptions!$B$10,"Bear","Bull"))</f>
        <v>Bull</v>
      </c>
      <c r="G463" s="0" t="str">
        <f aca="true">IF(F463="Bull",IF(RAND()&lt;Assumptions!$B$7,"Bull","Bear"),IF(RAND()&lt;Assumptions!$B$10,"Bear","Bull"))</f>
        <v>Bull</v>
      </c>
      <c r="H463" s="8" t="n">
        <f aca="true">IF(B463="Bull",NORMINV(RAND(),Assumptions!$B$5,Assumptions!$B$6),NORMINV(RAND(),Assumptions!$B$8,Assumptions!$B$9))</f>
        <v>0.264472994027291</v>
      </c>
      <c r="I463" s="8" t="n">
        <f aca="true">IF(C463="Bull",NORMINV(RAND(),Assumptions!$B$5,Assumptions!$B$6),NORMINV(RAND(),Assumptions!$B$8,Assumptions!$B$9))</f>
        <v>0.179492456240193</v>
      </c>
      <c r="J463" s="8" t="n">
        <f aca="true">IF(D463="Bull",NORMINV(RAND(),Assumptions!$B$5,Assumptions!$B$6),NORMINV(RAND(),Assumptions!$B$8,Assumptions!$B$9))</f>
        <v>0.18739873693813</v>
      </c>
      <c r="K463" s="8" t="n">
        <f aca="true">IF(E463="Bull",NORMINV(RAND(),Assumptions!$B$5,Assumptions!$B$6),NORMINV(RAND(),Assumptions!$B$8,Assumptions!$B$9))</f>
        <v>0.0917048337093335</v>
      </c>
      <c r="L463" s="8" t="n">
        <f aca="true">IF(F463="Bull",NORMINV(RAND(),Assumptions!$B$5,Assumptions!$B$6),NORMINV(RAND(),Assumptions!$B$8,Assumptions!$B$9))</f>
        <v>0.135809409784236</v>
      </c>
      <c r="M463" s="8" t="n">
        <f aca="true">IF(G463="Bull",NORMINV(RAND(),Assumptions!$B$5,Assumptions!$B$6),NORMINV(RAND(),Assumptions!$B$8,Assumptions!$B$9))</f>
        <v>0.222714908586852</v>
      </c>
      <c r="N463" s="8" t="n">
        <f aca="true">NORMINV(RAND(),Assumptions!$B$14,Assumptions!$B$15)</f>
        <v>0.0329134312428163</v>
      </c>
      <c r="O463" s="8" t="n">
        <f aca="true">NORMINV(RAND(),Assumptions!$B$14,Assumptions!$B$15)</f>
        <v>0.0441517812552183</v>
      </c>
      <c r="P463" s="8" t="n">
        <f aca="true">NORMINV(RAND(),Assumptions!$B$14,Assumptions!$B$15)</f>
        <v>0.0303576734323673</v>
      </c>
      <c r="Q463" s="8" t="n">
        <f aca="true">NORMINV(RAND(),Assumptions!$B$14,Assumptions!$B$15)</f>
        <v>0.0269974026152263</v>
      </c>
      <c r="R463" s="8" t="n">
        <f aca="true">NORMINV(RAND(),Assumptions!$B$14,Assumptions!$B$15)</f>
        <v>0.0381100984873148</v>
      </c>
      <c r="S463" s="8" t="n">
        <f aca="true">NORMINV(RAND(),Assumptions!$B$14,Assumptions!$B$15)</f>
        <v>0.0432283768010623</v>
      </c>
      <c r="T463" s="8" t="n">
        <f aca="false">Assumptions!$B$19*H463+(1-Assumptions!$B$19)*N463</f>
        <v>0.264472994027291</v>
      </c>
      <c r="U463" s="8" t="n">
        <f aca="false">Assumptions!$B$20*I463+(1-Assumptions!$B$20)*O463</f>
        <v>0.179492456240193</v>
      </c>
      <c r="V463" s="8" t="n">
        <f aca="false">Assumptions!$B$21*J463+(1-Assumptions!$B$21)*P463</f>
        <v>0.18739873693813</v>
      </c>
      <c r="W463" s="8" t="n">
        <f aca="false">Assumptions!$B$22*K463+(1-Assumptions!$B$22)*Q463</f>
        <v>0.0917048337093335</v>
      </c>
      <c r="X463" s="8" t="n">
        <f aca="false">Assumptions!$B$23*L463+(1-Assumptions!$B$23)*R463</f>
        <v>0.116269547524852</v>
      </c>
      <c r="Y463" s="8" t="n">
        <f aca="false">Assumptions!$B$24*M463+(1-Assumptions!$B$24)*S463</f>
        <v>0.150920295872536</v>
      </c>
      <c r="Z463" s="6" t="n">
        <f aca="false">Assumptions!$B$27*(1+T463)</f>
        <v>379341.898208187</v>
      </c>
      <c r="AA463" s="6" t="n">
        <f aca="false">(Z463+Assumptions!$B$28)*(1+U463)</f>
        <v>624354.775708421</v>
      </c>
      <c r="AB463" s="6" t="n">
        <f aca="false">AA463*(1+V463)</f>
        <v>741358.072077469</v>
      </c>
      <c r="AC463" s="6" t="n">
        <f aca="false">AB463*(1+W463)</f>
        <v>809344.190796405</v>
      </c>
      <c r="AD463" s="6" t="n">
        <f aca="false">AC463*(1+X463)</f>
        <v>903446.27365217</v>
      </c>
      <c r="AE463" s="6" t="n">
        <f aca="false">AD463*(1+Y463)</f>
        <v>1039794.6525767</v>
      </c>
      <c r="AF463" s="6" t="n">
        <f aca="false">Z463</f>
        <v>379341.898208187</v>
      </c>
      <c r="AG463" s="6" t="n">
        <f aca="false">MAX(AF463,AA463)</f>
        <v>624354.775708421</v>
      </c>
      <c r="AH463" s="6" t="n">
        <f aca="false">MAX(AG463,AB463)</f>
        <v>741358.072077469</v>
      </c>
      <c r="AI463" s="6" t="n">
        <f aca="false">MAX(AH463,AC463)</f>
        <v>809344.190796405</v>
      </c>
      <c r="AJ463" s="6" t="n">
        <f aca="false">MAX(AI463,AD463)</f>
        <v>903446.27365217</v>
      </c>
      <c r="AK463" s="6" t="n">
        <f aca="false">MAX(AJ463,AE463)</f>
        <v>1039794.6525767</v>
      </c>
      <c r="AL463" s="8" t="n">
        <f aca="false">MIN(Z463/AF463-1,AA463/AG463-1,AB463/AH463-1,AC463/AI463-1,AD463/AJ463-1,AE463/AK463-1)</f>
        <v>0</v>
      </c>
      <c r="AM463" s="6" t="n">
        <f aca="false">AE463-Assumptions!$B$35</f>
        <v>598530.655914193</v>
      </c>
    </row>
    <row r="464" customFormat="false" ht="15" hidden="false" customHeight="false" outlineLevel="0" collapsed="false">
      <c r="A464" s="0" t="n">
        <f aca="false">ROW()-1</f>
        <v>463</v>
      </c>
      <c r="B464" s="0" t="str">
        <f aca="true">IF(RAND()&lt;Assumptions!$B$11,"Bull","Bear")</f>
        <v>Bull</v>
      </c>
      <c r="C464" s="0" t="str">
        <f aca="true">IF(B464="Bull",IF(RAND()&lt;Assumptions!$B$7,"Bull","Bear"),IF(RAND()&lt;Assumptions!$B$10,"Bear","Bull"))</f>
        <v>Bull</v>
      </c>
      <c r="D464" s="0" t="str">
        <f aca="true">IF(C464="Bull",IF(RAND()&lt;Assumptions!$B$7,"Bull","Bear"),IF(RAND()&lt;Assumptions!$B$10,"Bear","Bull"))</f>
        <v>Bull</v>
      </c>
      <c r="E464" s="0" t="str">
        <f aca="true">IF(D464="Bull",IF(RAND()&lt;Assumptions!$B$7,"Bull","Bear"),IF(RAND()&lt;Assumptions!$B$10,"Bear","Bull"))</f>
        <v>Bull</v>
      </c>
      <c r="F464" s="0" t="str">
        <f aca="true">IF(E464="Bull",IF(RAND()&lt;Assumptions!$B$7,"Bull","Bear"),IF(RAND()&lt;Assumptions!$B$10,"Bear","Bull"))</f>
        <v>Bull</v>
      </c>
      <c r="G464" s="0" t="str">
        <f aca="true">IF(F464="Bull",IF(RAND()&lt;Assumptions!$B$7,"Bull","Bear"),IF(RAND()&lt;Assumptions!$B$10,"Bear","Bull"))</f>
        <v>Bull</v>
      </c>
      <c r="H464" s="8" t="n">
        <f aca="true">IF(B464="Bull",NORMINV(RAND(),Assumptions!$B$5,Assumptions!$B$6),NORMINV(RAND(),Assumptions!$B$8,Assumptions!$B$9))</f>
        <v>0.174143490870168</v>
      </c>
      <c r="I464" s="8" t="n">
        <f aca="true">IF(C464="Bull",NORMINV(RAND(),Assumptions!$B$5,Assumptions!$B$6),NORMINV(RAND(),Assumptions!$B$8,Assumptions!$B$9))</f>
        <v>0.242772636732467</v>
      </c>
      <c r="J464" s="8" t="n">
        <f aca="true">IF(D464="Bull",NORMINV(RAND(),Assumptions!$B$5,Assumptions!$B$6),NORMINV(RAND(),Assumptions!$B$8,Assumptions!$B$9))</f>
        <v>0.166013564378582</v>
      </c>
      <c r="K464" s="8" t="n">
        <f aca="true">IF(E464="Bull",NORMINV(RAND(),Assumptions!$B$5,Assumptions!$B$6),NORMINV(RAND(),Assumptions!$B$8,Assumptions!$B$9))</f>
        <v>0.330581342119329</v>
      </c>
      <c r="L464" s="8" t="n">
        <f aca="true">IF(F464="Bull",NORMINV(RAND(),Assumptions!$B$5,Assumptions!$B$6),NORMINV(RAND(),Assumptions!$B$8,Assumptions!$B$9))</f>
        <v>0.0884864134235967</v>
      </c>
      <c r="M464" s="8" t="n">
        <f aca="true">IF(G464="Bull",NORMINV(RAND(),Assumptions!$B$5,Assumptions!$B$6),NORMINV(RAND(),Assumptions!$B$8,Assumptions!$B$9))</f>
        <v>0.254258370874968</v>
      </c>
      <c r="N464" s="8" t="n">
        <f aca="true">NORMINV(RAND(),Assumptions!$B$14,Assumptions!$B$15)</f>
        <v>-0.00273091860288616</v>
      </c>
      <c r="O464" s="8" t="n">
        <f aca="true">NORMINV(RAND(),Assumptions!$B$14,Assumptions!$B$15)</f>
        <v>0.0489972831004927</v>
      </c>
      <c r="P464" s="8" t="n">
        <f aca="true">NORMINV(RAND(),Assumptions!$B$14,Assumptions!$B$15)</f>
        <v>0.0321447571767998</v>
      </c>
      <c r="Q464" s="8" t="n">
        <f aca="true">NORMINV(RAND(),Assumptions!$B$14,Assumptions!$B$15)</f>
        <v>0.0417115075320557</v>
      </c>
      <c r="R464" s="8" t="n">
        <f aca="true">NORMINV(RAND(),Assumptions!$B$14,Assumptions!$B$15)</f>
        <v>0.0389734366428025</v>
      </c>
      <c r="S464" s="8" t="n">
        <f aca="true">NORMINV(RAND(),Assumptions!$B$14,Assumptions!$B$15)</f>
        <v>0.062481535607677</v>
      </c>
      <c r="T464" s="8" t="n">
        <f aca="false">Assumptions!$B$19*H464+(1-Assumptions!$B$19)*N464</f>
        <v>0.174143490870168</v>
      </c>
      <c r="U464" s="8" t="n">
        <f aca="false">Assumptions!$B$20*I464+(1-Assumptions!$B$20)*O464</f>
        <v>0.242772636732467</v>
      </c>
      <c r="V464" s="8" t="n">
        <f aca="false">Assumptions!$B$21*J464+(1-Assumptions!$B$21)*P464</f>
        <v>0.166013564378582</v>
      </c>
      <c r="W464" s="8" t="n">
        <f aca="false">Assumptions!$B$22*K464+(1-Assumptions!$B$22)*Q464</f>
        <v>0.330581342119329</v>
      </c>
      <c r="X464" s="8" t="n">
        <f aca="false">Assumptions!$B$23*L464+(1-Assumptions!$B$23)*R464</f>
        <v>0.0785838180674378</v>
      </c>
      <c r="Y464" s="8" t="n">
        <f aca="false">Assumptions!$B$24*M464+(1-Assumptions!$B$24)*S464</f>
        <v>0.177547636768052</v>
      </c>
      <c r="Z464" s="6" t="n">
        <f aca="false">Assumptions!$B$27*(1+T464)</f>
        <v>352243.047261051</v>
      </c>
      <c r="AA464" s="6" t="n">
        <f aca="false">(Z464+Assumptions!$B$28)*(1+U464)</f>
        <v>624173.916125165</v>
      </c>
      <c r="AB464" s="6" t="n">
        <f aca="false">AA464*(1+V464)</f>
        <v>727795.252733242</v>
      </c>
      <c r="AC464" s="6" t="n">
        <f aca="false">AB464*(1+W464)</f>
        <v>968390.784169874</v>
      </c>
      <c r="AD464" s="6" t="n">
        <f aca="false">AC464*(1+X464)</f>
        <v>1044490.62937126</v>
      </c>
      <c r="AE464" s="6" t="n">
        <f aca="false">AD464*(1+Y464)</f>
        <v>1229937.47224251</v>
      </c>
      <c r="AF464" s="6" t="n">
        <f aca="false">Z464</f>
        <v>352243.047261051</v>
      </c>
      <c r="AG464" s="6" t="n">
        <f aca="false">MAX(AF464,AA464)</f>
        <v>624173.916125165</v>
      </c>
      <c r="AH464" s="6" t="n">
        <f aca="false">MAX(AG464,AB464)</f>
        <v>727795.252733242</v>
      </c>
      <c r="AI464" s="6" t="n">
        <f aca="false">MAX(AH464,AC464)</f>
        <v>968390.784169874</v>
      </c>
      <c r="AJ464" s="6" t="n">
        <f aca="false">MAX(AI464,AD464)</f>
        <v>1044490.62937126</v>
      </c>
      <c r="AK464" s="6" t="n">
        <f aca="false">MAX(AJ464,AE464)</f>
        <v>1229937.47224251</v>
      </c>
      <c r="AL464" s="8" t="n">
        <f aca="false">MIN(Z464/AF464-1,AA464/AG464-1,AB464/AH464-1,AC464/AI464-1,AD464/AJ464-1,AE464/AK464-1)</f>
        <v>0</v>
      </c>
      <c r="AM464" s="6" t="n">
        <f aca="false">AE464-Assumptions!$B$35</f>
        <v>788673.475580002</v>
      </c>
    </row>
    <row r="465" customFormat="false" ht="15" hidden="false" customHeight="false" outlineLevel="0" collapsed="false">
      <c r="A465" s="0" t="n">
        <f aca="false">ROW()-1</f>
        <v>464</v>
      </c>
      <c r="B465" s="0" t="str">
        <f aca="true">IF(RAND()&lt;Assumptions!$B$11,"Bull","Bear")</f>
        <v>Bear</v>
      </c>
      <c r="C465" s="0" t="str">
        <f aca="true">IF(B465="Bull",IF(RAND()&lt;Assumptions!$B$7,"Bull","Bear"),IF(RAND()&lt;Assumptions!$B$10,"Bear","Bull"))</f>
        <v>Bull</v>
      </c>
      <c r="D465" s="0" t="str">
        <f aca="true">IF(C465="Bull",IF(RAND()&lt;Assumptions!$B$7,"Bull","Bear"),IF(RAND()&lt;Assumptions!$B$10,"Bear","Bull"))</f>
        <v>Bull</v>
      </c>
      <c r="E465" s="0" t="str">
        <f aca="true">IF(D465="Bull",IF(RAND()&lt;Assumptions!$B$7,"Bull","Bear"),IF(RAND()&lt;Assumptions!$B$10,"Bear","Bull"))</f>
        <v>Bear</v>
      </c>
      <c r="F465" s="0" t="str">
        <f aca="true">IF(E465="Bull",IF(RAND()&lt;Assumptions!$B$7,"Bull","Bear"),IF(RAND()&lt;Assumptions!$B$10,"Bear","Bull"))</f>
        <v>Bear</v>
      </c>
      <c r="G465" s="0" t="str">
        <f aca="true">IF(F465="Bull",IF(RAND()&lt;Assumptions!$B$7,"Bull","Bear"),IF(RAND()&lt;Assumptions!$B$10,"Bear","Bull"))</f>
        <v>Bear</v>
      </c>
      <c r="H465" s="8" t="n">
        <f aca="true">IF(B465="Bull",NORMINV(RAND(),Assumptions!$B$5,Assumptions!$B$6),NORMINV(RAND(),Assumptions!$B$8,Assumptions!$B$9))</f>
        <v>-0.243759512808042</v>
      </c>
      <c r="I465" s="8" t="n">
        <f aca="true">IF(C465="Bull",NORMINV(RAND(),Assumptions!$B$5,Assumptions!$B$6),NORMINV(RAND(),Assumptions!$B$8,Assumptions!$B$9))</f>
        <v>0.260671383047316</v>
      </c>
      <c r="J465" s="8" t="n">
        <f aca="true">IF(D465="Bull",NORMINV(RAND(),Assumptions!$B$5,Assumptions!$B$6),NORMINV(RAND(),Assumptions!$B$8,Assumptions!$B$9))</f>
        <v>0.0934009493472625</v>
      </c>
      <c r="K465" s="8" t="n">
        <f aca="true">IF(E465="Bull",NORMINV(RAND(),Assumptions!$B$5,Assumptions!$B$6),NORMINV(RAND(),Assumptions!$B$8,Assumptions!$B$9))</f>
        <v>-0.281817962769836</v>
      </c>
      <c r="L465" s="8" t="n">
        <f aca="true">IF(F465="Bull",NORMINV(RAND(),Assumptions!$B$5,Assumptions!$B$6),NORMINV(RAND(),Assumptions!$B$8,Assumptions!$B$9))</f>
        <v>-0.142679228113641</v>
      </c>
      <c r="M465" s="8" t="n">
        <f aca="true">IF(G465="Bull",NORMINV(RAND(),Assumptions!$B$5,Assumptions!$B$6),NORMINV(RAND(),Assumptions!$B$8,Assumptions!$B$9))</f>
        <v>-0.189164484807438</v>
      </c>
      <c r="N465" s="8" t="n">
        <f aca="true">NORMINV(RAND(),Assumptions!$B$14,Assumptions!$B$15)</f>
        <v>0.0396593847470977</v>
      </c>
      <c r="O465" s="8" t="n">
        <f aca="true">NORMINV(RAND(),Assumptions!$B$14,Assumptions!$B$15)</f>
        <v>0.0769893412928894</v>
      </c>
      <c r="P465" s="8" t="n">
        <f aca="true">NORMINV(RAND(),Assumptions!$B$14,Assumptions!$B$15)</f>
        <v>0.0165474054633602</v>
      </c>
      <c r="Q465" s="8" t="n">
        <f aca="true">NORMINV(RAND(),Assumptions!$B$14,Assumptions!$B$15)</f>
        <v>0.071967909715784</v>
      </c>
      <c r="R465" s="8" t="n">
        <f aca="true">NORMINV(RAND(),Assumptions!$B$14,Assumptions!$B$15)</f>
        <v>0.0165893412312269</v>
      </c>
      <c r="S465" s="8" t="n">
        <f aca="true">NORMINV(RAND(),Assumptions!$B$14,Assumptions!$B$15)</f>
        <v>0.0788732702600366</v>
      </c>
      <c r="T465" s="8" t="n">
        <f aca="false">Assumptions!$B$19*H465+(1-Assumptions!$B$19)*N465</f>
        <v>-0.243759512808042</v>
      </c>
      <c r="U465" s="8" t="n">
        <f aca="false">Assumptions!$B$20*I465+(1-Assumptions!$B$20)*O465</f>
        <v>0.260671383047316</v>
      </c>
      <c r="V465" s="8" t="n">
        <f aca="false">Assumptions!$B$21*J465+(1-Assumptions!$B$21)*P465</f>
        <v>0.0934009493472625</v>
      </c>
      <c r="W465" s="8" t="n">
        <f aca="false">Assumptions!$B$22*K465+(1-Assumptions!$B$22)*Q465</f>
        <v>-0.281817962769836</v>
      </c>
      <c r="X465" s="8" t="n">
        <f aca="false">Assumptions!$B$23*L465+(1-Assumptions!$B$23)*R465</f>
        <v>-0.110825514244667</v>
      </c>
      <c r="Y465" s="8" t="n">
        <f aca="false">Assumptions!$B$24*M465+(1-Assumptions!$B$24)*S465</f>
        <v>-0.0819493827804479</v>
      </c>
      <c r="Z465" s="6" t="n">
        <f aca="false">Assumptions!$B$27*(1+T465)</f>
        <v>226872.146157587</v>
      </c>
      <c r="AA465" s="6" t="n">
        <f aca="false">(Z465+Assumptions!$B$28)*(1+U465)</f>
        <v>475111.929728496</v>
      </c>
      <c r="AB465" s="6" t="n">
        <f aca="false">AA465*(1+V465)</f>
        <v>519487.835011347</v>
      </c>
      <c r="AC465" s="6" t="n">
        <f aca="false">AB465*(1+W465)</f>
        <v>373086.831664736</v>
      </c>
      <c r="AD465" s="6" t="n">
        <f aca="false">AC465*(1+X465)</f>
        <v>331739.291687579</v>
      </c>
      <c r="AE465" s="6" t="n">
        <f aca="false">AD465*(1+Y465)</f>
        <v>304553.461489758</v>
      </c>
      <c r="AF465" s="6" t="n">
        <f aca="false">Z465</f>
        <v>226872.146157587</v>
      </c>
      <c r="AG465" s="6" t="n">
        <f aca="false">MAX(AF465,AA465)</f>
        <v>475111.929728496</v>
      </c>
      <c r="AH465" s="6" t="n">
        <f aca="false">MAX(AG465,AB465)</f>
        <v>519487.835011347</v>
      </c>
      <c r="AI465" s="6" t="n">
        <f aca="false">MAX(AH465,AC465)</f>
        <v>519487.835011347</v>
      </c>
      <c r="AJ465" s="6" t="n">
        <f aca="false">MAX(AI465,AD465)</f>
        <v>519487.835011347</v>
      </c>
      <c r="AK465" s="6" t="n">
        <f aca="false">MAX(AJ465,AE465)</f>
        <v>519487.835011347</v>
      </c>
      <c r="AL465" s="8" t="n">
        <f aca="false">MIN(Z465/AF465-1,AA465/AG465-1,AB465/AH465-1,AC465/AI465-1,AD465/AJ465-1,AE465/AK465-1)</f>
        <v>-0.413742842538159</v>
      </c>
      <c r="AM465" s="6" t="n">
        <f aca="false">AE465-Assumptions!$B$35</f>
        <v>-136710.535172745</v>
      </c>
    </row>
    <row r="466" customFormat="false" ht="15" hidden="false" customHeight="false" outlineLevel="0" collapsed="false">
      <c r="A466" s="0" t="n">
        <f aca="false">ROW()-1</f>
        <v>465</v>
      </c>
      <c r="B466" s="0" t="str">
        <f aca="true">IF(RAND()&lt;Assumptions!$B$11,"Bull","Bear")</f>
        <v>Bear</v>
      </c>
      <c r="C466" s="0" t="str">
        <f aca="true">IF(B466="Bull",IF(RAND()&lt;Assumptions!$B$7,"Bull","Bear"),IF(RAND()&lt;Assumptions!$B$10,"Bear","Bull"))</f>
        <v>Bear</v>
      </c>
      <c r="D466" s="0" t="str">
        <f aca="true">IF(C466="Bull",IF(RAND()&lt;Assumptions!$B$7,"Bull","Bear"),IF(RAND()&lt;Assumptions!$B$10,"Bear","Bull"))</f>
        <v>Bull</v>
      </c>
      <c r="E466" s="0" t="str">
        <f aca="true">IF(D466="Bull",IF(RAND()&lt;Assumptions!$B$7,"Bull","Bear"),IF(RAND()&lt;Assumptions!$B$10,"Bear","Bull"))</f>
        <v>Bull</v>
      </c>
      <c r="F466" s="0" t="str">
        <f aca="true">IF(E466="Bull",IF(RAND()&lt;Assumptions!$B$7,"Bull","Bear"),IF(RAND()&lt;Assumptions!$B$10,"Bear","Bull"))</f>
        <v>Bull</v>
      </c>
      <c r="G466" s="0" t="str">
        <f aca="true">IF(F466="Bull",IF(RAND()&lt;Assumptions!$B$7,"Bull","Bear"),IF(RAND()&lt;Assumptions!$B$10,"Bear","Bull"))</f>
        <v>Bull</v>
      </c>
      <c r="H466" s="8" t="n">
        <f aca="true">IF(B466="Bull",NORMINV(RAND(),Assumptions!$B$5,Assumptions!$B$6),NORMINV(RAND(),Assumptions!$B$8,Assumptions!$B$9))</f>
        <v>-0.0043226028462066</v>
      </c>
      <c r="I466" s="8" t="n">
        <f aca="true">IF(C466="Bull",NORMINV(RAND(),Assumptions!$B$5,Assumptions!$B$6),NORMINV(RAND(),Assumptions!$B$8,Assumptions!$B$9))</f>
        <v>0.26625432486891</v>
      </c>
      <c r="J466" s="8" t="n">
        <f aca="true">IF(D466="Bull",NORMINV(RAND(),Assumptions!$B$5,Assumptions!$B$6),NORMINV(RAND(),Assumptions!$B$8,Assumptions!$B$9))</f>
        <v>0.146820109089485</v>
      </c>
      <c r="K466" s="8" t="n">
        <f aca="true">IF(E466="Bull",NORMINV(RAND(),Assumptions!$B$5,Assumptions!$B$6),NORMINV(RAND(),Assumptions!$B$8,Assumptions!$B$9))</f>
        <v>0.0169096188776809</v>
      </c>
      <c r="L466" s="8" t="n">
        <f aca="true">IF(F466="Bull",NORMINV(RAND(),Assumptions!$B$5,Assumptions!$B$6),NORMINV(RAND(),Assumptions!$B$8,Assumptions!$B$9))</f>
        <v>0.17207137973247</v>
      </c>
      <c r="M466" s="8" t="n">
        <f aca="true">IF(G466="Bull",NORMINV(RAND(),Assumptions!$B$5,Assumptions!$B$6),NORMINV(RAND(),Assumptions!$B$8,Assumptions!$B$9))</f>
        <v>0.092451157067892</v>
      </c>
      <c r="N466" s="8" t="n">
        <f aca="true">NORMINV(RAND(),Assumptions!$B$14,Assumptions!$B$15)</f>
        <v>0.0587544671130728</v>
      </c>
      <c r="O466" s="8" t="n">
        <f aca="true">NORMINV(RAND(),Assumptions!$B$14,Assumptions!$B$15)</f>
        <v>0.0712760380989223</v>
      </c>
      <c r="P466" s="8" t="n">
        <f aca="true">NORMINV(RAND(),Assumptions!$B$14,Assumptions!$B$15)</f>
        <v>0.0614394274355617</v>
      </c>
      <c r="Q466" s="8" t="n">
        <f aca="true">NORMINV(RAND(),Assumptions!$B$14,Assumptions!$B$15)</f>
        <v>0.0482993214081716</v>
      </c>
      <c r="R466" s="8" t="n">
        <f aca="true">NORMINV(RAND(),Assumptions!$B$14,Assumptions!$B$15)</f>
        <v>0.0647401814887418</v>
      </c>
      <c r="S466" s="8" t="n">
        <f aca="true">NORMINV(RAND(),Assumptions!$B$14,Assumptions!$B$15)</f>
        <v>0.119116965478515</v>
      </c>
      <c r="T466" s="8" t="n">
        <f aca="false">Assumptions!$B$19*H466+(1-Assumptions!$B$19)*N466</f>
        <v>-0.0043226028462066</v>
      </c>
      <c r="U466" s="8" t="n">
        <f aca="false">Assumptions!$B$20*I466+(1-Assumptions!$B$20)*O466</f>
        <v>0.26625432486891</v>
      </c>
      <c r="V466" s="8" t="n">
        <f aca="false">Assumptions!$B$21*J466+(1-Assumptions!$B$21)*P466</f>
        <v>0.146820109089485</v>
      </c>
      <c r="W466" s="8" t="n">
        <f aca="false">Assumptions!$B$22*K466+(1-Assumptions!$B$22)*Q466</f>
        <v>0.0169096188776809</v>
      </c>
      <c r="X466" s="8" t="n">
        <f aca="false">Assumptions!$B$23*L466+(1-Assumptions!$B$23)*R466</f>
        <v>0.150605140083725</v>
      </c>
      <c r="Y466" s="8" t="n">
        <f aca="false">Assumptions!$B$24*M466+(1-Assumptions!$B$24)*S466</f>
        <v>0.103117480432141</v>
      </c>
      <c r="Z466" s="6" t="n">
        <f aca="false">Assumptions!$B$27*(1+T466)</f>
        <v>298703.219146138</v>
      </c>
      <c r="AA466" s="6" t="n">
        <f aca="false">(Z466+Assumptions!$B$28)*(1+U466)</f>
        <v>568172.3918264</v>
      </c>
      <c r="AB466" s="6" t="n">
        <f aca="false">AA466*(1+V466)</f>
        <v>651591.524375986</v>
      </c>
      <c r="AC466" s="6" t="n">
        <f aca="false">AB466*(1+W466)</f>
        <v>662609.688717111</v>
      </c>
      <c r="AD466" s="6" t="n">
        <f aca="false">AC466*(1+X466)</f>
        <v>762402.113707184</v>
      </c>
      <c r="AE466" s="6" t="n">
        <f aca="false">AD466*(1+Y466)</f>
        <v>841019.098748808</v>
      </c>
      <c r="AF466" s="6" t="n">
        <f aca="false">Z466</f>
        <v>298703.219146138</v>
      </c>
      <c r="AG466" s="6" t="n">
        <f aca="false">MAX(AF466,AA466)</f>
        <v>568172.3918264</v>
      </c>
      <c r="AH466" s="6" t="n">
        <f aca="false">MAX(AG466,AB466)</f>
        <v>651591.524375986</v>
      </c>
      <c r="AI466" s="6" t="n">
        <f aca="false">MAX(AH466,AC466)</f>
        <v>662609.688717111</v>
      </c>
      <c r="AJ466" s="6" t="n">
        <f aca="false">MAX(AI466,AD466)</f>
        <v>762402.113707184</v>
      </c>
      <c r="AK466" s="6" t="n">
        <f aca="false">MAX(AJ466,AE466)</f>
        <v>841019.098748808</v>
      </c>
      <c r="AL466" s="8" t="n">
        <f aca="false">MIN(Z466/AF466-1,AA466/AG466-1,AB466/AH466-1,AC466/AI466-1,AD466/AJ466-1,AE466/AK466-1)</f>
        <v>0</v>
      </c>
      <c r="AM466" s="6" t="n">
        <f aca="false">AE466-Assumptions!$B$35</f>
        <v>399755.102086305</v>
      </c>
    </row>
    <row r="467" customFormat="false" ht="15" hidden="false" customHeight="false" outlineLevel="0" collapsed="false">
      <c r="A467" s="0" t="n">
        <f aca="false">ROW()-1</f>
        <v>466</v>
      </c>
      <c r="B467" s="0" t="str">
        <f aca="true">IF(RAND()&lt;Assumptions!$B$11,"Bull","Bear")</f>
        <v>Bull</v>
      </c>
      <c r="C467" s="0" t="str">
        <f aca="true">IF(B467="Bull",IF(RAND()&lt;Assumptions!$B$7,"Bull","Bear"),IF(RAND()&lt;Assumptions!$B$10,"Bear","Bull"))</f>
        <v>Bull</v>
      </c>
      <c r="D467" s="0" t="str">
        <f aca="true">IF(C467="Bull",IF(RAND()&lt;Assumptions!$B$7,"Bull","Bear"),IF(RAND()&lt;Assumptions!$B$10,"Bear","Bull"))</f>
        <v>Bull</v>
      </c>
      <c r="E467" s="0" t="str">
        <f aca="true">IF(D467="Bull",IF(RAND()&lt;Assumptions!$B$7,"Bull","Bear"),IF(RAND()&lt;Assumptions!$B$10,"Bear","Bull"))</f>
        <v>Bull</v>
      </c>
      <c r="F467" s="0" t="str">
        <f aca="true">IF(E467="Bull",IF(RAND()&lt;Assumptions!$B$7,"Bull","Bear"),IF(RAND()&lt;Assumptions!$B$10,"Bear","Bull"))</f>
        <v>Bull</v>
      </c>
      <c r="G467" s="0" t="str">
        <f aca="true">IF(F467="Bull",IF(RAND()&lt;Assumptions!$B$7,"Bull","Bear"),IF(RAND()&lt;Assumptions!$B$10,"Bear","Bull"))</f>
        <v>Bear</v>
      </c>
      <c r="H467" s="8" t="n">
        <f aca="true">IF(B467="Bull",NORMINV(RAND(),Assumptions!$B$5,Assumptions!$B$6),NORMINV(RAND(),Assumptions!$B$8,Assumptions!$B$9))</f>
        <v>0.209351440100072</v>
      </c>
      <c r="I467" s="8" t="n">
        <f aca="true">IF(C467="Bull",NORMINV(RAND(),Assumptions!$B$5,Assumptions!$B$6),NORMINV(RAND(),Assumptions!$B$8,Assumptions!$B$9))</f>
        <v>0.0594983334179493</v>
      </c>
      <c r="J467" s="8" t="n">
        <f aca="true">IF(D467="Bull",NORMINV(RAND(),Assumptions!$B$5,Assumptions!$B$6),NORMINV(RAND(),Assumptions!$B$8,Assumptions!$B$9))</f>
        <v>0.26784659073646</v>
      </c>
      <c r="K467" s="8" t="n">
        <f aca="true">IF(E467="Bull",NORMINV(RAND(),Assumptions!$B$5,Assumptions!$B$6),NORMINV(RAND(),Assumptions!$B$8,Assumptions!$B$9))</f>
        <v>0.0125817052252538</v>
      </c>
      <c r="L467" s="8" t="n">
        <f aca="true">IF(F467="Bull",NORMINV(RAND(),Assumptions!$B$5,Assumptions!$B$6),NORMINV(RAND(),Assumptions!$B$8,Assumptions!$B$9))</f>
        <v>0.328322369647319</v>
      </c>
      <c r="M467" s="8" t="n">
        <f aca="true">IF(G467="Bull",NORMINV(RAND(),Assumptions!$B$5,Assumptions!$B$6),NORMINV(RAND(),Assumptions!$B$8,Assumptions!$B$9))</f>
        <v>0.169218481504079</v>
      </c>
      <c r="N467" s="8" t="n">
        <f aca="true">NORMINV(RAND(),Assumptions!$B$14,Assumptions!$B$15)</f>
        <v>0.0877498630790786</v>
      </c>
      <c r="O467" s="8" t="n">
        <f aca="true">NORMINV(RAND(),Assumptions!$B$14,Assumptions!$B$15)</f>
        <v>0.061647247759851</v>
      </c>
      <c r="P467" s="8" t="n">
        <f aca="true">NORMINV(RAND(),Assumptions!$B$14,Assumptions!$B$15)</f>
        <v>0.0222639953983324</v>
      </c>
      <c r="Q467" s="8" t="n">
        <f aca="true">NORMINV(RAND(),Assumptions!$B$14,Assumptions!$B$15)</f>
        <v>0.0939149914573357</v>
      </c>
      <c r="R467" s="8" t="n">
        <f aca="true">NORMINV(RAND(),Assumptions!$B$14,Assumptions!$B$15)</f>
        <v>0.0702006785973447</v>
      </c>
      <c r="S467" s="8" t="n">
        <f aca="true">NORMINV(RAND(),Assumptions!$B$14,Assumptions!$B$15)</f>
        <v>0.0323636544391597</v>
      </c>
      <c r="T467" s="8" t="n">
        <f aca="false">Assumptions!$B$19*H467+(1-Assumptions!$B$19)*N467</f>
        <v>0.209351440100072</v>
      </c>
      <c r="U467" s="8" t="n">
        <f aca="false">Assumptions!$B$20*I467+(1-Assumptions!$B$20)*O467</f>
        <v>0.0594983334179493</v>
      </c>
      <c r="V467" s="8" t="n">
        <f aca="false">Assumptions!$B$21*J467+(1-Assumptions!$B$21)*P467</f>
        <v>0.26784659073646</v>
      </c>
      <c r="W467" s="8" t="n">
        <f aca="false">Assumptions!$B$22*K467+(1-Assumptions!$B$22)*Q467</f>
        <v>0.0125817052252538</v>
      </c>
      <c r="X467" s="8" t="n">
        <f aca="false">Assumptions!$B$23*L467+(1-Assumptions!$B$23)*R467</f>
        <v>0.276698031437324</v>
      </c>
      <c r="Y467" s="8" t="n">
        <f aca="false">Assumptions!$B$24*M467+(1-Assumptions!$B$24)*S467</f>
        <v>0.114476550678111</v>
      </c>
      <c r="Z467" s="6" t="n">
        <f aca="false">Assumptions!$B$27*(1+T467)</f>
        <v>362805.432030022</v>
      </c>
      <c r="AA467" s="6" t="n">
        <f aca="false">(Z467+Assumptions!$B$28)*(1+U467)</f>
        <v>543316.500603479</v>
      </c>
      <c r="AB467" s="6" t="n">
        <f aca="false">AA467*(1+V467)</f>
        <v>688841.972980985</v>
      </c>
      <c r="AC467" s="6" t="n">
        <f aca="false">AB467*(1+W467)</f>
        <v>697508.779631814</v>
      </c>
      <c r="AD467" s="6" t="n">
        <f aca="false">AC467*(1+X467)</f>
        <v>890508.085866187</v>
      </c>
      <c r="AE467" s="6" t="n">
        <f aca="false">AD467*(1+Y467)</f>
        <v>992450.379887116</v>
      </c>
      <c r="AF467" s="6" t="n">
        <f aca="false">Z467</f>
        <v>362805.432030022</v>
      </c>
      <c r="AG467" s="6" t="n">
        <f aca="false">MAX(AF467,AA467)</f>
        <v>543316.500603479</v>
      </c>
      <c r="AH467" s="6" t="n">
        <f aca="false">MAX(AG467,AB467)</f>
        <v>688841.972980985</v>
      </c>
      <c r="AI467" s="6" t="n">
        <f aca="false">MAX(AH467,AC467)</f>
        <v>697508.779631814</v>
      </c>
      <c r="AJ467" s="6" t="n">
        <f aca="false">MAX(AI467,AD467)</f>
        <v>890508.085866187</v>
      </c>
      <c r="AK467" s="6" t="n">
        <f aca="false">MAX(AJ467,AE467)</f>
        <v>992450.379887116</v>
      </c>
      <c r="AL467" s="8" t="n">
        <f aca="false">MIN(Z467/AF467-1,AA467/AG467-1,AB467/AH467-1,AC467/AI467-1,AD467/AJ467-1,AE467/AK467-1)</f>
        <v>0</v>
      </c>
      <c r="AM467" s="6" t="n">
        <f aca="false">AE467-Assumptions!$B$35</f>
        <v>551186.383224612</v>
      </c>
    </row>
    <row r="468" customFormat="false" ht="15" hidden="false" customHeight="false" outlineLevel="0" collapsed="false">
      <c r="A468" s="0" t="n">
        <f aca="false">ROW()-1</f>
        <v>467</v>
      </c>
      <c r="B468" s="0" t="str">
        <f aca="true">IF(RAND()&lt;Assumptions!$B$11,"Bull","Bear")</f>
        <v>Bull</v>
      </c>
      <c r="C468" s="0" t="str">
        <f aca="true">IF(B468="Bull",IF(RAND()&lt;Assumptions!$B$7,"Bull","Bear"),IF(RAND()&lt;Assumptions!$B$10,"Bear","Bull"))</f>
        <v>Bull</v>
      </c>
      <c r="D468" s="0" t="str">
        <f aca="true">IF(C468="Bull",IF(RAND()&lt;Assumptions!$B$7,"Bull","Bear"),IF(RAND()&lt;Assumptions!$B$10,"Bear","Bull"))</f>
        <v>Bear</v>
      </c>
      <c r="E468" s="0" t="str">
        <f aca="true">IF(D468="Bull",IF(RAND()&lt;Assumptions!$B$7,"Bull","Bear"),IF(RAND()&lt;Assumptions!$B$10,"Bear","Bull"))</f>
        <v>Bull</v>
      </c>
      <c r="F468" s="0" t="str">
        <f aca="true">IF(E468="Bull",IF(RAND()&lt;Assumptions!$B$7,"Bull","Bear"),IF(RAND()&lt;Assumptions!$B$10,"Bear","Bull"))</f>
        <v>Bear</v>
      </c>
      <c r="G468" s="0" t="str">
        <f aca="true">IF(F468="Bull",IF(RAND()&lt;Assumptions!$B$7,"Bull","Bear"),IF(RAND()&lt;Assumptions!$B$10,"Bear","Bull"))</f>
        <v>Bull</v>
      </c>
      <c r="H468" s="8" t="n">
        <f aca="true">IF(B468="Bull",NORMINV(RAND(),Assumptions!$B$5,Assumptions!$B$6),NORMINV(RAND(),Assumptions!$B$8,Assumptions!$B$9))</f>
        <v>0.177201851976375</v>
      </c>
      <c r="I468" s="8" t="n">
        <f aca="true">IF(C468="Bull",NORMINV(RAND(),Assumptions!$B$5,Assumptions!$B$6),NORMINV(RAND(),Assumptions!$B$8,Assumptions!$B$9))</f>
        <v>0.298067033099075</v>
      </c>
      <c r="J468" s="8" t="n">
        <f aca="true">IF(D468="Bull",NORMINV(RAND(),Assumptions!$B$5,Assumptions!$B$6),NORMINV(RAND(),Assumptions!$B$8,Assumptions!$B$9))</f>
        <v>-0.0488357036656833</v>
      </c>
      <c r="K468" s="8" t="n">
        <f aca="true">IF(E468="Bull",NORMINV(RAND(),Assumptions!$B$5,Assumptions!$B$6),NORMINV(RAND(),Assumptions!$B$8,Assumptions!$B$9))</f>
        <v>0.122343615020255</v>
      </c>
      <c r="L468" s="8" t="n">
        <f aca="true">IF(F468="Bull",NORMINV(RAND(),Assumptions!$B$5,Assumptions!$B$6),NORMINV(RAND(),Assumptions!$B$8,Assumptions!$B$9))</f>
        <v>0.00185247463805829</v>
      </c>
      <c r="M468" s="8" t="n">
        <f aca="true">IF(G468="Bull",NORMINV(RAND(),Assumptions!$B$5,Assumptions!$B$6),NORMINV(RAND(),Assumptions!$B$8,Assumptions!$B$9))</f>
        <v>0.0941624793017795</v>
      </c>
      <c r="N468" s="8" t="n">
        <f aca="true">NORMINV(RAND(),Assumptions!$B$14,Assumptions!$B$15)</f>
        <v>0.0572616720317446</v>
      </c>
      <c r="O468" s="8" t="n">
        <f aca="true">NORMINV(RAND(),Assumptions!$B$14,Assumptions!$B$15)</f>
        <v>0.05545919236715</v>
      </c>
      <c r="P468" s="8" t="n">
        <f aca="true">NORMINV(RAND(),Assumptions!$B$14,Assumptions!$B$15)</f>
        <v>0.0769897821296968</v>
      </c>
      <c r="Q468" s="8" t="n">
        <f aca="true">NORMINV(RAND(),Assumptions!$B$14,Assumptions!$B$15)</f>
        <v>-0.00612103535033773</v>
      </c>
      <c r="R468" s="8" t="n">
        <f aca="true">NORMINV(RAND(),Assumptions!$B$14,Assumptions!$B$15)</f>
        <v>0.0512743783663203</v>
      </c>
      <c r="S468" s="8" t="n">
        <f aca="true">NORMINV(RAND(),Assumptions!$B$14,Assumptions!$B$15)</f>
        <v>0.0133142021862508</v>
      </c>
      <c r="T468" s="8" t="n">
        <f aca="false">Assumptions!$B$19*H468+(1-Assumptions!$B$19)*N468</f>
        <v>0.177201851976375</v>
      </c>
      <c r="U468" s="8" t="n">
        <f aca="false">Assumptions!$B$20*I468+(1-Assumptions!$B$20)*O468</f>
        <v>0.298067033099075</v>
      </c>
      <c r="V468" s="8" t="n">
        <f aca="false">Assumptions!$B$21*J468+(1-Assumptions!$B$21)*P468</f>
        <v>-0.0488357036656833</v>
      </c>
      <c r="W468" s="8" t="n">
        <f aca="false">Assumptions!$B$22*K468+(1-Assumptions!$B$22)*Q468</f>
        <v>0.122343615020255</v>
      </c>
      <c r="X468" s="8" t="n">
        <f aca="false">Assumptions!$B$23*L468+(1-Assumptions!$B$23)*R468</f>
        <v>0.0117368553837107</v>
      </c>
      <c r="Y468" s="8" t="n">
        <f aca="false">Assumptions!$B$24*M468+(1-Assumptions!$B$24)*S468</f>
        <v>0.061823168455568</v>
      </c>
      <c r="Z468" s="6" t="n">
        <f aca="false">Assumptions!$B$27*(1+T468)</f>
        <v>353160.555592912</v>
      </c>
      <c r="AA468" s="6" t="n">
        <f aca="false">(Z468+Assumptions!$B$28)*(1+U468)</f>
        <v>653136.129570974</v>
      </c>
      <c r="AB468" s="6" t="n">
        <f aca="false">AA468*(1+V468)</f>
        <v>621239.767093895</v>
      </c>
      <c r="AC468" s="6" t="n">
        <f aca="false">AB468*(1+W468)</f>
        <v>697244.485994503</v>
      </c>
      <c r="AD468" s="6" t="n">
        <f aca="false">AC468*(1+X468)</f>
        <v>705427.94369371</v>
      </c>
      <c r="AE468" s="6" t="n">
        <f aca="false">AD468*(1+Y468)</f>
        <v>749039.734289952</v>
      </c>
      <c r="AF468" s="6" t="n">
        <f aca="false">Z468</f>
        <v>353160.555592912</v>
      </c>
      <c r="AG468" s="6" t="n">
        <f aca="false">MAX(AF468,AA468)</f>
        <v>653136.129570974</v>
      </c>
      <c r="AH468" s="6" t="n">
        <f aca="false">MAX(AG468,AB468)</f>
        <v>653136.129570974</v>
      </c>
      <c r="AI468" s="6" t="n">
        <f aca="false">MAX(AH468,AC468)</f>
        <v>697244.485994503</v>
      </c>
      <c r="AJ468" s="6" t="n">
        <f aca="false">MAX(AI468,AD468)</f>
        <v>705427.94369371</v>
      </c>
      <c r="AK468" s="6" t="n">
        <f aca="false">MAX(AJ468,AE468)</f>
        <v>749039.734289952</v>
      </c>
      <c r="AL468" s="8" t="n">
        <f aca="false">MIN(Z468/AF468-1,AA468/AG468-1,AB468/AH468-1,AC468/AI468-1,AD468/AJ468-1,AE468/AK468-1)</f>
        <v>-0.0488357036656832</v>
      </c>
      <c r="AM468" s="6" t="n">
        <f aca="false">AE468-Assumptions!$B$35</f>
        <v>307775.737627448</v>
      </c>
    </row>
    <row r="469" customFormat="false" ht="15" hidden="false" customHeight="false" outlineLevel="0" collapsed="false">
      <c r="A469" s="0" t="n">
        <f aca="false">ROW()-1</f>
        <v>468</v>
      </c>
      <c r="B469" s="0" t="str">
        <f aca="true">IF(RAND()&lt;Assumptions!$B$11,"Bull","Bear")</f>
        <v>Bull</v>
      </c>
      <c r="C469" s="0" t="str">
        <f aca="true">IF(B469="Bull",IF(RAND()&lt;Assumptions!$B$7,"Bull","Bear"),IF(RAND()&lt;Assumptions!$B$10,"Bear","Bull"))</f>
        <v>Bull</v>
      </c>
      <c r="D469" s="0" t="str">
        <f aca="true">IF(C469="Bull",IF(RAND()&lt;Assumptions!$B$7,"Bull","Bear"),IF(RAND()&lt;Assumptions!$B$10,"Bear","Bull"))</f>
        <v>Bull</v>
      </c>
      <c r="E469" s="0" t="str">
        <f aca="true">IF(D469="Bull",IF(RAND()&lt;Assumptions!$B$7,"Bull","Bear"),IF(RAND()&lt;Assumptions!$B$10,"Bear","Bull"))</f>
        <v>Bull</v>
      </c>
      <c r="F469" s="0" t="str">
        <f aca="true">IF(E469="Bull",IF(RAND()&lt;Assumptions!$B$7,"Bull","Bear"),IF(RAND()&lt;Assumptions!$B$10,"Bear","Bull"))</f>
        <v>Bull</v>
      </c>
      <c r="G469" s="0" t="str">
        <f aca="true">IF(F469="Bull",IF(RAND()&lt;Assumptions!$B$7,"Bull","Bear"),IF(RAND()&lt;Assumptions!$B$10,"Bear","Bull"))</f>
        <v>Bull</v>
      </c>
      <c r="H469" s="8" t="n">
        <f aca="true">IF(B469="Bull",NORMINV(RAND(),Assumptions!$B$5,Assumptions!$B$6),NORMINV(RAND(),Assumptions!$B$8,Assumptions!$B$9))</f>
        <v>0.307192372973017</v>
      </c>
      <c r="I469" s="8" t="n">
        <f aca="true">IF(C469="Bull",NORMINV(RAND(),Assumptions!$B$5,Assumptions!$B$6),NORMINV(RAND(),Assumptions!$B$8,Assumptions!$B$9))</f>
        <v>0.348096977248669</v>
      </c>
      <c r="J469" s="8" t="n">
        <f aca="true">IF(D469="Bull",NORMINV(RAND(),Assumptions!$B$5,Assumptions!$B$6),NORMINV(RAND(),Assumptions!$B$8,Assumptions!$B$9))</f>
        <v>0.188482889936957</v>
      </c>
      <c r="K469" s="8" t="n">
        <f aca="true">IF(E469="Bull",NORMINV(RAND(),Assumptions!$B$5,Assumptions!$B$6),NORMINV(RAND(),Assumptions!$B$8,Assumptions!$B$9))</f>
        <v>0.143121828467256</v>
      </c>
      <c r="L469" s="8" t="n">
        <f aca="true">IF(F469="Bull",NORMINV(RAND(),Assumptions!$B$5,Assumptions!$B$6),NORMINV(RAND(),Assumptions!$B$8,Assumptions!$B$9))</f>
        <v>0.13783311669416</v>
      </c>
      <c r="M469" s="8" t="n">
        <f aca="true">IF(G469="Bull",NORMINV(RAND(),Assumptions!$B$5,Assumptions!$B$6),NORMINV(RAND(),Assumptions!$B$8,Assumptions!$B$9))</f>
        <v>0.31968049111754</v>
      </c>
      <c r="N469" s="8" t="n">
        <f aca="true">NORMINV(RAND(),Assumptions!$B$14,Assumptions!$B$15)</f>
        <v>0.000187693054286779</v>
      </c>
      <c r="O469" s="8" t="n">
        <f aca="true">NORMINV(RAND(),Assumptions!$B$14,Assumptions!$B$15)</f>
        <v>0.029142252786822</v>
      </c>
      <c r="P469" s="8" t="n">
        <f aca="true">NORMINV(RAND(),Assumptions!$B$14,Assumptions!$B$15)</f>
        <v>0.0427230512332628</v>
      </c>
      <c r="Q469" s="8" t="n">
        <f aca="true">NORMINV(RAND(),Assumptions!$B$14,Assumptions!$B$15)</f>
        <v>0.0312440792293213</v>
      </c>
      <c r="R469" s="8" t="n">
        <f aca="true">NORMINV(RAND(),Assumptions!$B$14,Assumptions!$B$15)</f>
        <v>0.0291478926404969</v>
      </c>
      <c r="S469" s="8" t="n">
        <f aca="true">NORMINV(RAND(),Assumptions!$B$14,Assumptions!$B$15)</f>
        <v>0.0619679327333022</v>
      </c>
      <c r="T469" s="8" t="n">
        <f aca="false">Assumptions!$B$19*H469+(1-Assumptions!$B$19)*N469</f>
        <v>0.307192372973017</v>
      </c>
      <c r="U469" s="8" t="n">
        <f aca="false">Assumptions!$B$20*I469+(1-Assumptions!$B$20)*O469</f>
        <v>0.348096977248669</v>
      </c>
      <c r="V469" s="8" t="n">
        <f aca="false">Assumptions!$B$21*J469+(1-Assumptions!$B$21)*P469</f>
        <v>0.188482889936957</v>
      </c>
      <c r="W469" s="8" t="n">
        <f aca="false">Assumptions!$B$22*K469+(1-Assumptions!$B$22)*Q469</f>
        <v>0.143121828467256</v>
      </c>
      <c r="X469" s="8" t="n">
        <f aca="false">Assumptions!$B$23*L469+(1-Assumptions!$B$23)*R469</f>
        <v>0.116096071883427</v>
      </c>
      <c r="Y469" s="8" t="n">
        <f aca="false">Assumptions!$B$24*M469+(1-Assumptions!$B$24)*S469</f>
        <v>0.216595467763845</v>
      </c>
      <c r="Z469" s="6" t="n">
        <f aca="false">Assumptions!$B$27*(1+T469)</f>
        <v>392157.711891905</v>
      </c>
      <c r="AA469" s="6" t="n">
        <f aca="false">(Z469+Assumptions!$B$28)*(1+U469)</f>
        <v>730881.172593532</v>
      </c>
      <c r="AB469" s="6" t="n">
        <f aca="false">AA469*(1+V469)</f>
        <v>868639.768204472</v>
      </c>
      <c r="AC469" s="6" t="n">
        <f aca="false">AB469*(1+W469)</f>
        <v>992961.08010927</v>
      </c>
      <c r="AD469" s="6" t="n">
        <f aca="false">AC469*(1+X469)</f>
        <v>1108239.96104308</v>
      </c>
      <c r="AE469" s="6" t="n">
        <f aca="false">AD469*(1+Y469)</f>
        <v>1348279.71379979</v>
      </c>
      <c r="AF469" s="6" t="n">
        <f aca="false">Z469</f>
        <v>392157.711891905</v>
      </c>
      <c r="AG469" s="6" t="n">
        <f aca="false">MAX(AF469,AA469)</f>
        <v>730881.172593532</v>
      </c>
      <c r="AH469" s="6" t="n">
        <f aca="false">MAX(AG469,AB469)</f>
        <v>868639.768204472</v>
      </c>
      <c r="AI469" s="6" t="n">
        <f aca="false">MAX(AH469,AC469)</f>
        <v>992961.08010927</v>
      </c>
      <c r="AJ469" s="6" t="n">
        <f aca="false">MAX(AI469,AD469)</f>
        <v>1108239.96104308</v>
      </c>
      <c r="AK469" s="6" t="n">
        <f aca="false">MAX(AJ469,AE469)</f>
        <v>1348279.71379979</v>
      </c>
      <c r="AL469" s="8" t="n">
        <f aca="false">MIN(Z469/AF469-1,AA469/AG469-1,AB469/AH469-1,AC469/AI469-1,AD469/AJ469-1,AE469/AK469-1)</f>
        <v>0</v>
      </c>
      <c r="AM469" s="6" t="n">
        <f aca="false">AE469-Assumptions!$B$35</f>
        <v>907015.717137288</v>
      </c>
    </row>
    <row r="470" customFormat="false" ht="15" hidden="false" customHeight="false" outlineLevel="0" collapsed="false">
      <c r="A470" s="0" t="n">
        <f aca="false">ROW()-1</f>
        <v>469</v>
      </c>
      <c r="B470" s="0" t="str">
        <f aca="true">IF(RAND()&lt;Assumptions!$B$11,"Bull","Bear")</f>
        <v>Bear</v>
      </c>
      <c r="C470" s="0" t="str">
        <f aca="true">IF(B470="Bull",IF(RAND()&lt;Assumptions!$B$7,"Bull","Bear"),IF(RAND()&lt;Assumptions!$B$10,"Bear","Bull"))</f>
        <v>Bear</v>
      </c>
      <c r="D470" s="0" t="str">
        <f aca="true">IF(C470="Bull",IF(RAND()&lt;Assumptions!$B$7,"Bull","Bear"),IF(RAND()&lt;Assumptions!$B$10,"Bear","Bull"))</f>
        <v>Bear</v>
      </c>
      <c r="E470" s="0" t="str">
        <f aca="true">IF(D470="Bull",IF(RAND()&lt;Assumptions!$B$7,"Bull","Bear"),IF(RAND()&lt;Assumptions!$B$10,"Bear","Bull"))</f>
        <v>Bear</v>
      </c>
      <c r="F470" s="0" t="str">
        <f aca="true">IF(E470="Bull",IF(RAND()&lt;Assumptions!$B$7,"Bull","Bear"),IF(RAND()&lt;Assumptions!$B$10,"Bear","Bull"))</f>
        <v>Bear</v>
      </c>
      <c r="G470" s="0" t="str">
        <f aca="true">IF(F470="Bull",IF(RAND()&lt;Assumptions!$B$7,"Bull","Bear"),IF(RAND()&lt;Assumptions!$B$10,"Bear","Bull"))</f>
        <v>Bull</v>
      </c>
      <c r="H470" s="8" t="n">
        <f aca="true">IF(B470="Bull",NORMINV(RAND(),Assumptions!$B$5,Assumptions!$B$6),NORMINV(RAND(),Assumptions!$B$8,Assumptions!$B$9))</f>
        <v>-0.269245616517481</v>
      </c>
      <c r="I470" s="8" t="n">
        <f aca="true">IF(C470="Bull",NORMINV(RAND(),Assumptions!$B$5,Assumptions!$B$6),NORMINV(RAND(),Assumptions!$B$8,Assumptions!$B$9))</f>
        <v>-0.0112584118883622</v>
      </c>
      <c r="J470" s="8" t="n">
        <f aca="true">IF(D470="Bull",NORMINV(RAND(),Assumptions!$B$5,Assumptions!$B$6),NORMINV(RAND(),Assumptions!$B$8,Assumptions!$B$9))</f>
        <v>0.254688612468392</v>
      </c>
      <c r="K470" s="8" t="n">
        <f aca="true">IF(E470="Bull",NORMINV(RAND(),Assumptions!$B$5,Assumptions!$B$6),NORMINV(RAND(),Assumptions!$B$8,Assumptions!$B$9))</f>
        <v>-0.181040799079149</v>
      </c>
      <c r="L470" s="8" t="n">
        <f aca="true">IF(F470="Bull",NORMINV(RAND(),Assumptions!$B$5,Assumptions!$B$6),NORMINV(RAND(),Assumptions!$B$8,Assumptions!$B$9))</f>
        <v>-0.196513839804275</v>
      </c>
      <c r="M470" s="8" t="n">
        <f aca="true">IF(G470="Bull",NORMINV(RAND(),Assumptions!$B$5,Assumptions!$B$6),NORMINV(RAND(),Assumptions!$B$8,Assumptions!$B$9))</f>
        <v>0.436522582985681</v>
      </c>
      <c r="N470" s="8" t="n">
        <f aca="true">NORMINV(RAND(),Assumptions!$B$14,Assumptions!$B$15)</f>
        <v>0.0119813555464862</v>
      </c>
      <c r="O470" s="8" t="n">
        <f aca="true">NORMINV(RAND(),Assumptions!$B$14,Assumptions!$B$15)</f>
        <v>0.0313230500094125</v>
      </c>
      <c r="P470" s="8" t="n">
        <f aca="true">NORMINV(RAND(),Assumptions!$B$14,Assumptions!$B$15)</f>
        <v>0.0544560113120888</v>
      </c>
      <c r="Q470" s="8" t="n">
        <f aca="true">NORMINV(RAND(),Assumptions!$B$14,Assumptions!$B$15)</f>
        <v>0.0383642964360941</v>
      </c>
      <c r="R470" s="8" t="n">
        <f aca="true">NORMINV(RAND(),Assumptions!$B$14,Assumptions!$B$15)</f>
        <v>0.0657948921583152</v>
      </c>
      <c r="S470" s="8" t="n">
        <f aca="true">NORMINV(RAND(),Assumptions!$B$14,Assumptions!$B$15)</f>
        <v>0.0655875434965856</v>
      </c>
      <c r="T470" s="8" t="n">
        <f aca="false">Assumptions!$B$19*H470+(1-Assumptions!$B$19)*N470</f>
        <v>-0.269245616517481</v>
      </c>
      <c r="U470" s="8" t="n">
        <f aca="false">Assumptions!$B$20*I470+(1-Assumptions!$B$20)*O470</f>
        <v>-0.0112584118883622</v>
      </c>
      <c r="V470" s="8" t="n">
        <f aca="false">Assumptions!$B$21*J470+(1-Assumptions!$B$21)*P470</f>
        <v>0.254688612468392</v>
      </c>
      <c r="W470" s="8" t="n">
        <f aca="false">Assumptions!$B$22*K470+(1-Assumptions!$B$22)*Q470</f>
        <v>-0.181040799079149</v>
      </c>
      <c r="X470" s="8" t="n">
        <f aca="false">Assumptions!$B$23*L470+(1-Assumptions!$B$23)*R470</f>
        <v>-0.144052093411757</v>
      </c>
      <c r="Y470" s="8" t="n">
        <f aca="false">Assumptions!$B$24*M470+(1-Assumptions!$B$24)*S470</f>
        <v>0.288148567190043</v>
      </c>
      <c r="Z470" s="6" t="n">
        <f aca="false">Assumptions!$B$27*(1+T470)</f>
        <v>219226.315044756</v>
      </c>
      <c r="AA470" s="6" t="n">
        <f aca="false">(Z470+Assumptions!$B$28)*(1+U470)</f>
        <v>365069.41310996</v>
      </c>
      <c r="AB470" s="6" t="n">
        <f aca="false">AA470*(1+V470)</f>
        <v>458048.435389585</v>
      </c>
      <c r="AC470" s="6" t="n">
        <f aca="false">AB470*(1+W470)</f>
        <v>375122.980629701</v>
      </c>
      <c r="AD470" s="6" t="n">
        <f aca="false">AC470*(1+X470)</f>
        <v>321085.729983135</v>
      </c>
      <c r="AE470" s="6" t="n">
        <f aca="false">AD470*(1+Y470)</f>
        <v>413606.123022944</v>
      </c>
      <c r="AF470" s="6" t="n">
        <f aca="false">Z470</f>
        <v>219226.315044756</v>
      </c>
      <c r="AG470" s="6" t="n">
        <f aca="false">MAX(AF470,AA470)</f>
        <v>365069.41310996</v>
      </c>
      <c r="AH470" s="6" t="n">
        <f aca="false">MAX(AG470,AB470)</f>
        <v>458048.435389585</v>
      </c>
      <c r="AI470" s="6" t="n">
        <f aca="false">MAX(AH470,AC470)</f>
        <v>458048.435389585</v>
      </c>
      <c r="AJ470" s="6" t="n">
        <f aca="false">MAX(AI470,AD470)</f>
        <v>458048.435389585</v>
      </c>
      <c r="AK470" s="6" t="n">
        <f aca="false">MAX(AJ470,AE470)</f>
        <v>458048.435389585</v>
      </c>
      <c r="AL470" s="8" t="n">
        <f aca="false">MIN(Z470/AF470-1,AA470/AG470-1,AB470/AH470-1,AC470/AI470-1,AD470/AJ470-1,AE470/AK470-1)</f>
        <v>-0.299013586390617</v>
      </c>
      <c r="AM470" s="6" t="n">
        <f aca="false">AE470-Assumptions!$B$35</f>
        <v>-27657.8736395597</v>
      </c>
    </row>
    <row r="471" customFormat="false" ht="15" hidden="false" customHeight="false" outlineLevel="0" collapsed="false">
      <c r="A471" s="0" t="n">
        <f aca="false">ROW()-1</f>
        <v>470</v>
      </c>
      <c r="B471" s="0" t="str">
        <f aca="true">IF(RAND()&lt;Assumptions!$B$11,"Bull","Bear")</f>
        <v>Bull</v>
      </c>
      <c r="C471" s="0" t="str">
        <f aca="true">IF(B471="Bull",IF(RAND()&lt;Assumptions!$B$7,"Bull","Bear"),IF(RAND()&lt;Assumptions!$B$10,"Bear","Bull"))</f>
        <v>Bull</v>
      </c>
      <c r="D471" s="0" t="str">
        <f aca="true">IF(C471="Bull",IF(RAND()&lt;Assumptions!$B$7,"Bull","Bear"),IF(RAND()&lt;Assumptions!$B$10,"Bear","Bull"))</f>
        <v>Bear</v>
      </c>
      <c r="E471" s="0" t="str">
        <f aca="true">IF(D471="Bull",IF(RAND()&lt;Assumptions!$B$7,"Bull","Bear"),IF(RAND()&lt;Assumptions!$B$10,"Bear","Bull"))</f>
        <v>Bull</v>
      </c>
      <c r="F471" s="0" t="str">
        <f aca="true">IF(E471="Bull",IF(RAND()&lt;Assumptions!$B$7,"Bull","Bear"),IF(RAND()&lt;Assumptions!$B$10,"Bear","Bull"))</f>
        <v>Bull</v>
      </c>
      <c r="G471" s="0" t="str">
        <f aca="true">IF(F471="Bull",IF(RAND()&lt;Assumptions!$B$7,"Bull","Bear"),IF(RAND()&lt;Assumptions!$B$10,"Bear","Bull"))</f>
        <v>Bull</v>
      </c>
      <c r="H471" s="8" t="n">
        <f aca="true">IF(B471="Bull",NORMINV(RAND(),Assumptions!$B$5,Assumptions!$B$6),NORMINV(RAND(),Assumptions!$B$8,Assumptions!$B$9))</f>
        <v>0.19711497367889</v>
      </c>
      <c r="I471" s="8" t="n">
        <f aca="true">IF(C471="Bull",NORMINV(RAND(),Assumptions!$B$5,Assumptions!$B$6),NORMINV(RAND(),Assumptions!$B$8,Assumptions!$B$9))</f>
        <v>0.244723103877441</v>
      </c>
      <c r="J471" s="8" t="n">
        <f aca="true">IF(D471="Bull",NORMINV(RAND(),Assumptions!$B$5,Assumptions!$B$6),NORMINV(RAND(),Assumptions!$B$8,Assumptions!$B$9))</f>
        <v>0.0737080366221134</v>
      </c>
      <c r="K471" s="8" t="n">
        <f aca="true">IF(E471="Bull",NORMINV(RAND(),Assumptions!$B$5,Assumptions!$B$6),NORMINV(RAND(),Assumptions!$B$8,Assumptions!$B$9))</f>
        <v>0.0834413252707744</v>
      </c>
      <c r="L471" s="8" t="n">
        <f aca="true">IF(F471="Bull",NORMINV(RAND(),Assumptions!$B$5,Assumptions!$B$6),NORMINV(RAND(),Assumptions!$B$8,Assumptions!$B$9))</f>
        <v>0.0378294716157539</v>
      </c>
      <c r="M471" s="8" t="n">
        <f aca="true">IF(G471="Bull",NORMINV(RAND(),Assumptions!$B$5,Assumptions!$B$6),NORMINV(RAND(),Assumptions!$B$8,Assumptions!$B$9))</f>
        <v>0.230725641476048</v>
      </c>
      <c r="N471" s="8" t="n">
        <f aca="true">NORMINV(RAND(),Assumptions!$B$14,Assumptions!$B$15)</f>
        <v>0.035639167957866</v>
      </c>
      <c r="O471" s="8" t="n">
        <f aca="true">NORMINV(RAND(),Assumptions!$B$14,Assumptions!$B$15)</f>
        <v>0.0311164093539013</v>
      </c>
      <c r="P471" s="8" t="n">
        <f aca="true">NORMINV(RAND(),Assumptions!$B$14,Assumptions!$B$15)</f>
        <v>0.0220018329226005</v>
      </c>
      <c r="Q471" s="8" t="n">
        <f aca="true">NORMINV(RAND(),Assumptions!$B$14,Assumptions!$B$15)</f>
        <v>0.0314434883852312</v>
      </c>
      <c r="R471" s="8" t="n">
        <f aca="true">NORMINV(RAND(),Assumptions!$B$14,Assumptions!$B$15)</f>
        <v>0.0609389593189554</v>
      </c>
      <c r="S471" s="8" t="n">
        <f aca="true">NORMINV(RAND(),Assumptions!$B$14,Assumptions!$B$15)</f>
        <v>0.0800406725224259</v>
      </c>
      <c r="T471" s="8" t="n">
        <f aca="false">Assumptions!$B$19*H471+(1-Assumptions!$B$19)*N471</f>
        <v>0.19711497367889</v>
      </c>
      <c r="U471" s="8" t="n">
        <f aca="false">Assumptions!$B$20*I471+(1-Assumptions!$B$20)*O471</f>
        <v>0.244723103877441</v>
      </c>
      <c r="V471" s="8" t="n">
        <f aca="false">Assumptions!$B$21*J471+(1-Assumptions!$B$21)*P471</f>
        <v>0.0737080366221134</v>
      </c>
      <c r="W471" s="8" t="n">
        <f aca="false">Assumptions!$B$22*K471+(1-Assumptions!$B$22)*Q471</f>
        <v>0.0834413252707744</v>
      </c>
      <c r="X471" s="8" t="n">
        <f aca="false">Assumptions!$B$23*L471+(1-Assumptions!$B$23)*R471</f>
        <v>0.0424513691563942</v>
      </c>
      <c r="Y471" s="8" t="n">
        <f aca="false">Assumptions!$B$24*M471+(1-Assumptions!$B$24)*S471</f>
        <v>0.170451653894599</v>
      </c>
      <c r="Z471" s="6" t="n">
        <f aca="false">Assumptions!$B$27*(1+T471)</f>
        <v>359134.492103667</v>
      </c>
      <c r="AA471" s="6" t="n">
        <f aca="false">(Z471+Assumptions!$B$28)*(1+U471)</f>
        <v>633731.465302341</v>
      </c>
      <c r="AB471" s="6" t="n">
        <f aca="false">AA471*(1+V471)</f>
        <v>680442.567355431</v>
      </c>
      <c r="AC471" s="6" t="n">
        <f aca="false">AB471*(1+W471)</f>
        <v>737219.596946217</v>
      </c>
      <c r="AD471" s="6" t="n">
        <f aca="false">AC471*(1+X471)</f>
        <v>768515.578205509</v>
      </c>
      <c r="AE471" s="6" t="n">
        <f aca="false">AD471*(1+Y471)</f>
        <v>899510.329554402</v>
      </c>
      <c r="AF471" s="6" t="n">
        <f aca="false">Z471</f>
        <v>359134.492103667</v>
      </c>
      <c r="AG471" s="6" t="n">
        <f aca="false">MAX(AF471,AA471)</f>
        <v>633731.465302341</v>
      </c>
      <c r="AH471" s="6" t="n">
        <f aca="false">MAX(AG471,AB471)</f>
        <v>680442.567355431</v>
      </c>
      <c r="AI471" s="6" t="n">
        <f aca="false">MAX(AH471,AC471)</f>
        <v>737219.596946217</v>
      </c>
      <c r="AJ471" s="6" t="n">
        <f aca="false">MAX(AI471,AD471)</f>
        <v>768515.578205509</v>
      </c>
      <c r="AK471" s="6" t="n">
        <f aca="false">MAX(AJ471,AE471)</f>
        <v>899510.329554402</v>
      </c>
      <c r="AL471" s="8" t="n">
        <f aca="false">MIN(Z471/AF471-1,AA471/AG471-1,AB471/AH471-1,AC471/AI471-1,AD471/AJ471-1,AE471/AK471-1)</f>
        <v>0</v>
      </c>
      <c r="AM471" s="6" t="n">
        <f aca="false">AE471-Assumptions!$B$35</f>
        <v>458246.332891898</v>
      </c>
    </row>
    <row r="472" customFormat="false" ht="15" hidden="false" customHeight="false" outlineLevel="0" collapsed="false">
      <c r="A472" s="0" t="n">
        <f aca="false">ROW()-1</f>
        <v>471</v>
      </c>
      <c r="B472" s="0" t="str">
        <f aca="true">IF(RAND()&lt;Assumptions!$B$11,"Bull","Bear")</f>
        <v>Bull</v>
      </c>
      <c r="C472" s="0" t="str">
        <f aca="true">IF(B472="Bull",IF(RAND()&lt;Assumptions!$B$7,"Bull","Bear"),IF(RAND()&lt;Assumptions!$B$10,"Bear","Bull"))</f>
        <v>Bear</v>
      </c>
      <c r="D472" s="0" t="str">
        <f aca="true">IF(C472="Bull",IF(RAND()&lt;Assumptions!$B$7,"Bull","Bear"),IF(RAND()&lt;Assumptions!$B$10,"Bear","Bull"))</f>
        <v>Bull</v>
      </c>
      <c r="E472" s="0" t="str">
        <f aca="true">IF(D472="Bull",IF(RAND()&lt;Assumptions!$B$7,"Bull","Bear"),IF(RAND()&lt;Assumptions!$B$10,"Bear","Bull"))</f>
        <v>Bear</v>
      </c>
      <c r="F472" s="0" t="str">
        <f aca="true">IF(E472="Bull",IF(RAND()&lt;Assumptions!$B$7,"Bull","Bear"),IF(RAND()&lt;Assumptions!$B$10,"Bear","Bull"))</f>
        <v>Bear</v>
      </c>
      <c r="G472" s="0" t="str">
        <f aca="true">IF(F472="Bull",IF(RAND()&lt;Assumptions!$B$7,"Bull","Bear"),IF(RAND()&lt;Assumptions!$B$10,"Bear","Bull"))</f>
        <v>Bull</v>
      </c>
      <c r="H472" s="8" t="n">
        <f aca="true">IF(B472="Bull",NORMINV(RAND(),Assumptions!$B$5,Assumptions!$B$6),NORMINV(RAND(),Assumptions!$B$8,Assumptions!$B$9))</f>
        <v>0.228010364485601</v>
      </c>
      <c r="I472" s="8" t="n">
        <f aca="true">IF(C472="Bull",NORMINV(RAND(),Assumptions!$B$5,Assumptions!$B$6),NORMINV(RAND(),Assumptions!$B$8,Assumptions!$B$9))</f>
        <v>0.461263571383512</v>
      </c>
      <c r="J472" s="8" t="n">
        <f aca="true">IF(D472="Bull",NORMINV(RAND(),Assumptions!$B$5,Assumptions!$B$6),NORMINV(RAND(),Assumptions!$B$8,Assumptions!$B$9))</f>
        <v>0.0966369649859482</v>
      </c>
      <c r="K472" s="8" t="n">
        <f aca="true">IF(E472="Bull",NORMINV(RAND(),Assumptions!$B$5,Assumptions!$B$6),NORMINV(RAND(),Assumptions!$B$8,Assumptions!$B$9))</f>
        <v>0.0185239004522201</v>
      </c>
      <c r="L472" s="8" t="n">
        <f aca="true">IF(F472="Bull",NORMINV(RAND(),Assumptions!$B$5,Assumptions!$B$6),NORMINV(RAND(),Assumptions!$B$8,Assumptions!$B$9))</f>
        <v>-0.113462194992955</v>
      </c>
      <c r="M472" s="8" t="n">
        <f aca="true">IF(G472="Bull",NORMINV(RAND(),Assumptions!$B$5,Assumptions!$B$6),NORMINV(RAND(),Assumptions!$B$8,Assumptions!$B$9))</f>
        <v>0.456318215338944</v>
      </c>
      <c r="N472" s="8" t="n">
        <f aca="true">NORMINV(RAND(),Assumptions!$B$14,Assumptions!$B$15)</f>
        <v>0.0288669395992274</v>
      </c>
      <c r="O472" s="8" t="n">
        <f aca="true">NORMINV(RAND(),Assumptions!$B$14,Assumptions!$B$15)</f>
        <v>0.0480540508967246</v>
      </c>
      <c r="P472" s="8" t="n">
        <f aca="true">NORMINV(RAND(),Assumptions!$B$14,Assumptions!$B$15)</f>
        <v>0.078671868049995</v>
      </c>
      <c r="Q472" s="8" t="n">
        <f aca="true">NORMINV(RAND(),Assumptions!$B$14,Assumptions!$B$15)</f>
        <v>0.0696758653097384</v>
      </c>
      <c r="R472" s="8" t="n">
        <f aca="true">NORMINV(RAND(),Assumptions!$B$14,Assumptions!$B$15)</f>
        <v>0.0489672043812643</v>
      </c>
      <c r="S472" s="8" t="n">
        <f aca="true">NORMINV(RAND(),Assumptions!$B$14,Assumptions!$B$15)</f>
        <v>0.0824337275710473</v>
      </c>
      <c r="T472" s="8" t="n">
        <f aca="false">Assumptions!$B$19*H472+(1-Assumptions!$B$19)*N472</f>
        <v>0.228010364485601</v>
      </c>
      <c r="U472" s="8" t="n">
        <f aca="false">Assumptions!$B$20*I472+(1-Assumptions!$B$20)*O472</f>
        <v>0.461263571383512</v>
      </c>
      <c r="V472" s="8" t="n">
        <f aca="false">Assumptions!$B$21*J472+(1-Assumptions!$B$21)*P472</f>
        <v>0.0966369649859482</v>
      </c>
      <c r="W472" s="8" t="n">
        <f aca="false">Assumptions!$B$22*K472+(1-Assumptions!$B$22)*Q472</f>
        <v>0.0185239004522201</v>
      </c>
      <c r="X472" s="8" t="n">
        <f aca="false">Assumptions!$B$23*L472+(1-Assumptions!$B$23)*R472</f>
        <v>-0.080976315118111</v>
      </c>
      <c r="Y472" s="8" t="n">
        <f aca="false">Assumptions!$B$24*M472+(1-Assumptions!$B$24)*S472</f>
        <v>0.306764420231786</v>
      </c>
      <c r="Z472" s="6" t="n">
        <f aca="false">Assumptions!$B$27*(1+T472)</f>
        <v>368403.10934568</v>
      </c>
      <c r="AA472" s="6" t="n">
        <f aca="false">(Z472+Assumptions!$B$28)*(1+U472)</f>
        <v>757523.578978787</v>
      </c>
      <c r="AB472" s="6" t="n">
        <f aca="false">AA472*(1+V472)</f>
        <v>830728.35855659</v>
      </c>
      <c r="AC472" s="6" t="n">
        <f aca="false">AB472*(1+W472)</f>
        <v>846116.687973328</v>
      </c>
      <c r="AD472" s="6" t="n">
        <f aca="false">AC472*(1+X472)</f>
        <v>777601.276421308</v>
      </c>
      <c r="AE472" s="6" t="n">
        <f aca="false">AD472*(1+Y472)</f>
        <v>1016141.68115419</v>
      </c>
      <c r="AF472" s="6" t="n">
        <f aca="false">Z472</f>
        <v>368403.10934568</v>
      </c>
      <c r="AG472" s="6" t="n">
        <f aca="false">MAX(AF472,AA472)</f>
        <v>757523.578978787</v>
      </c>
      <c r="AH472" s="6" t="n">
        <f aca="false">MAX(AG472,AB472)</f>
        <v>830728.35855659</v>
      </c>
      <c r="AI472" s="6" t="n">
        <f aca="false">MAX(AH472,AC472)</f>
        <v>846116.687973328</v>
      </c>
      <c r="AJ472" s="6" t="n">
        <f aca="false">MAX(AI472,AD472)</f>
        <v>846116.687973328</v>
      </c>
      <c r="AK472" s="6" t="n">
        <f aca="false">MAX(AJ472,AE472)</f>
        <v>1016141.68115419</v>
      </c>
      <c r="AL472" s="8" t="n">
        <f aca="false">MIN(Z472/AF472-1,AA472/AG472-1,AB472/AH472-1,AC472/AI472-1,AD472/AJ472-1,AE472/AK472-1)</f>
        <v>-0.080976315118111</v>
      </c>
      <c r="AM472" s="6" t="n">
        <f aca="false">AE472-Assumptions!$B$35</f>
        <v>574877.684491683</v>
      </c>
    </row>
    <row r="473" customFormat="false" ht="15" hidden="false" customHeight="false" outlineLevel="0" collapsed="false">
      <c r="A473" s="0" t="n">
        <f aca="false">ROW()-1</f>
        <v>472</v>
      </c>
      <c r="B473" s="0" t="str">
        <f aca="true">IF(RAND()&lt;Assumptions!$B$11,"Bull","Bear")</f>
        <v>Bear</v>
      </c>
      <c r="C473" s="0" t="str">
        <f aca="true">IF(B473="Bull",IF(RAND()&lt;Assumptions!$B$7,"Bull","Bear"),IF(RAND()&lt;Assumptions!$B$10,"Bear","Bull"))</f>
        <v>Bear</v>
      </c>
      <c r="D473" s="0" t="str">
        <f aca="true">IF(C473="Bull",IF(RAND()&lt;Assumptions!$B$7,"Bull","Bear"),IF(RAND()&lt;Assumptions!$B$10,"Bear","Bull"))</f>
        <v>Bear</v>
      </c>
      <c r="E473" s="0" t="str">
        <f aca="true">IF(D473="Bull",IF(RAND()&lt;Assumptions!$B$7,"Bull","Bear"),IF(RAND()&lt;Assumptions!$B$10,"Bear","Bull"))</f>
        <v>Bull</v>
      </c>
      <c r="F473" s="0" t="str">
        <f aca="true">IF(E473="Bull",IF(RAND()&lt;Assumptions!$B$7,"Bull","Bear"),IF(RAND()&lt;Assumptions!$B$10,"Bear","Bull"))</f>
        <v>Bull</v>
      </c>
      <c r="G473" s="0" t="str">
        <f aca="true">IF(F473="Bull",IF(RAND()&lt;Assumptions!$B$7,"Bull","Bear"),IF(RAND()&lt;Assumptions!$B$10,"Bear","Bull"))</f>
        <v>Bull</v>
      </c>
      <c r="H473" s="8" t="n">
        <f aca="true">IF(B473="Bull",NORMINV(RAND(),Assumptions!$B$5,Assumptions!$B$6),NORMINV(RAND(),Assumptions!$B$8,Assumptions!$B$9))</f>
        <v>-0.0547959339264081</v>
      </c>
      <c r="I473" s="8" t="n">
        <f aca="true">IF(C473="Bull",NORMINV(RAND(),Assumptions!$B$5,Assumptions!$B$6),NORMINV(RAND(),Assumptions!$B$8,Assumptions!$B$9))</f>
        <v>-0.378000093696827</v>
      </c>
      <c r="J473" s="8" t="n">
        <f aca="true">IF(D473="Bull",NORMINV(RAND(),Assumptions!$B$5,Assumptions!$B$6),NORMINV(RAND(),Assumptions!$B$8,Assumptions!$B$9))</f>
        <v>-0.0654677251167057</v>
      </c>
      <c r="K473" s="8" t="n">
        <f aca="true">IF(E473="Bull",NORMINV(RAND(),Assumptions!$B$5,Assumptions!$B$6),NORMINV(RAND(),Assumptions!$B$8,Assumptions!$B$9))</f>
        <v>-0.125478631478125</v>
      </c>
      <c r="L473" s="8" t="n">
        <f aca="true">IF(F473="Bull",NORMINV(RAND(),Assumptions!$B$5,Assumptions!$B$6),NORMINV(RAND(),Assumptions!$B$8,Assumptions!$B$9))</f>
        <v>0.151719435924441</v>
      </c>
      <c r="M473" s="8" t="n">
        <f aca="true">IF(G473="Bull",NORMINV(RAND(),Assumptions!$B$5,Assumptions!$B$6),NORMINV(RAND(),Assumptions!$B$8,Assumptions!$B$9))</f>
        <v>0.024662641972204</v>
      </c>
      <c r="N473" s="8" t="n">
        <f aca="true">NORMINV(RAND(),Assumptions!$B$14,Assumptions!$B$15)</f>
        <v>0.0325587505974493</v>
      </c>
      <c r="O473" s="8" t="n">
        <f aca="true">NORMINV(RAND(),Assumptions!$B$14,Assumptions!$B$15)</f>
        <v>0.0405345354147056</v>
      </c>
      <c r="P473" s="8" t="n">
        <f aca="true">NORMINV(RAND(),Assumptions!$B$14,Assumptions!$B$15)</f>
        <v>0.0355721285816253</v>
      </c>
      <c r="Q473" s="8" t="n">
        <f aca="true">NORMINV(RAND(),Assumptions!$B$14,Assumptions!$B$15)</f>
        <v>0.045674183809055</v>
      </c>
      <c r="R473" s="8" t="n">
        <f aca="true">NORMINV(RAND(),Assumptions!$B$14,Assumptions!$B$15)</f>
        <v>0.0274086376646131</v>
      </c>
      <c r="S473" s="8" t="n">
        <f aca="true">NORMINV(RAND(),Assumptions!$B$14,Assumptions!$B$15)</f>
        <v>0.0113493381856584</v>
      </c>
      <c r="T473" s="8" t="n">
        <f aca="false">Assumptions!$B$19*H473+(1-Assumptions!$B$19)*N473</f>
        <v>-0.0547959339264081</v>
      </c>
      <c r="U473" s="8" t="n">
        <f aca="false">Assumptions!$B$20*I473+(1-Assumptions!$B$20)*O473</f>
        <v>-0.378000093696827</v>
      </c>
      <c r="V473" s="8" t="n">
        <f aca="false">Assumptions!$B$21*J473+(1-Assumptions!$B$21)*P473</f>
        <v>-0.0654677251167057</v>
      </c>
      <c r="W473" s="8" t="n">
        <f aca="false">Assumptions!$B$22*K473+(1-Assumptions!$B$22)*Q473</f>
        <v>-0.125478631478125</v>
      </c>
      <c r="X473" s="8" t="n">
        <f aca="false">Assumptions!$B$23*L473+(1-Assumptions!$B$23)*R473</f>
        <v>0.126857276272476</v>
      </c>
      <c r="Y473" s="8" t="n">
        <f aca="false">Assumptions!$B$24*M473+(1-Assumptions!$B$24)*S473</f>
        <v>0.0193373204575858</v>
      </c>
      <c r="Z473" s="6" t="n">
        <f aca="false">Assumptions!$B$27*(1+T473)</f>
        <v>283561.219822078</v>
      </c>
      <c r="AA473" s="6" t="n">
        <f aca="false">(Z473+Assumptions!$B$28)*(1+U473)</f>
        <v>269675.038106022</v>
      </c>
      <c r="AB473" s="6" t="n">
        <f aca="false">AA473*(1+V473)</f>
        <v>252020.02684046</v>
      </c>
      <c r="AC473" s="6" t="n">
        <f aca="false">AB473*(1+W473)</f>
        <v>220396.898767438</v>
      </c>
      <c r="AD473" s="6" t="n">
        <f aca="false">AC473*(1+X473)</f>
        <v>248355.849043976</v>
      </c>
      <c r="AE473" s="6" t="n">
        <f aca="false">AD473*(1+Y473)</f>
        <v>253158.385684455</v>
      </c>
      <c r="AF473" s="6" t="n">
        <f aca="false">Z473</f>
        <v>283561.219822078</v>
      </c>
      <c r="AG473" s="6" t="n">
        <f aca="false">MAX(AF473,AA473)</f>
        <v>283561.219822078</v>
      </c>
      <c r="AH473" s="6" t="n">
        <f aca="false">MAX(AG473,AB473)</f>
        <v>283561.219822078</v>
      </c>
      <c r="AI473" s="6" t="n">
        <f aca="false">MAX(AH473,AC473)</f>
        <v>283561.219822078</v>
      </c>
      <c r="AJ473" s="6" t="n">
        <f aca="false">MAX(AI473,AD473)</f>
        <v>283561.219822078</v>
      </c>
      <c r="AK473" s="6" t="n">
        <f aca="false">MAX(AJ473,AE473)</f>
        <v>283561.219822078</v>
      </c>
      <c r="AL473" s="8" t="n">
        <f aca="false">MIN(Z473/AF473-1,AA473/AG473-1,AB473/AH473-1,AC473/AI473-1,AD473/AJ473-1,AE473/AK473-1)</f>
        <v>-0.222753735839732</v>
      </c>
      <c r="AM473" s="6" t="n">
        <f aca="false">AE473-Assumptions!$B$35</f>
        <v>-188105.610978048</v>
      </c>
    </row>
    <row r="474" customFormat="false" ht="15" hidden="false" customHeight="false" outlineLevel="0" collapsed="false">
      <c r="A474" s="0" t="n">
        <f aca="false">ROW()-1</f>
        <v>473</v>
      </c>
      <c r="B474" s="0" t="str">
        <f aca="true">IF(RAND()&lt;Assumptions!$B$11,"Bull","Bear")</f>
        <v>Bull</v>
      </c>
      <c r="C474" s="0" t="str">
        <f aca="true">IF(B474="Bull",IF(RAND()&lt;Assumptions!$B$7,"Bull","Bear"),IF(RAND()&lt;Assumptions!$B$10,"Bear","Bull"))</f>
        <v>Bull</v>
      </c>
      <c r="D474" s="0" t="str">
        <f aca="true">IF(C474="Bull",IF(RAND()&lt;Assumptions!$B$7,"Bull","Bear"),IF(RAND()&lt;Assumptions!$B$10,"Bear","Bull"))</f>
        <v>Bull</v>
      </c>
      <c r="E474" s="0" t="str">
        <f aca="true">IF(D474="Bull",IF(RAND()&lt;Assumptions!$B$7,"Bull","Bear"),IF(RAND()&lt;Assumptions!$B$10,"Bear","Bull"))</f>
        <v>Bear</v>
      </c>
      <c r="F474" s="0" t="str">
        <f aca="true">IF(E474="Bull",IF(RAND()&lt;Assumptions!$B$7,"Bull","Bear"),IF(RAND()&lt;Assumptions!$B$10,"Bear","Bull"))</f>
        <v>Bull</v>
      </c>
      <c r="G474" s="0" t="str">
        <f aca="true">IF(F474="Bull",IF(RAND()&lt;Assumptions!$B$7,"Bull","Bear"),IF(RAND()&lt;Assumptions!$B$10,"Bear","Bull"))</f>
        <v>Bear</v>
      </c>
      <c r="H474" s="8" t="n">
        <f aca="true">IF(B474="Bull",NORMINV(RAND(),Assumptions!$B$5,Assumptions!$B$6),NORMINV(RAND(),Assumptions!$B$8,Assumptions!$B$9))</f>
        <v>0.131280487708896</v>
      </c>
      <c r="I474" s="8" t="n">
        <f aca="true">IF(C474="Bull",NORMINV(RAND(),Assumptions!$B$5,Assumptions!$B$6),NORMINV(RAND(),Assumptions!$B$8,Assumptions!$B$9))</f>
        <v>0.127191162994328</v>
      </c>
      <c r="J474" s="8" t="n">
        <f aca="true">IF(D474="Bull",NORMINV(RAND(),Assumptions!$B$5,Assumptions!$B$6),NORMINV(RAND(),Assumptions!$B$8,Assumptions!$B$9))</f>
        <v>0.110615889694355</v>
      </c>
      <c r="K474" s="8" t="n">
        <f aca="true">IF(E474="Bull",NORMINV(RAND(),Assumptions!$B$5,Assumptions!$B$6),NORMINV(RAND(),Assumptions!$B$8,Assumptions!$B$9))</f>
        <v>-0.0648413099615966</v>
      </c>
      <c r="L474" s="8" t="n">
        <f aca="true">IF(F474="Bull",NORMINV(RAND(),Assumptions!$B$5,Assumptions!$B$6),NORMINV(RAND(),Assumptions!$B$8,Assumptions!$B$9))</f>
        <v>-0.00924911551822052</v>
      </c>
      <c r="M474" s="8" t="n">
        <f aca="true">IF(G474="Bull",NORMINV(RAND(),Assumptions!$B$5,Assumptions!$B$6),NORMINV(RAND(),Assumptions!$B$8,Assumptions!$B$9))</f>
        <v>-0.169816192179535</v>
      </c>
      <c r="N474" s="8" t="n">
        <f aca="true">NORMINV(RAND(),Assumptions!$B$14,Assumptions!$B$15)</f>
        <v>0.0942842088711842</v>
      </c>
      <c r="O474" s="8" t="n">
        <f aca="true">NORMINV(RAND(),Assumptions!$B$14,Assumptions!$B$15)</f>
        <v>0.0932797261987374</v>
      </c>
      <c r="P474" s="8" t="n">
        <f aca="true">NORMINV(RAND(),Assumptions!$B$14,Assumptions!$B$15)</f>
        <v>0.0395119753053478</v>
      </c>
      <c r="Q474" s="8" t="n">
        <f aca="true">NORMINV(RAND(),Assumptions!$B$14,Assumptions!$B$15)</f>
        <v>0.0769989581037317</v>
      </c>
      <c r="R474" s="8" t="n">
        <f aca="true">NORMINV(RAND(),Assumptions!$B$14,Assumptions!$B$15)</f>
        <v>0.0404244560234099</v>
      </c>
      <c r="S474" s="8" t="n">
        <f aca="true">NORMINV(RAND(),Assumptions!$B$14,Assumptions!$B$15)</f>
        <v>0.056822275790191</v>
      </c>
      <c r="T474" s="8" t="n">
        <f aca="false">Assumptions!$B$19*H474+(1-Assumptions!$B$19)*N474</f>
        <v>0.131280487708896</v>
      </c>
      <c r="U474" s="8" t="n">
        <f aca="false">Assumptions!$B$20*I474+(1-Assumptions!$B$20)*O474</f>
        <v>0.127191162994328</v>
      </c>
      <c r="V474" s="8" t="n">
        <f aca="false">Assumptions!$B$21*J474+(1-Assumptions!$B$21)*P474</f>
        <v>0.110615889694355</v>
      </c>
      <c r="W474" s="8" t="n">
        <f aca="false">Assumptions!$B$22*K474+(1-Assumptions!$B$22)*Q474</f>
        <v>-0.0648413099615966</v>
      </c>
      <c r="X474" s="8" t="n">
        <f aca="false">Assumptions!$B$23*L474+(1-Assumptions!$B$23)*R474</f>
        <v>0.000685598790105548</v>
      </c>
      <c r="Y474" s="8" t="n">
        <f aca="false">Assumptions!$B$24*M474+(1-Assumptions!$B$24)*S474</f>
        <v>-0.0791608049916443</v>
      </c>
      <c r="Z474" s="6" t="n">
        <f aca="false">Assumptions!$B$27*(1+T474)</f>
        <v>339384.146312669</v>
      </c>
      <c r="AA474" s="6" t="n">
        <f aca="false">(Z474+Assumptions!$B$28)*(1+U474)</f>
        <v>551629.485033164</v>
      </c>
      <c r="AB474" s="6" t="n">
        <f aca="false">AA474*(1+V474)</f>
        <v>612648.471301746</v>
      </c>
      <c r="AC474" s="6" t="n">
        <f aca="false">AB474*(1+W474)</f>
        <v>572923.541876571</v>
      </c>
      <c r="AD474" s="6" t="n">
        <f aca="false">AC474*(1+X474)</f>
        <v>573316.337563705</v>
      </c>
      <c r="AE474" s="6" t="n">
        <f aca="false">AD474*(1+Y474)</f>
        <v>527932.154767301</v>
      </c>
      <c r="AF474" s="6" t="n">
        <f aca="false">Z474</f>
        <v>339384.146312669</v>
      </c>
      <c r="AG474" s="6" t="n">
        <f aca="false">MAX(AF474,AA474)</f>
        <v>551629.485033164</v>
      </c>
      <c r="AH474" s="6" t="n">
        <f aca="false">MAX(AG474,AB474)</f>
        <v>612648.471301746</v>
      </c>
      <c r="AI474" s="6" t="n">
        <f aca="false">MAX(AH474,AC474)</f>
        <v>612648.471301746</v>
      </c>
      <c r="AJ474" s="6" t="n">
        <f aca="false">MAX(AI474,AD474)</f>
        <v>612648.471301746</v>
      </c>
      <c r="AK474" s="6" t="n">
        <f aca="false">MAX(AJ474,AE474)</f>
        <v>612648.471301746</v>
      </c>
      <c r="AL474" s="8" t="n">
        <f aca="false">MIN(Z474/AF474-1,AA474/AG474-1,AB474/AH474-1,AC474/AI474-1,AD474/AJ474-1,AE474/AK474-1)</f>
        <v>-0.138278834442272</v>
      </c>
      <c r="AM474" s="6" t="n">
        <f aca="false">AE474-Assumptions!$B$35</f>
        <v>86668.158104797</v>
      </c>
    </row>
    <row r="475" customFormat="false" ht="15" hidden="false" customHeight="false" outlineLevel="0" collapsed="false">
      <c r="A475" s="0" t="n">
        <f aca="false">ROW()-1</f>
        <v>474</v>
      </c>
      <c r="B475" s="0" t="str">
        <f aca="true">IF(RAND()&lt;Assumptions!$B$11,"Bull","Bear")</f>
        <v>Bull</v>
      </c>
      <c r="C475" s="0" t="str">
        <f aca="true">IF(B475="Bull",IF(RAND()&lt;Assumptions!$B$7,"Bull","Bear"),IF(RAND()&lt;Assumptions!$B$10,"Bear","Bull"))</f>
        <v>Bull</v>
      </c>
      <c r="D475" s="0" t="str">
        <f aca="true">IF(C475="Bull",IF(RAND()&lt;Assumptions!$B$7,"Bull","Bear"),IF(RAND()&lt;Assumptions!$B$10,"Bear","Bull"))</f>
        <v>Bull</v>
      </c>
      <c r="E475" s="0" t="str">
        <f aca="true">IF(D475="Bull",IF(RAND()&lt;Assumptions!$B$7,"Bull","Bear"),IF(RAND()&lt;Assumptions!$B$10,"Bear","Bull"))</f>
        <v>Bear</v>
      </c>
      <c r="F475" s="0" t="str">
        <f aca="true">IF(E475="Bull",IF(RAND()&lt;Assumptions!$B$7,"Bull","Bear"),IF(RAND()&lt;Assumptions!$B$10,"Bear","Bull"))</f>
        <v>Bull</v>
      </c>
      <c r="G475" s="0" t="str">
        <f aca="true">IF(F475="Bull",IF(RAND()&lt;Assumptions!$B$7,"Bull","Bear"),IF(RAND()&lt;Assumptions!$B$10,"Bear","Bull"))</f>
        <v>Bull</v>
      </c>
      <c r="H475" s="8" t="n">
        <f aca="true">IF(B475="Bull",NORMINV(RAND(),Assumptions!$B$5,Assumptions!$B$6),NORMINV(RAND(),Assumptions!$B$8,Assumptions!$B$9))</f>
        <v>0.302004258350095</v>
      </c>
      <c r="I475" s="8" t="n">
        <f aca="true">IF(C475="Bull",NORMINV(RAND(),Assumptions!$B$5,Assumptions!$B$6),NORMINV(RAND(),Assumptions!$B$8,Assumptions!$B$9))</f>
        <v>0.227895080312803</v>
      </c>
      <c r="J475" s="8" t="n">
        <f aca="true">IF(D475="Bull",NORMINV(RAND(),Assumptions!$B$5,Assumptions!$B$6),NORMINV(RAND(),Assumptions!$B$8,Assumptions!$B$9))</f>
        <v>0.140147799417212</v>
      </c>
      <c r="K475" s="8" t="n">
        <f aca="true">IF(E475="Bull",NORMINV(RAND(),Assumptions!$B$5,Assumptions!$B$6),NORMINV(RAND(),Assumptions!$B$8,Assumptions!$B$9))</f>
        <v>-0.346834772993082</v>
      </c>
      <c r="L475" s="8" t="n">
        <f aca="true">IF(F475="Bull",NORMINV(RAND(),Assumptions!$B$5,Assumptions!$B$6),NORMINV(RAND(),Assumptions!$B$8,Assumptions!$B$9))</f>
        <v>0.0765986144426272</v>
      </c>
      <c r="M475" s="8" t="n">
        <f aca="true">IF(G475="Bull",NORMINV(RAND(),Assumptions!$B$5,Assumptions!$B$6),NORMINV(RAND(),Assumptions!$B$8,Assumptions!$B$9))</f>
        <v>0.241810425333881</v>
      </c>
      <c r="N475" s="8" t="n">
        <f aca="true">NORMINV(RAND(),Assumptions!$B$14,Assumptions!$B$15)</f>
        <v>0.0572321136063255</v>
      </c>
      <c r="O475" s="8" t="n">
        <f aca="true">NORMINV(RAND(),Assumptions!$B$14,Assumptions!$B$15)</f>
        <v>0.0485265439454786</v>
      </c>
      <c r="P475" s="8" t="n">
        <f aca="true">NORMINV(RAND(),Assumptions!$B$14,Assumptions!$B$15)</f>
        <v>0.057391234737669</v>
      </c>
      <c r="Q475" s="8" t="n">
        <f aca="true">NORMINV(RAND(),Assumptions!$B$14,Assumptions!$B$15)</f>
        <v>0.0464719811715755</v>
      </c>
      <c r="R475" s="8" t="n">
        <f aca="true">NORMINV(RAND(),Assumptions!$B$14,Assumptions!$B$15)</f>
        <v>0.0273579597898706</v>
      </c>
      <c r="S475" s="8" t="n">
        <f aca="true">NORMINV(RAND(),Assumptions!$B$14,Assumptions!$B$15)</f>
        <v>0.0447362886806737</v>
      </c>
      <c r="T475" s="8" t="n">
        <f aca="false">Assumptions!$B$19*H475+(1-Assumptions!$B$19)*N475</f>
        <v>0.302004258350095</v>
      </c>
      <c r="U475" s="8" t="n">
        <f aca="false">Assumptions!$B$20*I475+(1-Assumptions!$B$20)*O475</f>
        <v>0.227895080312803</v>
      </c>
      <c r="V475" s="8" t="n">
        <f aca="false">Assumptions!$B$21*J475+(1-Assumptions!$B$21)*P475</f>
        <v>0.140147799417212</v>
      </c>
      <c r="W475" s="8" t="n">
        <f aca="false">Assumptions!$B$22*K475+(1-Assumptions!$B$22)*Q475</f>
        <v>-0.346834772993082</v>
      </c>
      <c r="X475" s="8" t="n">
        <f aca="false">Assumptions!$B$23*L475+(1-Assumptions!$B$23)*R475</f>
        <v>0.0667504835120759</v>
      </c>
      <c r="Y475" s="8" t="n">
        <f aca="false">Assumptions!$B$24*M475+(1-Assumptions!$B$24)*S475</f>
        <v>0.162980770672598</v>
      </c>
      <c r="Z475" s="6" t="n">
        <f aca="false">Assumptions!$B$27*(1+T475)</f>
        <v>390601.277505028</v>
      </c>
      <c r="AA475" s="6" t="n">
        <f aca="false">(Z475+Assumptions!$B$28)*(1+U475)</f>
        <v>663801.649059241</v>
      </c>
      <c r="AB475" s="6" t="n">
        <f aca="false">AA475*(1+V475)</f>
        <v>756831.98942441</v>
      </c>
      <c r="AC475" s="6" t="n">
        <f aca="false">AB475*(1+W475)</f>
        <v>494336.338178492</v>
      </c>
      <c r="AD475" s="6" t="n">
        <f aca="false">AC475*(1+X475)</f>
        <v>527333.527769495</v>
      </c>
      <c r="AE475" s="6" t="n">
        <f aca="false">AD475*(1+Y475)</f>
        <v>613278.752526868</v>
      </c>
      <c r="AF475" s="6" t="n">
        <f aca="false">Z475</f>
        <v>390601.277505028</v>
      </c>
      <c r="AG475" s="6" t="n">
        <f aca="false">MAX(AF475,AA475)</f>
        <v>663801.649059241</v>
      </c>
      <c r="AH475" s="6" t="n">
        <f aca="false">MAX(AG475,AB475)</f>
        <v>756831.98942441</v>
      </c>
      <c r="AI475" s="6" t="n">
        <f aca="false">MAX(AH475,AC475)</f>
        <v>756831.98942441</v>
      </c>
      <c r="AJ475" s="6" t="n">
        <f aca="false">MAX(AI475,AD475)</f>
        <v>756831.98942441</v>
      </c>
      <c r="AK475" s="6" t="n">
        <f aca="false">MAX(AJ475,AE475)</f>
        <v>756831.98942441</v>
      </c>
      <c r="AL475" s="8" t="n">
        <f aca="false">MIN(Z475/AF475-1,AA475/AG475-1,AB475/AH475-1,AC475/AI475-1,AD475/AJ475-1,AE475/AK475-1)</f>
        <v>-0.346834772993082</v>
      </c>
      <c r="AM475" s="6" t="n">
        <f aca="false">AE475-Assumptions!$B$35</f>
        <v>172014.755864364</v>
      </c>
    </row>
    <row r="476" customFormat="false" ht="15" hidden="false" customHeight="false" outlineLevel="0" collapsed="false">
      <c r="A476" s="0" t="n">
        <f aca="false">ROW()-1</f>
        <v>475</v>
      </c>
      <c r="B476" s="0" t="str">
        <f aca="true">IF(RAND()&lt;Assumptions!$B$11,"Bull","Bear")</f>
        <v>Bull</v>
      </c>
      <c r="C476" s="0" t="str">
        <f aca="true">IF(B476="Bull",IF(RAND()&lt;Assumptions!$B$7,"Bull","Bear"),IF(RAND()&lt;Assumptions!$B$10,"Bear","Bull"))</f>
        <v>Bull</v>
      </c>
      <c r="D476" s="0" t="str">
        <f aca="true">IF(C476="Bull",IF(RAND()&lt;Assumptions!$B$7,"Bull","Bear"),IF(RAND()&lt;Assumptions!$B$10,"Bear","Bull"))</f>
        <v>Bull</v>
      </c>
      <c r="E476" s="0" t="str">
        <f aca="true">IF(D476="Bull",IF(RAND()&lt;Assumptions!$B$7,"Bull","Bear"),IF(RAND()&lt;Assumptions!$B$10,"Bear","Bull"))</f>
        <v>Bull</v>
      </c>
      <c r="F476" s="0" t="str">
        <f aca="true">IF(E476="Bull",IF(RAND()&lt;Assumptions!$B$7,"Bull","Bear"),IF(RAND()&lt;Assumptions!$B$10,"Bear","Bull"))</f>
        <v>Bear</v>
      </c>
      <c r="G476" s="0" t="str">
        <f aca="true">IF(F476="Bull",IF(RAND()&lt;Assumptions!$B$7,"Bull","Bear"),IF(RAND()&lt;Assumptions!$B$10,"Bear","Bull"))</f>
        <v>Bear</v>
      </c>
      <c r="H476" s="8" t="n">
        <f aca="true">IF(B476="Bull",NORMINV(RAND(),Assumptions!$B$5,Assumptions!$B$6),NORMINV(RAND(),Assumptions!$B$8,Assumptions!$B$9))</f>
        <v>0.08819294840256</v>
      </c>
      <c r="I476" s="8" t="n">
        <f aca="true">IF(C476="Bull",NORMINV(RAND(),Assumptions!$B$5,Assumptions!$B$6),NORMINV(RAND(),Assumptions!$B$8,Assumptions!$B$9))</f>
        <v>0.109160841328079</v>
      </c>
      <c r="J476" s="8" t="n">
        <f aca="true">IF(D476="Bull",NORMINV(RAND(),Assumptions!$B$5,Assumptions!$B$6),NORMINV(RAND(),Assumptions!$B$8,Assumptions!$B$9))</f>
        <v>0.110491976089182</v>
      </c>
      <c r="K476" s="8" t="n">
        <f aca="true">IF(E476="Bull",NORMINV(RAND(),Assumptions!$B$5,Assumptions!$B$6),NORMINV(RAND(),Assumptions!$B$8,Assumptions!$B$9))</f>
        <v>0.370720889071023</v>
      </c>
      <c r="L476" s="8" t="n">
        <f aca="true">IF(F476="Bull",NORMINV(RAND(),Assumptions!$B$5,Assumptions!$B$6),NORMINV(RAND(),Assumptions!$B$8,Assumptions!$B$9))</f>
        <v>-0.204095593472728</v>
      </c>
      <c r="M476" s="8" t="n">
        <f aca="true">IF(G476="Bull",NORMINV(RAND(),Assumptions!$B$5,Assumptions!$B$6),NORMINV(RAND(),Assumptions!$B$8,Assumptions!$B$9))</f>
        <v>-0.0247748230961232</v>
      </c>
      <c r="N476" s="8" t="n">
        <f aca="true">NORMINV(RAND(),Assumptions!$B$14,Assumptions!$B$15)</f>
        <v>0.0451591113452812</v>
      </c>
      <c r="O476" s="8" t="n">
        <f aca="true">NORMINV(RAND(),Assumptions!$B$14,Assumptions!$B$15)</f>
        <v>0.0251507699434022</v>
      </c>
      <c r="P476" s="8" t="n">
        <f aca="true">NORMINV(RAND(),Assumptions!$B$14,Assumptions!$B$15)</f>
        <v>0.0273675035505352</v>
      </c>
      <c r="Q476" s="8" t="n">
        <f aca="true">NORMINV(RAND(),Assumptions!$B$14,Assumptions!$B$15)</f>
        <v>0.0283494887859886</v>
      </c>
      <c r="R476" s="8" t="n">
        <f aca="true">NORMINV(RAND(),Assumptions!$B$14,Assumptions!$B$15)</f>
        <v>0.0654081607215867</v>
      </c>
      <c r="S476" s="8" t="n">
        <f aca="true">NORMINV(RAND(),Assumptions!$B$14,Assumptions!$B$15)</f>
        <v>0.0376983945036208</v>
      </c>
      <c r="T476" s="8" t="n">
        <f aca="false">Assumptions!$B$19*H476+(1-Assumptions!$B$19)*N476</f>
        <v>0.08819294840256</v>
      </c>
      <c r="U476" s="8" t="n">
        <f aca="false">Assumptions!$B$20*I476+(1-Assumptions!$B$20)*O476</f>
        <v>0.109160841328079</v>
      </c>
      <c r="V476" s="8" t="n">
        <f aca="false">Assumptions!$B$21*J476+(1-Assumptions!$B$21)*P476</f>
        <v>0.110491976089182</v>
      </c>
      <c r="W476" s="8" t="n">
        <f aca="false">Assumptions!$B$22*K476+(1-Assumptions!$B$22)*Q476</f>
        <v>0.370720889071023</v>
      </c>
      <c r="X476" s="8" t="n">
        <f aca="false">Assumptions!$B$23*L476+(1-Assumptions!$B$23)*R476</f>
        <v>-0.150194842633865</v>
      </c>
      <c r="Y476" s="8" t="n">
        <f aca="false">Assumptions!$B$24*M476+(1-Assumptions!$B$24)*S476</f>
        <v>0.000214463943774369</v>
      </c>
      <c r="Z476" s="6" t="n">
        <f aca="false">Assumptions!$B$27*(1+T476)</f>
        <v>326457.884520768</v>
      </c>
      <c r="AA476" s="6" t="n">
        <f aca="false">(Z476+Assumptions!$B$28)*(1+U476)</f>
        <v>528468.428052452</v>
      </c>
      <c r="AB476" s="6" t="n">
        <f aca="false">AA476*(1+V476)</f>
        <v>586859.948968711</v>
      </c>
      <c r="AC476" s="6" t="n">
        <f aca="false">AB476*(1+W476)</f>
        <v>804421.191010566</v>
      </c>
      <c r="AD476" s="6" t="n">
        <f aca="false">AC476*(1+X476)</f>
        <v>683601.276815388</v>
      </c>
      <c r="AE476" s="6" t="n">
        <f aca="false">AD476*(1+Y476)</f>
        <v>683747.884641183</v>
      </c>
      <c r="AF476" s="6" t="n">
        <f aca="false">Z476</f>
        <v>326457.884520768</v>
      </c>
      <c r="AG476" s="6" t="n">
        <f aca="false">MAX(AF476,AA476)</f>
        <v>528468.428052452</v>
      </c>
      <c r="AH476" s="6" t="n">
        <f aca="false">MAX(AG476,AB476)</f>
        <v>586859.948968711</v>
      </c>
      <c r="AI476" s="6" t="n">
        <f aca="false">MAX(AH476,AC476)</f>
        <v>804421.191010566</v>
      </c>
      <c r="AJ476" s="6" t="n">
        <f aca="false">MAX(AI476,AD476)</f>
        <v>804421.191010566</v>
      </c>
      <c r="AK476" s="6" t="n">
        <f aca="false">MAX(AJ476,AE476)</f>
        <v>804421.191010566</v>
      </c>
      <c r="AL476" s="8" t="n">
        <f aca="false">MIN(Z476/AF476-1,AA476/AG476-1,AB476/AH476-1,AC476/AI476-1,AD476/AJ476-1,AE476/AK476-1)</f>
        <v>-0.150194842633865</v>
      </c>
      <c r="AM476" s="6" t="n">
        <f aca="false">AE476-Assumptions!$B$35</f>
        <v>242483.88797868</v>
      </c>
    </row>
    <row r="477" customFormat="false" ht="15" hidden="false" customHeight="false" outlineLevel="0" collapsed="false">
      <c r="A477" s="0" t="n">
        <f aca="false">ROW()-1</f>
        <v>476</v>
      </c>
      <c r="B477" s="0" t="str">
        <f aca="true">IF(RAND()&lt;Assumptions!$B$11,"Bull","Bear")</f>
        <v>Bull</v>
      </c>
      <c r="C477" s="0" t="str">
        <f aca="true">IF(B477="Bull",IF(RAND()&lt;Assumptions!$B$7,"Bull","Bear"),IF(RAND()&lt;Assumptions!$B$10,"Bear","Bull"))</f>
        <v>Bear</v>
      </c>
      <c r="D477" s="0" t="str">
        <f aca="true">IF(C477="Bull",IF(RAND()&lt;Assumptions!$B$7,"Bull","Bear"),IF(RAND()&lt;Assumptions!$B$10,"Bear","Bull"))</f>
        <v>Bear</v>
      </c>
      <c r="E477" s="0" t="str">
        <f aca="true">IF(D477="Bull",IF(RAND()&lt;Assumptions!$B$7,"Bull","Bear"),IF(RAND()&lt;Assumptions!$B$10,"Bear","Bull"))</f>
        <v>Bear</v>
      </c>
      <c r="F477" s="0" t="str">
        <f aca="true">IF(E477="Bull",IF(RAND()&lt;Assumptions!$B$7,"Bull","Bear"),IF(RAND()&lt;Assumptions!$B$10,"Bear","Bull"))</f>
        <v>Bear</v>
      </c>
      <c r="G477" s="0" t="str">
        <f aca="true">IF(F477="Bull",IF(RAND()&lt;Assumptions!$B$7,"Bull","Bear"),IF(RAND()&lt;Assumptions!$B$10,"Bear","Bull"))</f>
        <v>Bull</v>
      </c>
      <c r="H477" s="8" t="n">
        <f aca="true">IF(B477="Bull",NORMINV(RAND(),Assumptions!$B$5,Assumptions!$B$6),NORMINV(RAND(),Assumptions!$B$8,Assumptions!$B$9))</f>
        <v>0.0988545607818296</v>
      </c>
      <c r="I477" s="8" t="n">
        <f aca="true">IF(C477="Bull",NORMINV(RAND(),Assumptions!$B$5,Assumptions!$B$6),NORMINV(RAND(),Assumptions!$B$8,Assumptions!$B$9))</f>
        <v>-0.318645482402501</v>
      </c>
      <c r="J477" s="8" t="n">
        <f aca="true">IF(D477="Bull",NORMINV(RAND(),Assumptions!$B$5,Assumptions!$B$6),NORMINV(RAND(),Assumptions!$B$8,Assumptions!$B$9))</f>
        <v>-0.301501357475283</v>
      </c>
      <c r="K477" s="8" t="n">
        <f aca="true">IF(E477="Bull",NORMINV(RAND(),Assumptions!$B$5,Assumptions!$B$6),NORMINV(RAND(),Assumptions!$B$8,Assumptions!$B$9))</f>
        <v>-0.152610162108472</v>
      </c>
      <c r="L477" s="8" t="n">
        <f aca="true">IF(F477="Bull",NORMINV(RAND(),Assumptions!$B$5,Assumptions!$B$6),NORMINV(RAND(),Assumptions!$B$8,Assumptions!$B$9))</f>
        <v>-0.134441381956406</v>
      </c>
      <c r="M477" s="8" t="n">
        <f aca="true">IF(G477="Bull",NORMINV(RAND(),Assumptions!$B$5,Assumptions!$B$6),NORMINV(RAND(),Assumptions!$B$8,Assumptions!$B$9))</f>
        <v>0.0881323031887015</v>
      </c>
      <c r="N477" s="8" t="n">
        <f aca="true">NORMINV(RAND(),Assumptions!$B$14,Assumptions!$B$15)</f>
        <v>0.0523728893502257</v>
      </c>
      <c r="O477" s="8" t="n">
        <f aca="true">NORMINV(RAND(),Assumptions!$B$14,Assumptions!$B$15)</f>
        <v>0.0371923454884789</v>
      </c>
      <c r="P477" s="8" t="n">
        <f aca="true">NORMINV(RAND(),Assumptions!$B$14,Assumptions!$B$15)</f>
        <v>0.0510184396345394</v>
      </c>
      <c r="Q477" s="8" t="n">
        <f aca="true">NORMINV(RAND(),Assumptions!$B$14,Assumptions!$B$15)</f>
        <v>0.0227368234049981</v>
      </c>
      <c r="R477" s="8" t="n">
        <f aca="true">NORMINV(RAND(),Assumptions!$B$14,Assumptions!$B$15)</f>
        <v>0.0189659716603248</v>
      </c>
      <c r="S477" s="8" t="n">
        <f aca="true">NORMINV(RAND(),Assumptions!$B$14,Assumptions!$B$15)</f>
        <v>0.0342628656203464</v>
      </c>
      <c r="T477" s="8" t="n">
        <f aca="false">Assumptions!$B$19*H477+(1-Assumptions!$B$19)*N477</f>
        <v>0.0988545607818296</v>
      </c>
      <c r="U477" s="8" t="n">
        <f aca="false">Assumptions!$B$20*I477+(1-Assumptions!$B$20)*O477</f>
        <v>-0.318645482402501</v>
      </c>
      <c r="V477" s="8" t="n">
        <f aca="false">Assumptions!$B$21*J477+(1-Assumptions!$B$21)*P477</f>
        <v>-0.301501357475283</v>
      </c>
      <c r="W477" s="8" t="n">
        <f aca="false">Assumptions!$B$22*K477+(1-Assumptions!$B$22)*Q477</f>
        <v>-0.152610162108472</v>
      </c>
      <c r="X477" s="8" t="n">
        <f aca="false">Assumptions!$B$23*L477+(1-Assumptions!$B$23)*R477</f>
        <v>-0.10375991123306</v>
      </c>
      <c r="Y477" s="8" t="n">
        <f aca="false">Assumptions!$B$24*M477+(1-Assumptions!$B$24)*S477</f>
        <v>0.0665845281613594</v>
      </c>
      <c r="Z477" s="6" t="n">
        <f aca="false">Assumptions!$B$27*(1+T477)</f>
        <v>329656.368234549</v>
      </c>
      <c r="AA477" s="6" t="n">
        <f aca="false">(Z477+Assumptions!$B$28)*(1+U477)</f>
        <v>326816.033391019</v>
      </c>
      <c r="AB477" s="6" t="n">
        <f aca="false">AA477*(1+V477)</f>
        <v>228280.55567894</v>
      </c>
      <c r="AC477" s="6" t="n">
        <f aca="false">AB477*(1+W477)</f>
        <v>193442.623070565</v>
      </c>
      <c r="AD477" s="6" t="n">
        <f aca="false">AC477*(1+X477)</f>
        <v>173371.033672073</v>
      </c>
      <c r="AE477" s="6" t="n">
        <f aca="false">AD477*(1+Y477)</f>
        <v>184914.862145975</v>
      </c>
      <c r="AF477" s="6" t="n">
        <f aca="false">Z477</f>
        <v>329656.368234549</v>
      </c>
      <c r="AG477" s="6" t="n">
        <f aca="false">MAX(AF477,AA477)</f>
        <v>329656.368234549</v>
      </c>
      <c r="AH477" s="6" t="n">
        <f aca="false">MAX(AG477,AB477)</f>
        <v>329656.368234549</v>
      </c>
      <c r="AI477" s="6" t="n">
        <f aca="false">MAX(AH477,AC477)</f>
        <v>329656.368234549</v>
      </c>
      <c r="AJ477" s="6" t="n">
        <f aca="false">MAX(AI477,AD477)</f>
        <v>329656.368234549</v>
      </c>
      <c r="AK477" s="6" t="n">
        <f aca="false">MAX(AJ477,AE477)</f>
        <v>329656.368234549</v>
      </c>
      <c r="AL477" s="8" t="n">
        <f aca="false">MIN(Z477/AF477-1,AA477/AG477-1,AB477/AH477-1,AC477/AI477-1,AD477/AJ477-1,AE477/AK477-1)</f>
        <v>-0.47408559221668</v>
      </c>
      <c r="AM477" s="6" t="n">
        <f aca="false">AE477-Assumptions!$B$35</f>
        <v>-256349.134516529</v>
      </c>
    </row>
    <row r="478" customFormat="false" ht="15" hidden="false" customHeight="false" outlineLevel="0" collapsed="false">
      <c r="A478" s="0" t="n">
        <f aca="false">ROW()-1</f>
        <v>477</v>
      </c>
      <c r="B478" s="0" t="str">
        <f aca="true">IF(RAND()&lt;Assumptions!$B$11,"Bull","Bear")</f>
        <v>Bull</v>
      </c>
      <c r="C478" s="0" t="str">
        <f aca="true">IF(B478="Bull",IF(RAND()&lt;Assumptions!$B$7,"Bull","Bear"),IF(RAND()&lt;Assumptions!$B$10,"Bear","Bull"))</f>
        <v>Bull</v>
      </c>
      <c r="D478" s="0" t="str">
        <f aca="true">IF(C478="Bull",IF(RAND()&lt;Assumptions!$B$7,"Bull","Bear"),IF(RAND()&lt;Assumptions!$B$10,"Bear","Bull"))</f>
        <v>Bear</v>
      </c>
      <c r="E478" s="0" t="str">
        <f aca="true">IF(D478="Bull",IF(RAND()&lt;Assumptions!$B$7,"Bull","Bear"),IF(RAND()&lt;Assumptions!$B$10,"Bear","Bull"))</f>
        <v>Bear</v>
      </c>
      <c r="F478" s="0" t="str">
        <f aca="true">IF(E478="Bull",IF(RAND()&lt;Assumptions!$B$7,"Bull","Bear"),IF(RAND()&lt;Assumptions!$B$10,"Bear","Bull"))</f>
        <v>Bull</v>
      </c>
      <c r="G478" s="0" t="str">
        <f aca="true">IF(F478="Bull",IF(RAND()&lt;Assumptions!$B$7,"Bull","Bear"),IF(RAND()&lt;Assumptions!$B$10,"Bear","Bull"))</f>
        <v>Bear</v>
      </c>
      <c r="H478" s="8" t="n">
        <f aca="true">IF(B478="Bull",NORMINV(RAND(),Assumptions!$B$5,Assumptions!$B$6),NORMINV(RAND(),Assumptions!$B$8,Assumptions!$B$9))</f>
        <v>0.0891022772531778</v>
      </c>
      <c r="I478" s="8" t="n">
        <f aca="true">IF(C478="Bull",NORMINV(RAND(),Assumptions!$B$5,Assumptions!$B$6),NORMINV(RAND(),Assumptions!$B$8,Assumptions!$B$9))</f>
        <v>0.0666561472984531</v>
      </c>
      <c r="J478" s="8" t="n">
        <f aca="true">IF(D478="Bull",NORMINV(RAND(),Assumptions!$B$5,Assumptions!$B$6),NORMINV(RAND(),Assumptions!$B$8,Assumptions!$B$9))</f>
        <v>-0.322629015855506</v>
      </c>
      <c r="K478" s="8" t="n">
        <f aca="true">IF(E478="Bull",NORMINV(RAND(),Assumptions!$B$5,Assumptions!$B$6),NORMINV(RAND(),Assumptions!$B$8,Assumptions!$B$9))</f>
        <v>-0.324535351433916</v>
      </c>
      <c r="L478" s="8" t="n">
        <f aca="true">IF(F478="Bull",NORMINV(RAND(),Assumptions!$B$5,Assumptions!$B$6),NORMINV(RAND(),Assumptions!$B$8,Assumptions!$B$9))</f>
        <v>0.0707544690467181</v>
      </c>
      <c r="M478" s="8" t="n">
        <f aca="true">IF(G478="Bull",NORMINV(RAND(),Assumptions!$B$5,Assumptions!$B$6),NORMINV(RAND(),Assumptions!$B$8,Assumptions!$B$9))</f>
        <v>-0.0410263351134177</v>
      </c>
      <c r="N478" s="8" t="n">
        <f aca="true">NORMINV(RAND(),Assumptions!$B$14,Assumptions!$B$15)</f>
        <v>0.00211885777665324</v>
      </c>
      <c r="O478" s="8" t="n">
        <f aca="true">NORMINV(RAND(),Assumptions!$B$14,Assumptions!$B$15)</f>
        <v>0.0128333192791188</v>
      </c>
      <c r="P478" s="8" t="n">
        <f aca="true">NORMINV(RAND(),Assumptions!$B$14,Assumptions!$B$15)</f>
        <v>0.0463271932139171</v>
      </c>
      <c r="Q478" s="8" t="n">
        <f aca="true">NORMINV(RAND(),Assumptions!$B$14,Assumptions!$B$15)</f>
        <v>0.049607677851666</v>
      </c>
      <c r="R478" s="8" t="n">
        <f aca="true">NORMINV(RAND(),Assumptions!$B$14,Assumptions!$B$15)</f>
        <v>0.00835907238599114</v>
      </c>
      <c r="S478" s="8" t="n">
        <f aca="true">NORMINV(RAND(),Assumptions!$B$14,Assumptions!$B$15)</f>
        <v>0.0506257386469648</v>
      </c>
      <c r="T478" s="8" t="n">
        <f aca="false">Assumptions!$B$19*H478+(1-Assumptions!$B$19)*N478</f>
        <v>0.0891022772531778</v>
      </c>
      <c r="U478" s="8" t="n">
        <f aca="false">Assumptions!$B$20*I478+(1-Assumptions!$B$20)*O478</f>
        <v>0.0666561472984531</v>
      </c>
      <c r="V478" s="8" t="n">
        <f aca="false">Assumptions!$B$21*J478+(1-Assumptions!$B$21)*P478</f>
        <v>-0.322629015855506</v>
      </c>
      <c r="W478" s="8" t="n">
        <f aca="false">Assumptions!$B$22*K478+(1-Assumptions!$B$22)*Q478</f>
        <v>-0.324535351433916</v>
      </c>
      <c r="X478" s="8" t="n">
        <f aca="false">Assumptions!$B$23*L478+(1-Assumptions!$B$23)*R478</f>
        <v>0.0582753897145727</v>
      </c>
      <c r="Y478" s="8" t="n">
        <f aca="false">Assumptions!$B$24*M478+(1-Assumptions!$B$24)*S478</f>
        <v>-0.00436550560926471</v>
      </c>
      <c r="Z478" s="6" t="n">
        <f aca="false">Assumptions!$B$27*(1+T478)</f>
        <v>326730.683175953</v>
      </c>
      <c r="AA478" s="6" t="n">
        <f aca="false">(Z478+Assumptions!$B$28)*(1+U478)</f>
        <v>508507.713815422</v>
      </c>
      <c r="AB478" s="6" t="n">
        <f aca="false">AA478*(1+V478)</f>
        <v>344448.370552219</v>
      </c>
      <c r="AC478" s="6" t="n">
        <f aca="false">AB478*(1+W478)</f>
        <v>232662.697564215</v>
      </c>
      <c r="AD478" s="6" t="n">
        <f aca="false">AC478*(1+X478)</f>
        <v>246221.206936814</v>
      </c>
      <c r="AE478" s="6" t="n">
        <f aca="false">AD478*(1+Y478)</f>
        <v>245146.326876811</v>
      </c>
      <c r="AF478" s="6" t="n">
        <f aca="false">Z478</f>
        <v>326730.683175953</v>
      </c>
      <c r="AG478" s="6" t="n">
        <f aca="false">MAX(AF478,AA478)</f>
        <v>508507.713815422</v>
      </c>
      <c r="AH478" s="6" t="n">
        <f aca="false">MAX(AG478,AB478)</f>
        <v>508507.713815422</v>
      </c>
      <c r="AI478" s="6" t="n">
        <f aca="false">MAX(AH478,AC478)</f>
        <v>508507.713815422</v>
      </c>
      <c r="AJ478" s="6" t="n">
        <f aca="false">MAX(AI478,AD478)</f>
        <v>508507.713815422</v>
      </c>
      <c r="AK478" s="6" t="n">
        <f aca="false">MAX(AJ478,AE478)</f>
        <v>508507.713815422</v>
      </c>
      <c r="AL478" s="8" t="n">
        <f aca="false">MIN(Z478/AF478-1,AA478/AG478-1,AB478/AH478-1,AC478/AI478-1,AD478/AJ478-1,AE478/AK478-1)</f>
        <v>-0.542459846245976</v>
      </c>
      <c r="AM478" s="6" t="n">
        <f aca="false">AE478-Assumptions!$B$35</f>
        <v>-196117.669785693</v>
      </c>
    </row>
    <row r="479" customFormat="false" ht="15" hidden="false" customHeight="false" outlineLevel="0" collapsed="false">
      <c r="A479" s="0" t="n">
        <f aca="false">ROW()-1</f>
        <v>478</v>
      </c>
      <c r="B479" s="0" t="str">
        <f aca="true">IF(RAND()&lt;Assumptions!$B$11,"Bull","Bear")</f>
        <v>Bear</v>
      </c>
      <c r="C479" s="0" t="str">
        <f aca="true">IF(B479="Bull",IF(RAND()&lt;Assumptions!$B$7,"Bull","Bear"),IF(RAND()&lt;Assumptions!$B$10,"Bear","Bull"))</f>
        <v>Bull</v>
      </c>
      <c r="D479" s="0" t="str">
        <f aca="true">IF(C479="Bull",IF(RAND()&lt;Assumptions!$B$7,"Bull","Bear"),IF(RAND()&lt;Assumptions!$B$10,"Bear","Bull"))</f>
        <v>Bear</v>
      </c>
      <c r="E479" s="0" t="str">
        <f aca="true">IF(D479="Bull",IF(RAND()&lt;Assumptions!$B$7,"Bull","Bear"),IF(RAND()&lt;Assumptions!$B$10,"Bear","Bull"))</f>
        <v>Bear</v>
      </c>
      <c r="F479" s="0" t="str">
        <f aca="true">IF(E479="Bull",IF(RAND()&lt;Assumptions!$B$7,"Bull","Bear"),IF(RAND()&lt;Assumptions!$B$10,"Bear","Bull"))</f>
        <v>Bull</v>
      </c>
      <c r="G479" s="0" t="str">
        <f aca="true">IF(F479="Bull",IF(RAND()&lt;Assumptions!$B$7,"Bull","Bear"),IF(RAND()&lt;Assumptions!$B$10,"Bear","Bull"))</f>
        <v>Bull</v>
      </c>
      <c r="H479" s="8" t="n">
        <f aca="true">IF(B479="Bull",NORMINV(RAND(),Assumptions!$B$5,Assumptions!$B$6),NORMINV(RAND(),Assumptions!$B$8,Assumptions!$B$9))</f>
        <v>0.057506535370476</v>
      </c>
      <c r="I479" s="8" t="n">
        <f aca="true">IF(C479="Bull",NORMINV(RAND(),Assumptions!$B$5,Assumptions!$B$6),NORMINV(RAND(),Assumptions!$B$8,Assumptions!$B$9))</f>
        <v>0.254470391524918</v>
      </c>
      <c r="J479" s="8" t="n">
        <f aca="true">IF(D479="Bull",NORMINV(RAND(),Assumptions!$B$5,Assumptions!$B$6),NORMINV(RAND(),Assumptions!$B$8,Assumptions!$B$9))</f>
        <v>-0.330975187927043</v>
      </c>
      <c r="K479" s="8" t="n">
        <f aca="true">IF(E479="Bull",NORMINV(RAND(),Assumptions!$B$5,Assumptions!$B$6),NORMINV(RAND(),Assumptions!$B$8,Assumptions!$B$9))</f>
        <v>-0.0902337702287498</v>
      </c>
      <c r="L479" s="8" t="n">
        <f aca="true">IF(F479="Bull",NORMINV(RAND(),Assumptions!$B$5,Assumptions!$B$6),NORMINV(RAND(),Assumptions!$B$8,Assumptions!$B$9))</f>
        <v>0.162588906267089</v>
      </c>
      <c r="M479" s="8" t="n">
        <f aca="true">IF(G479="Bull",NORMINV(RAND(),Assumptions!$B$5,Assumptions!$B$6),NORMINV(RAND(),Assumptions!$B$8,Assumptions!$B$9))</f>
        <v>0.238461244056081</v>
      </c>
      <c r="N479" s="8" t="n">
        <f aca="true">NORMINV(RAND(),Assumptions!$B$14,Assumptions!$B$15)</f>
        <v>0.067356858442044</v>
      </c>
      <c r="O479" s="8" t="n">
        <f aca="true">NORMINV(RAND(),Assumptions!$B$14,Assumptions!$B$15)</f>
        <v>0.0788360914982834</v>
      </c>
      <c r="P479" s="8" t="n">
        <f aca="true">NORMINV(RAND(),Assumptions!$B$14,Assumptions!$B$15)</f>
        <v>0.106715654765461</v>
      </c>
      <c r="Q479" s="8" t="n">
        <f aca="true">NORMINV(RAND(),Assumptions!$B$14,Assumptions!$B$15)</f>
        <v>0.0433749432560238</v>
      </c>
      <c r="R479" s="8" t="n">
        <f aca="true">NORMINV(RAND(),Assumptions!$B$14,Assumptions!$B$15)</f>
        <v>0.0611195511283064</v>
      </c>
      <c r="S479" s="8" t="n">
        <f aca="true">NORMINV(RAND(),Assumptions!$B$14,Assumptions!$B$15)</f>
        <v>0.041497893799699</v>
      </c>
      <c r="T479" s="8" t="n">
        <f aca="false">Assumptions!$B$19*H479+(1-Assumptions!$B$19)*N479</f>
        <v>0.057506535370476</v>
      </c>
      <c r="U479" s="8" t="n">
        <f aca="false">Assumptions!$B$20*I479+(1-Assumptions!$B$20)*O479</f>
        <v>0.254470391524918</v>
      </c>
      <c r="V479" s="8" t="n">
        <f aca="false">Assumptions!$B$21*J479+(1-Assumptions!$B$21)*P479</f>
        <v>-0.330975187927043</v>
      </c>
      <c r="W479" s="8" t="n">
        <f aca="false">Assumptions!$B$22*K479+(1-Assumptions!$B$22)*Q479</f>
        <v>-0.0902337702287498</v>
      </c>
      <c r="X479" s="8" t="n">
        <f aca="false">Assumptions!$B$23*L479+(1-Assumptions!$B$23)*R479</f>
        <v>0.142295035239333</v>
      </c>
      <c r="Y479" s="8" t="n">
        <f aca="false">Assumptions!$B$24*M479+(1-Assumptions!$B$24)*S479</f>
        <v>0.159675903953528</v>
      </c>
      <c r="Z479" s="6" t="n">
        <f aca="false">Assumptions!$B$27*(1+T479)</f>
        <v>317251.960611143</v>
      </c>
      <c r="AA479" s="6" t="n">
        <f aca="false">(Z479+Assumptions!$B$28)*(1+U479)</f>
        <v>586153.749968646</v>
      </c>
      <c r="AB479" s="6" t="n">
        <f aca="false">AA479*(1+V479)</f>
        <v>392151.402418632</v>
      </c>
      <c r="AC479" s="6" t="n">
        <f aca="false">AB479*(1+W479)</f>
        <v>356766.102877908</v>
      </c>
      <c r="AD479" s="6" t="n">
        <f aca="false">AC479*(1+X479)</f>
        <v>407532.148059119</v>
      </c>
      <c r="AE479" s="6" t="n">
        <f aca="false">AD479*(1+Y479)</f>
        <v>472605.212190582</v>
      </c>
      <c r="AF479" s="6" t="n">
        <f aca="false">Z479</f>
        <v>317251.960611143</v>
      </c>
      <c r="AG479" s="6" t="n">
        <f aca="false">MAX(AF479,AA479)</f>
        <v>586153.749968646</v>
      </c>
      <c r="AH479" s="6" t="n">
        <f aca="false">MAX(AG479,AB479)</f>
        <v>586153.749968646</v>
      </c>
      <c r="AI479" s="6" t="n">
        <f aca="false">MAX(AH479,AC479)</f>
        <v>586153.749968646</v>
      </c>
      <c r="AJ479" s="6" t="n">
        <f aca="false">MAX(AI479,AD479)</f>
        <v>586153.749968646</v>
      </c>
      <c r="AK479" s="6" t="n">
        <f aca="false">MAX(AJ479,AE479)</f>
        <v>586153.749968646</v>
      </c>
      <c r="AL479" s="8" t="n">
        <f aca="false">MIN(Z479/AF479-1,AA479/AG479-1,AB479/AH479-1,AC479/AI479-1,AD479/AJ479-1,AE479/AK479-1)</f>
        <v>-0.391343819096967</v>
      </c>
      <c r="AM479" s="6" t="n">
        <f aca="false">AE479-Assumptions!$B$35</f>
        <v>31341.215528078</v>
      </c>
    </row>
    <row r="480" customFormat="false" ht="15" hidden="false" customHeight="false" outlineLevel="0" collapsed="false">
      <c r="A480" s="0" t="n">
        <f aca="false">ROW()-1</f>
        <v>479</v>
      </c>
      <c r="B480" s="0" t="str">
        <f aca="true">IF(RAND()&lt;Assumptions!$B$11,"Bull","Bear")</f>
        <v>Bull</v>
      </c>
      <c r="C480" s="0" t="str">
        <f aca="true">IF(B480="Bull",IF(RAND()&lt;Assumptions!$B$7,"Bull","Bear"),IF(RAND()&lt;Assumptions!$B$10,"Bear","Bull"))</f>
        <v>Bull</v>
      </c>
      <c r="D480" s="0" t="str">
        <f aca="true">IF(C480="Bull",IF(RAND()&lt;Assumptions!$B$7,"Bull","Bear"),IF(RAND()&lt;Assumptions!$B$10,"Bear","Bull"))</f>
        <v>Bull</v>
      </c>
      <c r="E480" s="0" t="str">
        <f aca="true">IF(D480="Bull",IF(RAND()&lt;Assumptions!$B$7,"Bull","Bear"),IF(RAND()&lt;Assumptions!$B$10,"Bear","Bull"))</f>
        <v>Bear</v>
      </c>
      <c r="F480" s="0" t="str">
        <f aca="true">IF(E480="Bull",IF(RAND()&lt;Assumptions!$B$7,"Bull","Bear"),IF(RAND()&lt;Assumptions!$B$10,"Bear","Bull"))</f>
        <v>Bear</v>
      </c>
      <c r="G480" s="0" t="str">
        <f aca="true">IF(F480="Bull",IF(RAND()&lt;Assumptions!$B$7,"Bull","Bear"),IF(RAND()&lt;Assumptions!$B$10,"Bear","Bull"))</f>
        <v>Bear</v>
      </c>
      <c r="H480" s="8" t="n">
        <f aca="true">IF(B480="Bull",NORMINV(RAND(),Assumptions!$B$5,Assumptions!$B$6),NORMINV(RAND(),Assumptions!$B$8,Assumptions!$B$9))</f>
        <v>0.340718323433388</v>
      </c>
      <c r="I480" s="8" t="n">
        <f aca="true">IF(C480="Bull",NORMINV(RAND(),Assumptions!$B$5,Assumptions!$B$6),NORMINV(RAND(),Assumptions!$B$8,Assumptions!$B$9))</f>
        <v>0.282384993798624</v>
      </c>
      <c r="J480" s="8" t="n">
        <f aca="true">IF(D480="Bull",NORMINV(RAND(),Assumptions!$B$5,Assumptions!$B$6),NORMINV(RAND(),Assumptions!$B$8,Assumptions!$B$9))</f>
        <v>0.114418305020612</v>
      </c>
      <c r="K480" s="8" t="n">
        <f aca="true">IF(E480="Bull",NORMINV(RAND(),Assumptions!$B$5,Assumptions!$B$6),NORMINV(RAND(),Assumptions!$B$8,Assumptions!$B$9))</f>
        <v>-0.248584623375581</v>
      </c>
      <c r="L480" s="8" t="n">
        <f aca="true">IF(F480="Bull",NORMINV(RAND(),Assumptions!$B$5,Assumptions!$B$6),NORMINV(RAND(),Assumptions!$B$8,Assumptions!$B$9))</f>
        <v>-0.388581806566587</v>
      </c>
      <c r="M480" s="8" t="n">
        <f aca="true">IF(G480="Bull",NORMINV(RAND(),Assumptions!$B$5,Assumptions!$B$6),NORMINV(RAND(),Assumptions!$B$8,Assumptions!$B$9))</f>
        <v>-0.387361281265834</v>
      </c>
      <c r="N480" s="8" t="n">
        <f aca="true">NORMINV(RAND(),Assumptions!$B$14,Assumptions!$B$15)</f>
        <v>0.0334167711737544</v>
      </c>
      <c r="O480" s="8" t="n">
        <f aca="true">NORMINV(RAND(),Assumptions!$B$14,Assumptions!$B$15)</f>
        <v>0.0409738686945179</v>
      </c>
      <c r="P480" s="8" t="n">
        <f aca="true">NORMINV(RAND(),Assumptions!$B$14,Assumptions!$B$15)</f>
        <v>0.0581007852889317</v>
      </c>
      <c r="Q480" s="8" t="n">
        <f aca="true">NORMINV(RAND(),Assumptions!$B$14,Assumptions!$B$15)</f>
        <v>0.0672665849424385</v>
      </c>
      <c r="R480" s="8" t="n">
        <f aca="true">NORMINV(RAND(),Assumptions!$B$14,Assumptions!$B$15)</f>
        <v>0.0519877206899497</v>
      </c>
      <c r="S480" s="8" t="n">
        <f aca="true">NORMINV(RAND(),Assumptions!$B$14,Assumptions!$B$15)</f>
        <v>0.0384632881540129</v>
      </c>
      <c r="T480" s="8" t="n">
        <f aca="false">Assumptions!$B$19*H480+(1-Assumptions!$B$19)*N480</f>
        <v>0.340718323433388</v>
      </c>
      <c r="U480" s="8" t="n">
        <f aca="false">Assumptions!$B$20*I480+(1-Assumptions!$B$20)*O480</f>
        <v>0.282384993798624</v>
      </c>
      <c r="V480" s="8" t="n">
        <f aca="false">Assumptions!$B$21*J480+(1-Assumptions!$B$21)*P480</f>
        <v>0.114418305020612</v>
      </c>
      <c r="W480" s="8" t="n">
        <f aca="false">Assumptions!$B$22*K480+(1-Assumptions!$B$22)*Q480</f>
        <v>-0.248584623375581</v>
      </c>
      <c r="X480" s="8" t="n">
        <f aca="false">Assumptions!$B$23*L480+(1-Assumptions!$B$23)*R480</f>
        <v>-0.300467901115279</v>
      </c>
      <c r="Y480" s="8" t="n">
        <f aca="false">Assumptions!$B$24*M480+(1-Assumptions!$B$24)*S480</f>
        <v>-0.217031453497895</v>
      </c>
      <c r="Z480" s="6" t="n">
        <f aca="false">Assumptions!$B$27*(1+T480)</f>
        <v>402215.497030016</v>
      </c>
      <c r="AA480" s="6" t="n">
        <f aca="false">(Z480+Assumptions!$B$28)*(1+U480)</f>
        <v>708152.866734342</v>
      </c>
      <c r="AB480" s="6" t="n">
        <f aca="false">AA480*(1+V480)</f>
        <v>789178.517441572</v>
      </c>
      <c r="AC480" s="6" t="n">
        <f aca="false">AB480*(1+W480)</f>
        <v>593000.87290726</v>
      </c>
      <c r="AD480" s="6" t="n">
        <f aca="false">AC480*(1+X480)</f>
        <v>414823.145265287</v>
      </c>
      <c r="AE480" s="6" t="n">
        <f aca="false">AD480*(1+Y480)</f>
        <v>324793.475103793</v>
      </c>
      <c r="AF480" s="6" t="n">
        <f aca="false">Z480</f>
        <v>402215.497030016</v>
      </c>
      <c r="AG480" s="6" t="n">
        <f aca="false">MAX(AF480,AA480)</f>
        <v>708152.866734342</v>
      </c>
      <c r="AH480" s="6" t="n">
        <f aca="false">MAX(AG480,AB480)</f>
        <v>789178.517441572</v>
      </c>
      <c r="AI480" s="6" t="n">
        <f aca="false">MAX(AH480,AC480)</f>
        <v>789178.517441572</v>
      </c>
      <c r="AJ480" s="6" t="n">
        <f aca="false">MAX(AI480,AD480)</f>
        <v>789178.517441572</v>
      </c>
      <c r="AK480" s="6" t="n">
        <f aca="false">MAX(AJ480,AE480)</f>
        <v>789178.517441572</v>
      </c>
      <c r="AL480" s="8" t="n">
        <f aca="false">MIN(Z480/AF480-1,AA480/AG480-1,AB480/AH480-1,AC480/AI480-1,AD480/AJ480-1,AE480/AK480-1)</f>
        <v>-0.588441058739489</v>
      </c>
      <c r="AM480" s="6" t="n">
        <f aca="false">AE480-Assumptions!$B$35</f>
        <v>-116470.521558711</v>
      </c>
    </row>
    <row r="481" customFormat="false" ht="15" hidden="false" customHeight="false" outlineLevel="0" collapsed="false">
      <c r="A481" s="0" t="n">
        <f aca="false">ROW()-1</f>
        <v>480</v>
      </c>
      <c r="B481" s="0" t="str">
        <f aca="true">IF(RAND()&lt;Assumptions!$B$11,"Bull","Bear")</f>
        <v>Bull</v>
      </c>
      <c r="C481" s="0" t="str">
        <f aca="true">IF(B481="Bull",IF(RAND()&lt;Assumptions!$B$7,"Bull","Bear"),IF(RAND()&lt;Assumptions!$B$10,"Bear","Bull"))</f>
        <v>Bear</v>
      </c>
      <c r="D481" s="0" t="str">
        <f aca="true">IF(C481="Bull",IF(RAND()&lt;Assumptions!$B$7,"Bull","Bear"),IF(RAND()&lt;Assumptions!$B$10,"Bear","Bull"))</f>
        <v>Bear</v>
      </c>
      <c r="E481" s="0" t="str">
        <f aca="true">IF(D481="Bull",IF(RAND()&lt;Assumptions!$B$7,"Bull","Bear"),IF(RAND()&lt;Assumptions!$B$10,"Bear","Bull"))</f>
        <v>Bear</v>
      </c>
      <c r="F481" s="0" t="str">
        <f aca="true">IF(E481="Bull",IF(RAND()&lt;Assumptions!$B$7,"Bull","Bear"),IF(RAND()&lt;Assumptions!$B$10,"Bear","Bull"))</f>
        <v>Bull</v>
      </c>
      <c r="G481" s="0" t="str">
        <f aca="true">IF(F481="Bull",IF(RAND()&lt;Assumptions!$B$7,"Bull","Bear"),IF(RAND()&lt;Assumptions!$B$10,"Bear","Bull"))</f>
        <v>Bull</v>
      </c>
      <c r="H481" s="8" t="n">
        <f aca="true">IF(B481="Bull",NORMINV(RAND(),Assumptions!$B$5,Assumptions!$B$6),NORMINV(RAND(),Assumptions!$B$8,Assumptions!$B$9))</f>
        <v>0.156834746767372</v>
      </c>
      <c r="I481" s="8" t="n">
        <f aca="true">IF(C481="Bull",NORMINV(RAND(),Assumptions!$B$5,Assumptions!$B$6),NORMINV(RAND(),Assumptions!$B$8,Assumptions!$B$9))</f>
        <v>-0.13377669344982</v>
      </c>
      <c r="J481" s="8" t="n">
        <f aca="true">IF(D481="Bull",NORMINV(RAND(),Assumptions!$B$5,Assumptions!$B$6),NORMINV(RAND(),Assumptions!$B$8,Assumptions!$B$9))</f>
        <v>-0.199029140734574</v>
      </c>
      <c r="K481" s="8" t="n">
        <f aca="true">IF(E481="Bull",NORMINV(RAND(),Assumptions!$B$5,Assumptions!$B$6),NORMINV(RAND(),Assumptions!$B$8,Assumptions!$B$9))</f>
        <v>-0.155743126343929</v>
      </c>
      <c r="L481" s="8" t="n">
        <f aca="true">IF(F481="Bull",NORMINV(RAND(),Assumptions!$B$5,Assumptions!$B$6),NORMINV(RAND(),Assumptions!$B$8,Assumptions!$B$9))</f>
        <v>0.236139203685318</v>
      </c>
      <c r="M481" s="8" t="n">
        <f aca="true">IF(G481="Bull",NORMINV(RAND(),Assumptions!$B$5,Assumptions!$B$6),NORMINV(RAND(),Assumptions!$B$8,Assumptions!$B$9))</f>
        <v>0.231795619474573</v>
      </c>
      <c r="N481" s="8" t="n">
        <f aca="true">NORMINV(RAND(),Assumptions!$B$14,Assumptions!$B$15)</f>
        <v>0.0129592981956183</v>
      </c>
      <c r="O481" s="8" t="n">
        <f aca="true">NORMINV(RAND(),Assumptions!$B$14,Assumptions!$B$15)</f>
        <v>0.0422560075182338</v>
      </c>
      <c r="P481" s="8" t="n">
        <f aca="true">NORMINV(RAND(),Assumptions!$B$14,Assumptions!$B$15)</f>
        <v>0.0907706738544999</v>
      </c>
      <c r="Q481" s="8" t="n">
        <f aca="true">NORMINV(RAND(),Assumptions!$B$14,Assumptions!$B$15)</f>
        <v>0.0654882442920477</v>
      </c>
      <c r="R481" s="8" t="n">
        <f aca="true">NORMINV(RAND(),Assumptions!$B$14,Assumptions!$B$15)</f>
        <v>0.0396286730673866</v>
      </c>
      <c r="S481" s="8" t="n">
        <f aca="true">NORMINV(RAND(),Assumptions!$B$14,Assumptions!$B$15)</f>
        <v>0.0416504247035672</v>
      </c>
      <c r="T481" s="8" t="n">
        <f aca="false">Assumptions!$B$19*H481+(1-Assumptions!$B$19)*N481</f>
        <v>0.156834746767372</v>
      </c>
      <c r="U481" s="8" t="n">
        <f aca="false">Assumptions!$B$20*I481+(1-Assumptions!$B$20)*O481</f>
        <v>-0.13377669344982</v>
      </c>
      <c r="V481" s="8" t="n">
        <f aca="false">Assumptions!$B$21*J481+(1-Assumptions!$B$21)*P481</f>
        <v>-0.199029140734574</v>
      </c>
      <c r="W481" s="8" t="n">
        <f aca="false">Assumptions!$B$22*K481+(1-Assumptions!$B$22)*Q481</f>
        <v>-0.155743126343929</v>
      </c>
      <c r="X481" s="8" t="n">
        <f aca="false">Assumptions!$B$23*L481+(1-Assumptions!$B$23)*R481</f>
        <v>0.196837097561732</v>
      </c>
      <c r="Y481" s="8" t="n">
        <f aca="false">Assumptions!$B$24*M481+(1-Assumptions!$B$24)*S481</f>
        <v>0.15573754156617</v>
      </c>
      <c r="Z481" s="6" t="n">
        <f aca="false">Assumptions!$B$27*(1+T481)</f>
        <v>347050.424030212</v>
      </c>
      <c r="AA481" s="6" t="n">
        <f aca="false">(Z481+Assumptions!$B$28)*(1+U481)</f>
        <v>430556.661825619</v>
      </c>
      <c r="AB481" s="6" t="n">
        <f aca="false">AA481*(1+V481)</f>
        <v>344863.33938492</v>
      </c>
      <c r="AC481" s="6" t="n">
        <f aca="false">AB481*(1+W481)</f>
        <v>291153.244747705</v>
      </c>
      <c r="AD481" s="6" t="n">
        <f aca="false">AC481*(1+X481)</f>
        <v>348463.004389523</v>
      </c>
      <c r="AE481" s="6" t="n">
        <f aca="false">AD481*(1+Y481)</f>
        <v>402731.776019909</v>
      </c>
      <c r="AF481" s="6" t="n">
        <f aca="false">Z481</f>
        <v>347050.424030212</v>
      </c>
      <c r="AG481" s="6" t="n">
        <f aca="false">MAX(AF481,AA481)</f>
        <v>430556.661825619</v>
      </c>
      <c r="AH481" s="6" t="n">
        <f aca="false">MAX(AG481,AB481)</f>
        <v>430556.661825619</v>
      </c>
      <c r="AI481" s="6" t="n">
        <f aca="false">MAX(AH481,AC481)</f>
        <v>430556.661825619</v>
      </c>
      <c r="AJ481" s="6" t="n">
        <f aca="false">MAX(AI481,AD481)</f>
        <v>430556.661825619</v>
      </c>
      <c r="AK481" s="6" t="n">
        <f aca="false">MAX(AJ481,AE481)</f>
        <v>430556.661825619</v>
      </c>
      <c r="AL481" s="8" t="n">
        <f aca="false">MIN(Z481/AF481-1,AA481/AG481-1,AB481/AH481-1,AC481/AI481-1,AD481/AJ481-1,AE481/AK481-1)</f>
        <v>-0.323774846466955</v>
      </c>
      <c r="AM481" s="6" t="n">
        <f aca="false">AE481-Assumptions!$B$35</f>
        <v>-38532.2206425941</v>
      </c>
    </row>
    <row r="482" customFormat="false" ht="15" hidden="false" customHeight="false" outlineLevel="0" collapsed="false">
      <c r="A482" s="0" t="n">
        <f aca="false">ROW()-1</f>
        <v>481</v>
      </c>
      <c r="B482" s="0" t="str">
        <f aca="true">IF(RAND()&lt;Assumptions!$B$11,"Bull","Bear")</f>
        <v>Bull</v>
      </c>
      <c r="C482" s="0" t="str">
        <f aca="true">IF(B482="Bull",IF(RAND()&lt;Assumptions!$B$7,"Bull","Bear"),IF(RAND()&lt;Assumptions!$B$10,"Bear","Bull"))</f>
        <v>Bull</v>
      </c>
      <c r="D482" s="0" t="str">
        <f aca="true">IF(C482="Bull",IF(RAND()&lt;Assumptions!$B$7,"Bull","Bear"),IF(RAND()&lt;Assumptions!$B$10,"Bear","Bull"))</f>
        <v>Bull</v>
      </c>
      <c r="E482" s="0" t="str">
        <f aca="true">IF(D482="Bull",IF(RAND()&lt;Assumptions!$B$7,"Bull","Bear"),IF(RAND()&lt;Assumptions!$B$10,"Bear","Bull"))</f>
        <v>Bear</v>
      </c>
      <c r="F482" s="0" t="str">
        <f aca="true">IF(E482="Bull",IF(RAND()&lt;Assumptions!$B$7,"Bull","Bear"),IF(RAND()&lt;Assumptions!$B$10,"Bear","Bull"))</f>
        <v>Bear</v>
      </c>
      <c r="G482" s="0" t="str">
        <f aca="true">IF(F482="Bull",IF(RAND()&lt;Assumptions!$B$7,"Bull","Bear"),IF(RAND()&lt;Assumptions!$B$10,"Bear","Bull"))</f>
        <v>Bear</v>
      </c>
      <c r="H482" s="8" t="n">
        <f aca="true">IF(B482="Bull",NORMINV(RAND(),Assumptions!$B$5,Assumptions!$B$6),NORMINV(RAND(),Assumptions!$B$8,Assumptions!$B$9))</f>
        <v>0.216673421982327</v>
      </c>
      <c r="I482" s="8" t="n">
        <f aca="true">IF(C482="Bull",NORMINV(RAND(),Assumptions!$B$5,Assumptions!$B$6),NORMINV(RAND(),Assumptions!$B$8,Assumptions!$B$9))</f>
        <v>0.0922990287895247</v>
      </c>
      <c r="J482" s="8" t="n">
        <f aca="true">IF(D482="Bull",NORMINV(RAND(),Assumptions!$B$5,Assumptions!$B$6),NORMINV(RAND(),Assumptions!$B$8,Assumptions!$B$9))</f>
        <v>0.196647926828927</v>
      </c>
      <c r="K482" s="8" t="n">
        <f aca="true">IF(E482="Bull",NORMINV(RAND(),Assumptions!$B$5,Assumptions!$B$6),NORMINV(RAND(),Assumptions!$B$8,Assumptions!$B$9))</f>
        <v>0.0807003670887178</v>
      </c>
      <c r="L482" s="8" t="n">
        <f aca="true">IF(F482="Bull",NORMINV(RAND(),Assumptions!$B$5,Assumptions!$B$6),NORMINV(RAND(),Assumptions!$B$8,Assumptions!$B$9))</f>
        <v>-0.043242707727315</v>
      </c>
      <c r="M482" s="8" t="n">
        <f aca="true">IF(G482="Bull",NORMINV(RAND(),Assumptions!$B$5,Assumptions!$B$6),NORMINV(RAND(),Assumptions!$B$8,Assumptions!$B$9))</f>
        <v>-0.1892524546829</v>
      </c>
      <c r="N482" s="8" t="n">
        <f aca="true">NORMINV(RAND(),Assumptions!$B$14,Assumptions!$B$15)</f>
        <v>0.0523297197420856</v>
      </c>
      <c r="O482" s="8" t="n">
        <f aca="true">NORMINV(RAND(),Assumptions!$B$14,Assumptions!$B$15)</f>
        <v>0.0448006105680317</v>
      </c>
      <c r="P482" s="8" t="n">
        <f aca="true">NORMINV(RAND(),Assumptions!$B$14,Assumptions!$B$15)</f>
        <v>0.0841761014827424</v>
      </c>
      <c r="Q482" s="8" t="n">
        <f aca="true">NORMINV(RAND(),Assumptions!$B$14,Assumptions!$B$15)</f>
        <v>0.0685364942321912</v>
      </c>
      <c r="R482" s="8" t="n">
        <f aca="true">NORMINV(RAND(),Assumptions!$B$14,Assumptions!$B$15)</f>
        <v>0.0200453354502694</v>
      </c>
      <c r="S482" s="8" t="n">
        <f aca="true">NORMINV(RAND(),Assumptions!$B$14,Assumptions!$B$15)</f>
        <v>0.0733194925940058</v>
      </c>
      <c r="T482" s="8" t="n">
        <f aca="false">Assumptions!$B$19*H482+(1-Assumptions!$B$19)*N482</f>
        <v>0.216673421982327</v>
      </c>
      <c r="U482" s="8" t="n">
        <f aca="false">Assumptions!$B$20*I482+(1-Assumptions!$B$20)*O482</f>
        <v>0.0922990287895247</v>
      </c>
      <c r="V482" s="8" t="n">
        <f aca="false">Assumptions!$B$21*J482+(1-Assumptions!$B$21)*P482</f>
        <v>0.196647926828927</v>
      </c>
      <c r="W482" s="8" t="n">
        <f aca="false">Assumptions!$B$22*K482+(1-Assumptions!$B$22)*Q482</f>
        <v>0.0807003670887178</v>
      </c>
      <c r="X482" s="8" t="n">
        <f aca="false">Assumptions!$B$23*L482+(1-Assumptions!$B$23)*R482</f>
        <v>-0.0305850990917981</v>
      </c>
      <c r="Y482" s="8" t="n">
        <f aca="false">Assumptions!$B$24*M482+(1-Assumptions!$B$24)*S482</f>
        <v>-0.0842236757721379</v>
      </c>
      <c r="Z482" s="6" t="n">
        <f aca="false">Assumptions!$B$27*(1+T482)</f>
        <v>365002.026594698</v>
      </c>
      <c r="AA482" s="6" t="n">
        <f aca="false">(Z482+Assumptions!$B$28)*(1+U482)</f>
        <v>562536.213474026</v>
      </c>
      <c r="AB482" s="6" t="n">
        <f aca="false">AA482*(1+V482)</f>
        <v>673157.793619888</v>
      </c>
      <c r="AC482" s="6" t="n">
        <f aca="false">AB482*(1+W482)</f>
        <v>727481.874673644</v>
      </c>
      <c r="AD482" s="6" t="n">
        <f aca="false">AC482*(1+X482)</f>
        <v>705231.769449264</v>
      </c>
      <c r="AE482" s="6" t="n">
        <f aca="false">AD482*(1+Y482)</f>
        <v>645834.557554958</v>
      </c>
      <c r="AF482" s="6" t="n">
        <f aca="false">Z482</f>
        <v>365002.026594698</v>
      </c>
      <c r="AG482" s="6" t="n">
        <f aca="false">MAX(AF482,AA482)</f>
        <v>562536.213474026</v>
      </c>
      <c r="AH482" s="6" t="n">
        <f aca="false">MAX(AG482,AB482)</f>
        <v>673157.793619888</v>
      </c>
      <c r="AI482" s="6" t="n">
        <f aca="false">MAX(AH482,AC482)</f>
        <v>727481.874673644</v>
      </c>
      <c r="AJ482" s="6" t="n">
        <f aca="false">MAX(AI482,AD482)</f>
        <v>727481.874673644</v>
      </c>
      <c r="AK482" s="6" t="n">
        <f aca="false">MAX(AJ482,AE482)</f>
        <v>727481.874673644</v>
      </c>
      <c r="AL482" s="8" t="n">
        <f aca="false">MIN(Z482/AF482-1,AA482/AG482-1,AB482/AH482-1,AC482/AI482-1,AD482/AJ482-1,AE482/AK482-1)</f>
        <v>-0.11223278539457</v>
      </c>
      <c r="AM482" s="6" t="n">
        <f aca="false">AE482-Assumptions!$B$35</f>
        <v>204570.560892454</v>
      </c>
    </row>
    <row r="483" customFormat="false" ht="15" hidden="false" customHeight="false" outlineLevel="0" collapsed="false">
      <c r="A483" s="0" t="n">
        <f aca="false">ROW()-1</f>
        <v>482</v>
      </c>
      <c r="B483" s="0" t="str">
        <f aca="true">IF(RAND()&lt;Assumptions!$B$11,"Bull","Bear")</f>
        <v>Bear</v>
      </c>
      <c r="C483" s="0" t="str">
        <f aca="true">IF(B483="Bull",IF(RAND()&lt;Assumptions!$B$7,"Bull","Bear"),IF(RAND()&lt;Assumptions!$B$10,"Bear","Bull"))</f>
        <v>Bull</v>
      </c>
      <c r="D483" s="0" t="str">
        <f aca="true">IF(C483="Bull",IF(RAND()&lt;Assumptions!$B$7,"Bull","Bear"),IF(RAND()&lt;Assumptions!$B$10,"Bear","Bull"))</f>
        <v>Bull</v>
      </c>
      <c r="E483" s="0" t="str">
        <f aca="true">IF(D483="Bull",IF(RAND()&lt;Assumptions!$B$7,"Bull","Bear"),IF(RAND()&lt;Assumptions!$B$10,"Bear","Bull"))</f>
        <v>Bull</v>
      </c>
      <c r="F483" s="0" t="str">
        <f aca="true">IF(E483="Bull",IF(RAND()&lt;Assumptions!$B$7,"Bull","Bear"),IF(RAND()&lt;Assumptions!$B$10,"Bear","Bull"))</f>
        <v>Bull</v>
      </c>
      <c r="G483" s="0" t="str">
        <f aca="true">IF(F483="Bull",IF(RAND()&lt;Assumptions!$B$7,"Bull","Bear"),IF(RAND()&lt;Assumptions!$B$10,"Bear","Bull"))</f>
        <v>Bear</v>
      </c>
      <c r="H483" s="8" t="n">
        <f aca="true">IF(B483="Bull",NORMINV(RAND(),Assumptions!$B$5,Assumptions!$B$6),NORMINV(RAND(),Assumptions!$B$8,Assumptions!$B$9))</f>
        <v>0.120297519240601</v>
      </c>
      <c r="I483" s="8" t="n">
        <f aca="true">IF(C483="Bull",NORMINV(RAND(),Assumptions!$B$5,Assumptions!$B$6),NORMINV(RAND(),Assumptions!$B$8,Assumptions!$B$9))</f>
        <v>0.191077430773883</v>
      </c>
      <c r="J483" s="8" t="n">
        <f aca="true">IF(D483="Bull",NORMINV(RAND(),Assumptions!$B$5,Assumptions!$B$6),NORMINV(RAND(),Assumptions!$B$8,Assumptions!$B$9))</f>
        <v>-0.0156005103751785</v>
      </c>
      <c r="K483" s="8" t="n">
        <f aca="true">IF(E483="Bull",NORMINV(RAND(),Assumptions!$B$5,Assumptions!$B$6),NORMINV(RAND(),Assumptions!$B$8,Assumptions!$B$9))</f>
        <v>0.0749670967202837</v>
      </c>
      <c r="L483" s="8" t="n">
        <f aca="true">IF(F483="Bull",NORMINV(RAND(),Assumptions!$B$5,Assumptions!$B$6),NORMINV(RAND(),Assumptions!$B$8,Assumptions!$B$9))</f>
        <v>0.191482797736036</v>
      </c>
      <c r="M483" s="8" t="n">
        <f aca="true">IF(G483="Bull",NORMINV(RAND(),Assumptions!$B$5,Assumptions!$B$6),NORMINV(RAND(),Assumptions!$B$8,Assumptions!$B$9))</f>
        <v>-0.21693325652039</v>
      </c>
      <c r="N483" s="8" t="n">
        <f aca="true">NORMINV(RAND(),Assumptions!$B$14,Assumptions!$B$15)</f>
        <v>0.0244774978149631</v>
      </c>
      <c r="O483" s="8" t="n">
        <f aca="true">NORMINV(RAND(),Assumptions!$B$14,Assumptions!$B$15)</f>
        <v>0.0266185432978803</v>
      </c>
      <c r="P483" s="8" t="n">
        <f aca="true">NORMINV(RAND(),Assumptions!$B$14,Assumptions!$B$15)</f>
        <v>0.0694765099684999</v>
      </c>
      <c r="Q483" s="8" t="n">
        <f aca="true">NORMINV(RAND(),Assumptions!$B$14,Assumptions!$B$15)</f>
        <v>0.08684828085925</v>
      </c>
      <c r="R483" s="8" t="n">
        <f aca="true">NORMINV(RAND(),Assumptions!$B$14,Assumptions!$B$15)</f>
        <v>0.0267965353244907</v>
      </c>
      <c r="S483" s="8" t="n">
        <f aca="true">NORMINV(RAND(),Assumptions!$B$14,Assumptions!$B$15)</f>
        <v>0.0271475387053008</v>
      </c>
      <c r="T483" s="8" t="n">
        <f aca="false">Assumptions!$B$19*H483+(1-Assumptions!$B$19)*N483</f>
        <v>0.120297519240601</v>
      </c>
      <c r="U483" s="8" t="n">
        <f aca="false">Assumptions!$B$20*I483+(1-Assumptions!$B$20)*O483</f>
        <v>0.191077430773883</v>
      </c>
      <c r="V483" s="8" t="n">
        <f aca="false">Assumptions!$B$21*J483+(1-Assumptions!$B$21)*P483</f>
        <v>-0.0156005103751785</v>
      </c>
      <c r="W483" s="8" t="n">
        <f aca="false">Assumptions!$B$22*K483+(1-Assumptions!$B$22)*Q483</f>
        <v>0.0749670967202837</v>
      </c>
      <c r="X483" s="8" t="n">
        <f aca="false">Assumptions!$B$23*L483+(1-Assumptions!$B$23)*R483</f>
        <v>0.158545545253727</v>
      </c>
      <c r="Y483" s="8" t="n">
        <f aca="false">Assumptions!$B$24*M483+(1-Assumptions!$B$24)*S483</f>
        <v>-0.119300938430114</v>
      </c>
      <c r="Z483" s="6" t="n">
        <f aca="false">Assumptions!$B$27*(1+T483)</f>
        <v>336089.25577218</v>
      </c>
      <c r="AA483" s="6" t="n">
        <f aca="false">(Z483+Assumptions!$B$28)*(1+U483)</f>
        <v>578969.941891918</v>
      </c>
      <c r="AB483" s="6" t="n">
        <f aca="false">AA483*(1+V483)</f>
        <v>569937.715306516</v>
      </c>
      <c r="AC483" s="6" t="n">
        <f aca="false">AB483*(1+W483)</f>
        <v>612664.291134437</v>
      </c>
      <c r="AD483" s="6" t="n">
        <f aca="false">AC483*(1+X483)</f>
        <v>709799.485229835</v>
      </c>
      <c r="AE483" s="6" t="n">
        <f aca="false">AD483*(1+Y483)</f>
        <v>625119.740544704</v>
      </c>
      <c r="AF483" s="6" t="n">
        <f aca="false">Z483</f>
        <v>336089.25577218</v>
      </c>
      <c r="AG483" s="6" t="n">
        <f aca="false">MAX(AF483,AA483)</f>
        <v>578969.941891918</v>
      </c>
      <c r="AH483" s="6" t="n">
        <f aca="false">MAX(AG483,AB483)</f>
        <v>578969.941891918</v>
      </c>
      <c r="AI483" s="6" t="n">
        <f aca="false">MAX(AH483,AC483)</f>
        <v>612664.291134437</v>
      </c>
      <c r="AJ483" s="6" t="n">
        <f aca="false">MAX(AI483,AD483)</f>
        <v>709799.485229835</v>
      </c>
      <c r="AK483" s="6" t="n">
        <f aca="false">MAX(AJ483,AE483)</f>
        <v>709799.485229835</v>
      </c>
      <c r="AL483" s="8" t="n">
        <f aca="false">MIN(Z483/AF483-1,AA483/AG483-1,AB483/AH483-1,AC483/AI483-1,AD483/AJ483-1,AE483/AK483-1)</f>
        <v>-0.119300938430114</v>
      </c>
      <c r="AM483" s="6" t="n">
        <f aca="false">AE483-Assumptions!$B$35</f>
        <v>183855.743882201</v>
      </c>
    </row>
    <row r="484" customFormat="false" ht="15" hidden="false" customHeight="false" outlineLevel="0" collapsed="false">
      <c r="A484" s="0" t="n">
        <f aca="false">ROW()-1</f>
        <v>483</v>
      </c>
      <c r="B484" s="0" t="str">
        <f aca="true">IF(RAND()&lt;Assumptions!$B$11,"Bull","Bear")</f>
        <v>Bull</v>
      </c>
      <c r="C484" s="0" t="str">
        <f aca="true">IF(B484="Bull",IF(RAND()&lt;Assumptions!$B$7,"Bull","Bear"),IF(RAND()&lt;Assumptions!$B$10,"Bear","Bull"))</f>
        <v>Bull</v>
      </c>
      <c r="D484" s="0" t="str">
        <f aca="true">IF(C484="Bull",IF(RAND()&lt;Assumptions!$B$7,"Bull","Bear"),IF(RAND()&lt;Assumptions!$B$10,"Bear","Bull"))</f>
        <v>Bull</v>
      </c>
      <c r="E484" s="0" t="str">
        <f aca="true">IF(D484="Bull",IF(RAND()&lt;Assumptions!$B$7,"Bull","Bear"),IF(RAND()&lt;Assumptions!$B$10,"Bear","Bull"))</f>
        <v>Bull</v>
      </c>
      <c r="F484" s="0" t="str">
        <f aca="true">IF(E484="Bull",IF(RAND()&lt;Assumptions!$B$7,"Bull","Bear"),IF(RAND()&lt;Assumptions!$B$10,"Bear","Bull"))</f>
        <v>Bull</v>
      </c>
      <c r="G484" s="0" t="str">
        <f aca="true">IF(F484="Bull",IF(RAND()&lt;Assumptions!$B$7,"Bull","Bear"),IF(RAND()&lt;Assumptions!$B$10,"Bear","Bull"))</f>
        <v>Bull</v>
      </c>
      <c r="H484" s="8" t="n">
        <f aca="true">IF(B484="Bull",NORMINV(RAND(),Assumptions!$B$5,Assumptions!$B$6),NORMINV(RAND(),Assumptions!$B$8,Assumptions!$B$9))</f>
        <v>0.221536567132183</v>
      </c>
      <c r="I484" s="8" t="n">
        <f aca="true">IF(C484="Bull",NORMINV(RAND(),Assumptions!$B$5,Assumptions!$B$6),NORMINV(RAND(),Assumptions!$B$8,Assumptions!$B$9))</f>
        <v>0.317525417730396</v>
      </c>
      <c r="J484" s="8" t="n">
        <f aca="true">IF(D484="Bull",NORMINV(RAND(),Assumptions!$B$5,Assumptions!$B$6),NORMINV(RAND(),Assumptions!$B$8,Assumptions!$B$9))</f>
        <v>0.274455829623131</v>
      </c>
      <c r="K484" s="8" t="n">
        <f aca="true">IF(E484="Bull",NORMINV(RAND(),Assumptions!$B$5,Assumptions!$B$6),NORMINV(RAND(),Assumptions!$B$8,Assumptions!$B$9))</f>
        <v>0.0282489032501522</v>
      </c>
      <c r="L484" s="8" t="n">
        <f aca="true">IF(F484="Bull",NORMINV(RAND(),Assumptions!$B$5,Assumptions!$B$6),NORMINV(RAND(),Assumptions!$B$8,Assumptions!$B$9))</f>
        <v>0.0641933751377283</v>
      </c>
      <c r="M484" s="8" t="n">
        <f aca="true">IF(G484="Bull",NORMINV(RAND(),Assumptions!$B$5,Assumptions!$B$6),NORMINV(RAND(),Assumptions!$B$8,Assumptions!$B$9))</f>
        <v>0.13483691106729</v>
      </c>
      <c r="N484" s="8" t="n">
        <f aca="true">NORMINV(RAND(),Assumptions!$B$14,Assumptions!$B$15)</f>
        <v>0.0597171849884482</v>
      </c>
      <c r="O484" s="8" t="n">
        <f aca="true">NORMINV(RAND(),Assumptions!$B$14,Assumptions!$B$15)</f>
        <v>0.00691626349037872</v>
      </c>
      <c r="P484" s="8" t="n">
        <f aca="true">NORMINV(RAND(),Assumptions!$B$14,Assumptions!$B$15)</f>
        <v>0.022555262129336</v>
      </c>
      <c r="Q484" s="8" t="n">
        <f aca="true">NORMINV(RAND(),Assumptions!$B$14,Assumptions!$B$15)</f>
        <v>0.0464089309976542</v>
      </c>
      <c r="R484" s="8" t="n">
        <f aca="true">NORMINV(RAND(),Assumptions!$B$14,Assumptions!$B$15)</f>
        <v>0.0407793766048314</v>
      </c>
      <c r="S484" s="8" t="n">
        <f aca="true">NORMINV(RAND(),Assumptions!$B$14,Assumptions!$B$15)</f>
        <v>0.0720045029218704</v>
      </c>
      <c r="T484" s="8" t="n">
        <f aca="false">Assumptions!$B$19*H484+(1-Assumptions!$B$19)*N484</f>
        <v>0.221536567132183</v>
      </c>
      <c r="U484" s="8" t="n">
        <f aca="false">Assumptions!$B$20*I484+(1-Assumptions!$B$20)*O484</f>
        <v>0.317525417730396</v>
      </c>
      <c r="V484" s="8" t="n">
        <f aca="false">Assumptions!$B$21*J484+(1-Assumptions!$B$21)*P484</f>
        <v>0.274455829623131</v>
      </c>
      <c r="W484" s="8" t="n">
        <f aca="false">Assumptions!$B$22*K484+(1-Assumptions!$B$22)*Q484</f>
        <v>0.0282489032501522</v>
      </c>
      <c r="X484" s="8" t="n">
        <f aca="false">Assumptions!$B$23*L484+(1-Assumptions!$B$23)*R484</f>
        <v>0.0595105754311489</v>
      </c>
      <c r="Y484" s="8" t="n">
        <f aca="false">Assumptions!$B$24*M484+(1-Assumptions!$B$24)*S484</f>
        <v>0.109703947809122</v>
      </c>
      <c r="Z484" s="6" t="n">
        <f aca="false">Assumptions!$B$27*(1+T484)</f>
        <v>366460.970139655</v>
      </c>
      <c r="AA484" s="6" t="n">
        <f aca="false">(Z484+Assumptions!$B$28)*(1+U484)</f>
        <v>680450.455424695</v>
      </c>
      <c r="AB484" s="6" t="n">
        <f aca="false">AA484*(1+V484)</f>
        <v>867204.049685716</v>
      </c>
      <c r="AC484" s="6" t="n">
        <f aca="false">AB484*(1+W484)</f>
        <v>891701.612983428</v>
      </c>
      <c r="AD484" s="6" t="n">
        <f aca="false">AC484*(1+X484)</f>
        <v>944767.289084956</v>
      </c>
      <c r="AE484" s="6" t="n">
        <f aca="false">AD484*(1+Y484)</f>
        <v>1048411.9904585</v>
      </c>
      <c r="AF484" s="6" t="n">
        <f aca="false">Z484</f>
        <v>366460.970139655</v>
      </c>
      <c r="AG484" s="6" t="n">
        <f aca="false">MAX(AF484,AA484)</f>
        <v>680450.455424695</v>
      </c>
      <c r="AH484" s="6" t="n">
        <f aca="false">MAX(AG484,AB484)</f>
        <v>867204.049685716</v>
      </c>
      <c r="AI484" s="6" t="n">
        <f aca="false">MAX(AH484,AC484)</f>
        <v>891701.612983428</v>
      </c>
      <c r="AJ484" s="6" t="n">
        <f aca="false">MAX(AI484,AD484)</f>
        <v>944767.289084956</v>
      </c>
      <c r="AK484" s="6" t="n">
        <f aca="false">MAX(AJ484,AE484)</f>
        <v>1048411.9904585</v>
      </c>
      <c r="AL484" s="8" t="n">
        <f aca="false">MIN(Z484/AF484-1,AA484/AG484-1,AB484/AH484-1,AC484/AI484-1,AD484/AJ484-1,AE484/AK484-1)</f>
        <v>0</v>
      </c>
      <c r="AM484" s="6" t="n">
        <f aca="false">AE484-Assumptions!$B$35</f>
        <v>607147.993795994</v>
      </c>
    </row>
    <row r="485" customFormat="false" ht="15" hidden="false" customHeight="false" outlineLevel="0" collapsed="false">
      <c r="A485" s="0" t="n">
        <f aca="false">ROW()-1</f>
        <v>484</v>
      </c>
      <c r="B485" s="0" t="str">
        <f aca="true">IF(RAND()&lt;Assumptions!$B$11,"Bull","Bear")</f>
        <v>Bull</v>
      </c>
      <c r="C485" s="0" t="str">
        <f aca="true">IF(B485="Bull",IF(RAND()&lt;Assumptions!$B$7,"Bull","Bear"),IF(RAND()&lt;Assumptions!$B$10,"Bear","Bull"))</f>
        <v>Bull</v>
      </c>
      <c r="D485" s="0" t="str">
        <f aca="true">IF(C485="Bull",IF(RAND()&lt;Assumptions!$B$7,"Bull","Bear"),IF(RAND()&lt;Assumptions!$B$10,"Bear","Bull"))</f>
        <v>Bull</v>
      </c>
      <c r="E485" s="0" t="str">
        <f aca="true">IF(D485="Bull",IF(RAND()&lt;Assumptions!$B$7,"Bull","Bear"),IF(RAND()&lt;Assumptions!$B$10,"Bear","Bull"))</f>
        <v>Bear</v>
      </c>
      <c r="F485" s="0" t="str">
        <f aca="true">IF(E485="Bull",IF(RAND()&lt;Assumptions!$B$7,"Bull","Bear"),IF(RAND()&lt;Assumptions!$B$10,"Bear","Bull"))</f>
        <v>Bear</v>
      </c>
      <c r="G485" s="0" t="str">
        <f aca="true">IF(F485="Bull",IF(RAND()&lt;Assumptions!$B$7,"Bull","Bear"),IF(RAND()&lt;Assumptions!$B$10,"Bear","Bull"))</f>
        <v>Bear</v>
      </c>
      <c r="H485" s="8" t="n">
        <f aca="true">IF(B485="Bull",NORMINV(RAND(),Assumptions!$B$5,Assumptions!$B$6),NORMINV(RAND(),Assumptions!$B$8,Assumptions!$B$9))</f>
        <v>0.289996910047871</v>
      </c>
      <c r="I485" s="8" t="n">
        <f aca="true">IF(C485="Bull",NORMINV(RAND(),Assumptions!$B$5,Assumptions!$B$6),NORMINV(RAND(),Assumptions!$B$8,Assumptions!$B$9))</f>
        <v>0.0817821833932035</v>
      </c>
      <c r="J485" s="8" t="n">
        <f aca="true">IF(D485="Bull",NORMINV(RAND(),Assumptions!$B$5,Assumptions!$B$6),NORMINV(RAND(),Assumptions!$B$8,Assumptions!$B$9))</f>
        <v>0.187609815925704</v>
      </c>
      <c r="K485" s="8" t="n">
        <f aca="true">IF(E485="Bull",NORMINV(RAND(),Assumptions!$B$5,Assumptions!$B$6),NORMINV(RAND(),Assumptions!$B$8,Assumptions!$B$9))</f>
        <v>0.00128723310750763</v>
      </c>
      <c r="L485" s="8" t="n">
        <f aca="true">IF(F485="Bull",NORMINV(RAND(),Assumptions!$B$5,Assumptions!$B$6),NORMINV(RAND(),Assumptions!$B$8,Assumptions!$B$9))</f>
        <v>-0.164604277317038</v>
      </c>
      <c r="M485" s="8" t="n">
        <f aca="true">IF(G485="Bull",NORMINV(RAND(),Assumptions!$B$5,Assumptions!$B$6),NORMINV(RAND(),Assumptions!$B$8,Assumptions!$B$9))</f>
        <v>0.0601557346822271</v>
      </c>
      <c r="N485" s="8" t="n">
        <f aca="true">NORMINV(RAND(),Assumptions!$B$14,Assumptions!$B$15)</f>
        <v>0.0445108287295487</v>
      </c>
      <c r="O485" s="8" t="n">
        <f aca="true">NORMINV(RAND(),Assumptions!$B$14,Assumptions!$B$15)</f>
        <v>0.0708562023404706</v>
      </c>
      <c r="P485" s="8" t="n">
        <f aca="true">NORMINV(RAND(),Assumptions!$B$14,Assumptions!$B$15)</f>
        <v>0.0545585707798679</v>
      </c>
      <c r="Q485" s="8" t="n">
        <f aca="true">NORMINV(RAND(),Assumptions!$B$14,Assumptions!$B$15)</f>
        <v>0.0465749936958026</v>
      </c>
      <c r="R485" s="8" t="n">
        <f aca="true">NORMINV(RAND(),Assumptions!$B$14,Assumptions!$B$15)</f>
        <v>0.0629096485850676</v>
      </c>
      <c r="S485" s="8" t="n">
        <f aca="true">NORMINV(RAND(),Assumptions!$B$14,Assumptions!$B$15)</f>
        <v>0.0710562994399382</v>
      </c>
      <c r="T485" s="8" t="n">
        <f aca="false">Assumptions!$B$19*H485+(1-Assumptions!$B$19)*N485</f>
        <v>0.289996910047871</v>
      </c>
      <c r="U485" s="8" t="n">
        <f aca="false">Assumptions!$B$20*I485+(1-Assumptions!$B$20)*O485</f>
        <v>0.0817821833932035</v>
      </c>
      <c r="V485" s="8" t="n">
        <f aca="false">Assumptions!$B$21*J485+(1-Assumptions!$B$21)*P485</f>
        <v>0.187609815925704</v>
      </c>
      <c r="W485" s="8" t="n">
        <f aca="false">Assumptions!$B$22*K485+(1-Assumptions!$B$22)*Q485</f>
        <v>0.00128723310750763</v>
      </c>
      <c r="X485" s="8" t="n">
        <f aca="false">Assumptions!$B$23*L485+(1-Assumptions!$B$23)*R485</f>
        <v>-0.119101492136617</v>
      </c>
      <c r="Y485" s="8" t="n">
        <f aca="false">Assumptions!$B$24*M485+(1-Assumptions!$B$24)*S485</f>
        <v>0.0645159605853115</v>
      </c>
      <c r="Z485" s="6" t="n">
        <f aca="false">Assumptions!$B$27*(1+T485)</f>
        <v>386999.073014361</v>
      </c>
      <c r="AA485" s="6" t="n">
        <f aca="false">(Z485+Assumptions!$B$28)*(1+U485)</f>
        <v>580916.029685602</v>
      </c>
      <c r="AB485" s="6" t="n">
        <f aca="false">AA485*(1+V485)</f>
        <v>689901.579083209</v>
      </c>
      <c r="AC485" s="6" t="n">
        <f aca="false">AB485*(1+W485)</f>
        <v>690789.643236726</v>
      </c>
      <c r="AD485" s="6" t="n">
        <f aca="false">AC485*(1+X485)</f>
        <v>608515.565974711</v>
      </c>
      <c r="AE485" s="6" t="n">
        <f aca="false">AD485*(1+Y485)</f>
        <v>647774.532244684</v>
      </c>
      <c r="AF485" s="6" t="n">
        <f aca="false">Z485</f>
        <v>386999.073014361</v>
      </c>
      <c r="AG485" s="6" t="n">
        <f aca="false">MAX(AF485,AA485)</f>
        <v>580916.029685602</v>
      </c>
      <c r="AH485" s="6" t="n">
        <f aca="false">MAX(AG485,AB485)</f>
        <v>689901.579083209</v>
      </c>
      <c r="AI485" s="6" t="n">
        <f aca="false">MAX(AH485,AC485)</f>
        <v>690789.643236726</v>
      </c>
      <c r="AJ485" s="6" t="n">
        <f aca="false">MAX(AI485,AD485)</f>
        <v>690789.643236726</v>
      </c>
      <c r="AK485" s="6" t="n">
        <f aca="false">MAX(AJ485,AE485)</f>
        <v>690789.643236726</v>
      </c>
      <c r="AL485" s="8" t="n">
        <f aca="false">MIN(Z485/AF485-1,AA485/AG485-1,AB485/AH485-1,AC485/AI485-1,AD485/AJ485-1,AE485/AK485-1)</f>
        <v>-0.119101492136617</v>
      </c>
      <c r="AM485" s="6" t="n">
        <f aca="false">AE485-Assumptions!$B$35</f>
        <v>206510.53558218</v>
      </c>
    </row>
    <row r="486" customFormat="false" ht="15" hidden="false" customHeight="false" outlineLevel="0" collapsed="false">
      <c r="A486" s="0" t="n">
        <f aca="false">ROW()-1</f>
        <v>485</v>
      </c>
      <c r="B486" s="0" t="str">
        <f aca="true">IF(RAND()&lt;Assumptions!$B$11,"Bull","Bear")</f>
        <v>Bull</v>
      </c>
      <c r="C486" s="0" t="str">
        <f aca="true">IF(B486="Bull",IF(RAND()&lt;Assumptions!$B$7,"Bull","Bear"),IF(RAND()&lt;Assumptions!$B$10,"Bear","Bull"))</f>
        <v>Bear</v>
      </c>
      <c r="D486" s="0" t="str">
        <f aca="true">IF(C486="Bull",IF(RAND()&lt;Assumptions!$B$7,"Bull","Bear"),IF(RAND()&lt;Assumptions!$B$10,"Bear","Bull"))</f>
        <v>Bear</v>
      </c>
      <c r="E486" s="0" t="str">
        <f aca="true">IF(D486="Bull",IF(RAND()&lt;Assumptions!$B$7,"Bull","Bear"),IF(RAND()&lt;Assumptions!$B$10,"Bear","Bull"))</f>
        <v>Bull</v>
      </c>
      <c r="F486" s="0" t="str">
        <f aca="true">IF(E486="Bull",IF(RAND()&lt;Assumptions!$B$7,"Bull","Bear"),IF(RAND()&lt;Assumptions!$B$10,"Bear","Bull"))</f>
        <v>Bull</v>
      </c>
      <c r="G486" s="0" t="str">
        <f aca="true">IF(F486="Bull",IF(RAND()&lt;Assumptions!$B$7,"Bull","Bear"),IF(RAND()&lt;Assumptions!$B$10,"Bear","Bull"))</f>
        <v>Bull</v>
      </c>
      <c r="H486" s="8" t="n">
        <f aca="true">IF(B486="Bull",NORMINV(RAND(),Assumptions!$B$5,Assumptions!$B$6),NORMINV(RAND(),Assumptions!$B$8,Assumptions!$B$9))</f>
        <v>0.201892238734457</v>
      </c>
      <c r="I486" s="8" t="n">
        <f aca="true">IF(C486="Bull",NORMINV(RAND(),Assumptions!$B$5,Assumptions!$B$6),NORMINV(RAND(),Assumptions!$B$8,Assumptions!$B$9))</f>
        <v>0.367527027467245</v>
      </c>
      <c r="J486" s="8" t="n">
        <f aca="true">IF(D486="Bull",NORMINV(RAND(),Assumptions!$B$5,Assumptions!$B$6),NORMINV(RAND(),Assumptions!$B$8,Assumptions!$B$9))</f>
        <v>-0.677321805080683</v>
      </c>
      <c r="K486" s="8" t="n">
        <f aca="true">IF(E486="Bull",NORMINV(RAND(),Assumptions!$B$5,Assumptions!$B$6),NORMINV(RAND(),Assumptions!$B$8,Assumptions!$B$9))</f>
        <v>0.239791531957049</v>
      </c>
      <c r="L486" s="8" t="n">
        <f aca="true">IF(F486="Bull",NORMINV(RAND(),Assumptions!$B$5,Assumptions!$B$6),NORMINV(RAND(),Assumptions!$B$8,Assumptions!$B$9))</f>
        <v>0.242810130046053</v>
      </c>
      <c r="M486" s="8" t="n">
        <f aca="true">IF(G486="Bull",NORMINV(RAND(),Assumptions!$B$5,Assumptions!$B$6),NORMINV(RAND(),Assumptions!$B$8,Assumptions!$B$9))</f>
        <v>-0.0210003582526187</v>
      </c>
      <c r="N486" s="8" t="n">
        <f aca="true">NORMINV(RAND(),Assumptions!$B$14,Assumptions!$B$15)</f>
        <v>0.0419779353952534</v>
      </c>
      <c r="O486" s="8" t="n">
        <f aca="true">NORMINV(RAND(),Assumptions!$B$14,Assumptions!$B$15)</f>
        <v>0.0630750020137916</v>
      </c>
      <c r="P486" s="8" t="n">
        <f aca="true">NORMINV(RAND(),Assumptions!$B$14,Assumptions!$B$15)</f>
        <v>0.0470640154921565</v>
      </c>
      <c r="Q486" s="8" t="n">
        <f aca="true">NORMINV(RAND(),Assumptions!$B$14,Assumptions!$B$15)</f>
        <v>0.0844188004161781</v>
      </c>
      <c r="R486" s="8" t="n">
        <f aca="true">NORMINV(RAND(),Assumptions!$B$14,Assumptions!$B$15)</f>
        <v>0.0361016731705675</v>
      </c>
      <c r="S486" s="8" t="n">
        <f aca="true">NORMINV(RAND(),Assumptions!$B$14,Assumptions!$B$15)</f>
        <v>0.0846162363430133</v>
      </c>
      <c r="T486" s="8" t="n">
        <f aca="false">Assumptions!$B$19*H486+(1-Assumptions!$B$19)*N486</f>
        <v>0.201892238734457</v>
      </c>
      <c r="U486" s="8" t="n">
        <f aca="false">Assumptions!$B$20*I486+(1-Assumptions!$B$20)*O486</f>
        <v>0.367527027467245</v>
      </c>
      <c r="V486" s="8" t="n">
        <f aca="false">Assumptions!$B$21*J486+(1-Assumptions!$B$21)*P486</f>
        <v>-0.677321805080683</v>
      </c>
      <c r="W486" s="8" t="n">
        <f aca="false">Assumptions!$B$22*K486+(1-Assumptions!$B$22)*Q486</f>
        <v>0.239791531957049</v>
      </c>
      <c r="X486" s="8" t="n">
        <f aca="false">Assumptions!$B$23*L486+(1-Assumptions!$B$23)*R486</f>
        <v>0.201468438670956</v>
      </c>
      <c r="Y486" s="8" t="n">
        <f aca="false">Assumptions!$B$24*M486+(1-Assumptions!$B$24)*S486</f>
        <v>0.0212462795856341</v>
      </c>
      <c r="Z486" s="6" t="n">
        <f aca="false">Assumptions!$B$27*(1+T486)</f>
        <v>360567.671620337</v>
      </c>
      <c r="AA486" s="6" t="n">
        <f aca="false">(Z486+Assumptions!$B$28)*(1+U486)</f>
        <v>698215.090291832</v>
      </c>
      <c r="AB486" s="6" t="n">
        <f aca="false">AA486*(1+V486)</f>
        <v>225298.785000796</v>
      </c>
      <c r="AC486" s="6" t="n">
        <f aca="false">AB486*(1+W486)</f>
        <v>279323.525804199</v>
      </c>
      <c r="AD486" s="6" t="n">
        <f aca="false">AC486*(1+X486)</f>
        <v>335598.400432037</v>
      </c>
      <c r="AE486" s="6" t="n">
        <f aca="false">AD486*(1+Y486)</f>
        <v>342728.617876108</v>
      </c>
      <c r="AF486" s="6" t="n">
        <f aca="false">Z486</f>
        <v>360567.671620337</v>
      </c>
      <c r="AG486" s="6" t="n">
        <f aca="false">MAX(AF486,AA486)</f>
        <v>698215.090291832</v>
      </c>
      <c r="AH486" s="6" t="n">
        <f aca="false">MAX(AG486,AB486)</f>
        <v>698215.090291832</v>
      </c>
      <c r="AI486" s="6" t="n">
        <f aca="false">MAX(AH486,AC486)</f>
        <v>698215.090291832</v>
      </c>
      <c r="AJ486" s="6" t="n">
        <f aca="false">MAX(AI486,AD486)</f>
        <v>698215.090291832</v>
      </c>
      <c r="AK486" s="6" t="n">
        <f aca="false">MAX(AJ486,AE486)</f>
        <v>698215.090291832</v>
      </c>
      <c r="AL486" s="8" t="n">
        <f aca="false">MIN(Z486/AF486-1,AA486/AG486-1,AB486/AH486-1,AC486/AI486-1,AD486/AJ486-1,AE486/AK486-1)</f>
        <v>-0.677321805080683</v>
      </c>
      <c r="AM486" s="6" t="n">
        <f aca="false">AE486-Assumptions!$B$35</f>
        <v>-98535.3787863955</v>
      </c>
    </row>
    <row r="487" customFormat="false" ht="15" hidden="false" customHeight="false" outlineLevel="0" collapsed="false">
      <c r="A487" s="0" t="n">
        <f aca="false">ROW()-1</f>
        <v>486</v>
      </c>
      <c r="B487" s="0" t="str">
        <f aca="true">IF(RAND()&lt;Assumptions!$B$11,"Bull","Bear")</f>
        <v>Bull</v>
      </c>
      <c r="C487" s="0" t="str">
        <f aca="true">IF(B487="Bull",IF(RAND()&lt;Assumptions!$B$7,"Bull","Bear"),IF(RAND()&lt;Assumptions!$B$10,"Bear","Bull"))</f>
        <v>Bull</v>
      </c>
      <c r="D487" s="0" t="str">
        <f aca="true">IF(C487="Bull",IF(RAND()&lt;Assumptions!$B$7,"Bull","Bear"),IF(RAND()&lt;Assumptions!$B$10,"Bear","Bull"))</f>
        <v>Bear</v>
      </c>
      <c r="E487" s="0" t="str">
        <f aca="true">IF(D487="Bull",IF(RAND()&lt;Assumptions!$B$7,"Bull","Bear"),IF(RAND()&lt;Assumptions!$B$10,"Bear","Bull"))</f>
        <v>Bear</v>
      </c>
      <c r="F487" s="0" t="str">
        <f aca="true">IF(E487="Bull",IF(RAND()&lt;Assumptions!$B$7,"Bull","Bear"),IF(RAND()&lt;Assumptions!$B$10,"Bear","Bull"))</f>
        <v>Bear</v>
      </c>
      <c r="G487" s="0" t="str">
        <f aca="true">IF(F487="Bull",IF(RAND()&lt;Assumptions!$B$7,"Bull","Bear"),IF(RAND()&lt;Assumptions!$B$10,"Bear","Bull"))</f>
        <v>Bear</v>
      </c>
      <c r="H487" s="8" t="n">
        <f aca="true">IF(B487="Bull",NORMINV(RAND(),Assumptions!$B$5,Assumptions!$B$6),NORMINV(RAND(),Assumptions!$B$8,Assumptions!$B$9))</f>
        <v>0.061699814062979</v>
      </c>
      <c r="I487" s="8" t="n">
        <f aca="true">IF(C487="Bull",NORMINV(RAND(),Assumptions!$B$5,Assumptions!$B$6),NORMINV(RAND(),Assumptions!$B$8,Assumptions!$B$9))</f>
        <v>0.145737013788641</v>
      </c>
      <c r="J487" s="8" t="n">
        <f aca="true">IF(D487="Bull",NORMINV(RAND(),Assumptions!$B$5,Assumptions!$B$6),NORMINV(RAND(),Assumptions!$B$8,Assumptions!$B$9))</f>
        <v>-0.269905155599305</v>
      </c>
      <c r="K487" s="8" t="n">
        <f aca="true">IF(E487="Bull",NORMINV(RAND(),Assumptions!$B$5,Assumptions!$B$6),NORMINV(RAND(),Assumptions!$B$8,Assumptions!$B$9))</f>
        <v>-0.181157359660497</v>
      </c>
      <c r="L487" s="8" t="n">
        <f aca="true">IF(F487="Bull",NORMINV(RAND(),Assumptions!$B$5,Assumptions!$B$6),NORMINV(RAND(),Assumptions!$B$8,Assumptions!$B$9))</f>
        <v>-0.166546802171383</v>
      </c>
      <c r="M487" s="8" t="n">
        <f aca="true">IF(G487="Bull",NORMINV(RAND(),Assumptions!$B$5,Assumptions!$B$6),NORMINV(RAND(),Assumptions!$B$8,Assumptions!$B$9))</f>
        <v>0.0655876205740873</v>
      </c>
      <c r="N487" s="8" t="n">
        <f aca="true">NORMINV(RAND(),Assumptions!$B$14,Assumptions!$B$15)</f>
        <v>0.070829031576533</v>
      </c>
      <c r="O487" s="8" t="n">
        <f aca="true">NORMINV(RAND(),Assumptions!$B$14,Assumptions!$B$15)</f>
        <v>0.0437754438579514</v>
      </c>
      <c r="P487" s="8" t="n">
        <f aca="true">NORMINV(RAND(),Assumptions!$B$14,Assumptions!$B$15)</f>
        <v>0.0835327989966826</v>
      </c>
      <c r="Q487" s="8" t="n">
        <f aca="true">NORMINV(RAND(),Assumptions!$B$14,Assumptions!$B$15)</f>
        <v>0.0545956075621315</v>
      </c>
      <c r="R487" s="8" t="n">
        <f aca="true">NORMINV(RAND(),Assumptions!$B$14,Assumptions!$B$15)</f>
        <v>0.0208012867424048</v>
      </c>
      <c r="S487" s="8" t="n">
        <f aca="true">NORMINV(RAND(),Assumptions!$B$14,Assumptions!$B$15)</f>
        <v>0.0501462608175002</v>
      </c>
      <c r="T487" s="8" t="n">
        <f aca="false">Assumptions!$B$19*H487+(1-Assumptions!$B$19)*N487</f>
        <v>0.061699814062979</v>
      </c>
      <c r="U487" s="8" t="n">
        <f aca="false">Assumptions!$B$20*I487+(1-Assumptions!$B$20)*O487</f>
        <v>0.145737013788641</v>
      </c>
      <c r="V487" s="8" t="n">
        <f aca="false">Assumptions!$B$21*J487+(1-Assumptions!$B$21)*P487</f>
        <v>-0.269905155599305</v>
      </c>
      <c r="W487" s="8" t="n">
        <f aca="false">Assumptions!$B$22*K487+(1-Assumptions!$B$22)*Q487</f>
        <v>-0.181157359660497</v>
      </c>
      <c r="X487" s="8" t="n">
        <f aca="false">Assumptions!$B$23*L487+(1-Assumptions!$B$23)*R487</f>
        <v>-0.129077184388625</v>
      </c>
      <c r="Y487" s="8" t="n">
        <f aca="false">Assumptions!$B$24*M487+(1-Assumptions!$B$24)*S487</f>
        <v>0.0594110766714525</v>
      </c>
      <c r="Z487" s="6" t="n">
        <f aca="false">Assumptions!$B$27*(1+T487)</f>
        <v>318509.944218894</v>
      </c>
      <c r="AA487" s="6" t="n">
        <f aca="false">(Z487+Assumptions!$B$28)*(1+U487)</f>
        <v>536789.184419638</v>
      </c>
      <c r="AB487" s="6" t="n">
        <f aca="false">AA487*(1+V487)</f>
        <v>391907.016074832</v>
      </c>
      <c r="AC487" s="6" t="n">
        <f aca="false">AB487*(1+W487)</f>
        <v>320910.175810291</v>
      </c>
      <c r="AD487" s="6" t="n">
        <f aca="false">AC487*(1+X487)</f>
        <v>279487.99387504</v>
      </c>
      <c r="AE487" s="6" t="n">
        <f aca="false">AD487*(1+Y487)</f>
        <v>296092.676507901</v>
      </c>
      <c r="AF487" s="6" t="n">
        <f aca="false">Z487</f>
        <v>318509.944218894</v>
      </c>
      <c r="AG487" s="6" t="n">
        <f aca="false">MAX(AF487,AA487)</f>
        <v>536789.184419638</v>
      </c>
      <c r="AH487" s="6" t="n">
        <f aca="false">MAX(AG487,AB487)</f>
        <v>536789.184419638</v>
      </c>
      <c r="AI487" s="6" t="n">
        <f aca="false">MAX(AH487,AC487)</f>
        <v>536789.184419638</v>
      </c>
      <c r="AJ487" s="6" t="n">
        <f aca="false">MAX(AI487,AD487)</f>
        <v>536789.184419638</v>
      </c>
      <c r="AK487" s="6" t="n">
        <f aca="false">MAX(AJ487,AE487)</f>
        <v>536789.184419638</v>
      </c>
      <c r="AL487" s="8" t="n">
        <f aca="false">MIN(Z487/AF487-1,AA487/AG487-1,AB487/AH487-1,AC487/AI487-1,AD487/AJ487-1,AE487/AK487-1)</f>
        <v>-0.479333783192344</v>
      </c>
      <c r="AM487" s="6" t="n">
        <f aca="false">AE487-Assumptions!$B$35</f>
        <v>-145171.320154603</v>
      </c>
    </row>
    <row r="488" customFormat="false" ht="15" hidden="false" customHeight="false" outlineLevel="0" collapsed="false">
      <c r="A488" s="0" t="n">
        <f aca="false">ROW()-1</f>
        <v>487</v>
      </c>
      <c r="B488" s="0" t="str">
        <f aca="true">IF(RAND()&lt;Assumptions!$B$11,"Bull","Bear")</f>
        <v>Bull</v>
      </c>
      <c r="C488" s="0" t="str">
        <f aca="true">IF(B488="Bull",IF(RAND()&lt;Assumptions!$B$7,"Bull","Bear"),IF(RAND()&lt;Assumptions!$B$10,"Bear","Bull"))</f>
        <v>Bull</v>
      </c>
      <c r="D488" s="0" t="str">
        <f aca="true">IF(C488="Bull",IF(RAND()&lt;Assumptions!$B$7,"Bull","Bear"),IF(RAND()&lt;Assumptions!$B$10,"Bear","Bull"))</f>
        <v>Bear</v>
      </c>
      <c r="E488" s="0" t="str">
        <f aca="true">IF(D488="Bull",IF(RAND()&lt;Assumptions!$B$7,"Bull","Bear"),IF(RAND()&lt;Assumptions!$B$10,"Bear","Bull"))</f>
        <v>Bull</v>
      </c>
      <c r="F488" s="0" t="str">
        <f aca="true">IF(E488="Bull",IF(RAND()&lt;Assumptions!$B$7,"Bull","Bear"),IF(RAND()&lt;Assumptions!$B$10,"Bear","Bull"))</f>
        <v>Bull</v>
      </c>
      <c r="G488" s="0" t="str">
        <f aca="true">IF(F488="Bull",IF(RAND()&lt;Assumptions!$B$7,"Bull","Bear"),IF(RAND()&lt;Assumptions!$B$10,"Bear","Bull"))</f>
        <v>Bear</v>
      </c>
      <c r="H488" s="8" t="n">
        <f aca="true">IF(B488="Bull",NORMINV(RAND(),Assumptions!$B$5,Assumptions!$B$6),NORMINV(RAND(),Assumptions!$B$8,Assumptions!$B$9))</f>
        <v>0.115207837731626</v>
      </c>
      <c r="I488" s="8" t="n">
        <f aca="true">IF(C488="Bull",NORMINV(RAND(),Assumptions!$B$5,Assumptions!$B$6),NORMINV(RAND(),Assumptions!$B$8,Assumptions!$B$9))</f>
        <v>0.159354276007268</v>
      </c>
      <c r="J488" s="8" t="n">
        <f aca="true">IF(D488="Bull",NORMINV(RAND(),Assumptions!$B$5,Assumptions!$B$6),NORMINV(RAND(),Assumptions!$B$8,Assumptions!$B$9))</f>
        <v>-0.00933371448662734</v>
      </c>
      <c r="K488" s="8" t="n">
        <f aca="true">IF(E488="Bull",NORMINV(RAND(),Assumptions!$B$5,Assumptions!$B$6),NORMINV(RAND(),Assumptions!$B$8,Assumptions!$B$9))</f>
        <v>-0.129148604672819</v>
      </c>
      <c r="L488" s="8" t="n">
        <f aca="true">IF(F488="Bull",NORMINV(RAND(),Assumptions!$B$5,Assumptions!$B$6),NORMINV(RAND(),Assumptions!$B$8,Assumptions!$B$9))</f>
        <v>0.110251563550944</v>
      </c>
      <c r="M488" s="8" t="n">
        <f aca="true">IF(G488="Bull",NORMINV(RAND(),Assumptions!$B$5,Assumptions!$B$6),NORMINV(RAND(),Assumptions!$B$8,Assumptions!$B$9))</f>
        <v>-0.264180348073067</v>
      </c>
      <c r="N488" s="8" t="n">
        <f aca="true">NORMINV(RAND(),Assumptions!$B$14,Assumptions!$B$15)</f>
        <v>0.0382508453676426</v>
      </c>
      <c r="O488" s="8" t="n">
        <f aca="true">NORMINV(RAND(),Assumptions!$B$14,Assumptions!$B$15)</f>
        <v>0.00310454686277116</v>
      </c>
      <c r="P488" s="8" t="n">
        <f aca="true">NORMINV(RAND(),Assumptions!$B$14,Assumptions!$B$15)</f>
        <v>0.0551908331707178</v>
      </c>
      <c r="Q488" s="8" t="n">
        <f aca="true">NORMINV(RAND(),Assumptions!$B$14,Assumptions!$B$15)</f>
        <v>0.0173820772888574</v>
      </c>
      <c r="R488" s="8" t="n">
        <f aca="true">NORMINV(RAND(),Assumptions!$B$14,Assumptions!$B$15)</f>
        <v>0.0414866666544922</v>
      </c>
      <c r="S488" s="8" t="n">
        <f aca="true">NORMINV(RAND(),Assumptions!$B$14,Assumptions!$B$15)</f>
        <v>0.0255673526489557</v>
      </c>
      <c r="T488" s="8" t="n">
        <f aca="false">Assumptions!$B$19*H488+(1-Assumptions!$B$19)*N488</f>
        <v>0.115207837731626</v>
      </c>
      <c r="U488" s="8" t="n">
        <f aca="false">Assumptions!$B$20*I488+(1-Assumptions!$B$20)*O488</f>
        <v>0.159354276007268</v>
      </c>
      <c r="V488" s="8" t="n">
        <f aca="false">Assumptions!$B$21*J488+(1-Assumptions!$B$21)*P488</f>
        <v>-0.00933371448662734</v>
      </c>
      <c r="W488" s="8" t="n">
        <f aca="false">Assumptions!$B$22*K488+(1-Assumptions!$B$22)*Q488</f>
        <v>-0.129148604672819</v>
      </c>
      <c r="X488" s="8" t="n">
        <f aca="false">Assumptions!$B$23*L488+(1-Assumptions!$B$23)*R488</f>
        <v>0.0964985841716539</v>
      </c>
      <c r="Y488" s="8" t="n">
        <f aca="false">Assumptions!$B$24*M488+(1-Assumptions!$B$24)*S488</f>
        <v>-0.148281267784258</v>
      </c>
      <c r="Z488" s="6" t="n">
        <f aca="false">Assumptions!$B$27*(1+T488)</f>
        <v>334562.351319488</v>
      </c>
      <c r="AA488" s="6" t="n">
        <f aca="false">(Z488+Assumptions!$B$28)*(1+U488)</f>
        <v>561779.433994384</v>
      </c>
      <c r="AB488" s="6" t="n">
        <f aca="false">AA488*(1+V488)</f>
        <v>556535.945153022</v>
      </c>
      <c r="AC488" s="6" t="n">
        <f aca="false">AB488*(1+W488)</f>
        <v>484660.10438624</v>
      </c>
      <c r="AD488" s="6" t="n">
        <f aca="false">AC488*(1+X488)</f>
        <v>531429.118263998</v>
      </c>
      <c r="AE488" s="6" t="n">
        <f aca="false">AD488*(1+Y488)</f>
        <v>452628.134870342</v>
      </c>
      <c r="AF488" s="6" t="n">
        <f aca="false">Z488</f>
        <v>334562.351319488</v>
      </c>
      <c r="AG488" s="6" t="n">
        <f aca="false">MAX(AF488,AA488)</f>
        <v>561779.433994384</v>
      </c>
      <c r="AH488" s="6" t="n">
        <f aca="false">MAX(AG488,AB488)</f>
        <v>561779.433994384</v>
      </c>
      <c r="AI488" s="6" t="n">
        <f aca="false">MAX(AH488,AC488)</f>
        <v>561779.433994384</v>
      </c>
      <c r="AJ488" s="6" t="n">
        <f aca="false">MAX(AI488,AD488)</f>
        <v>561779.433994384</v>
      </c>
      <c r="AK488" s="6" t="n">
        <f aca="false">MAX(AJ488,AE488)</f>
        <v>561779.433994384</v>
      </c>
      <c r="AL488" s="8" t="n">
        <f aca="false">MIN(Z488/AF488-1,AA488/AG488-1,AB488/AH488-1,AC488/AI488-1,AD488/AJ488-1,AE488/AK488-1)</f>
        <v>-0.194295647934191</v>
      </c>
      <c r="AM488" s="6" t="n">
        <f aca="false">AE488-Assumptions!$B$35</f>
        <v>11364.1382078385</v>
      </c>
    </row>
    <row r="489" customFormat="false" ht="15" hidden="false" customHeight="false" outlineLevel="0" collapsed="false">
      <c r="A489" s="0" t="n">
        <f aca="false">ROW()-1</f>
        <v>488</v>
      </c>
      <c r="B489" s="0" t="str">
        <f aca="true">IF(RAND()&lt;Assumptions!$B$11,"Bull","Bear")</f>
        <v>Bull</v>
      </c>
      <c r="C489" s="0" t="str">
        <f aca="true">IF(B489="Bull",IF(RAND()&lt;Assumptions!$B$7,"Bull","Bear"),IF(RAND()&lt;Assumptions!$B$10,"Bear","Bull"))</f>
        <v>Bull</v>
      </c>
      <c r="D489" s="0" t="str">
        <f aca="true">IF(C489="Bull",IF(RAND()&lt;Assumptions!$B$7,"Bull","Bear"),IF(RAND()&lt;Assumptions!$B$10,"Bear","Bull"))</f>
        <v>Bull</v>
      </c>
      <c r="E489" s="0" t="str">
        <f aca="true">IF(D489="Bull",IF(RAND()&lt;Assumptions!$B$7,"Bull","Bear"),IF(RAND()&lt;Assumptions!$B$10,"Bear","Bull"))</f>
        <v>Bull</v>
      </c>
      <c r="F489" s="0" t="str">
        <f aca="true">IF(E489="Bull",IF(RAND()&lt;Assumptions!$B$7,"Bull","Bear"),IF(RAND()&lt;Assumptions!$B$10,"Bear","Bull"))</f>
        <v>Bull</v>
      </c>
      <c r="G489" s="0" t="str">
        <f aca="true">IF(F489="Bull",IF(RAND()&lt;Assumptions!$B$7,"Bull","Bear"),IF(RAND()&lt;Assumptions!$B$10,"Bear","Bull"))</f>
        <v>Bull</v>
      </c>
      <c r="H489" s="8" t="n">
        <f aca="true">IF(B489="Bull",NORMINV(RAND(),Assumptions!$B$5,Assumptions!$B$6),NORMINV(RAND(),Assumptions!$B$8,Assumptions!$B$9))</f>
        <v>0.207858839568531</v>
      </c>
      <c r="I489" s="8" t="n">
        <f aca="true">IF(C489="Bull",NORMINV(RAND(),Assumptions!$B$5,Assumptions!$B$6),NORMINV(RAND(),Assumptions!$B$8,Assumptions!$B$9))</f>
        <v>0.197673279135146</v>
      </c>
      <c r="J489" s="8" t="n">
        <f aca="true">IF(D489="Bull",NORMINV(RAND(),Assumptions!$B$5,Assumptions!$B$6),NORMINV(RAND(),Assumptions!$B$8,Assumptions!$B$9))</f>
        <v>0.369063603827874</v>
      </c>
      <c r="K489" s="8" t="n">
        <f aca="true">IF(E489="Bull",NORMINV(RAND(),Assumptions!$B$5,Assumptions!$B$6),NORMINV(RAND(),Assumptions!$B$8,Assumptions!$B$9))</f>
        <v>0.206226477266625</v>
      </c>
      <c r="L489" s="8" t="n">
        <f aca="true">IF(F489="Bull",NORMINV(RAND(),Assumptions!$B$5,Assumptions!$B$6),NORMINV(RAND(),Assumptions!$B$8,Assumptions!$B$9))</f>
        <v>0.161171770572124</v>
      </c>
      <c r="M489" s="8" t="n">
        <f aca="true">IF(G489="Bull",NORMINV(RAND(),Assumptions!$B$5,Assumptions!$B$6),NORMINV(RAND(),Assumptions!$B$8,Assumptions!$B$9))</f>
        <v>0.144443211501686</v>
      </c>
      <c r="N489" s="8" t="n">
        <f aca="true">NORMINV(RAND(),Assumptions!$B$14,Assumptions!$B$15)</f>
        <v>0.0143564526190545</v>
      </c>
      <c r="O489" s="8" t="n">
        <f aca="true">NORMINV(RAND(),Assumptions!$B$14,Assumptions!$B$15)</f>
        <v>0.0103670926211797</v>
      </c>
      <c r="P489" s="8" t="n">
        <f aca="true">NORMINV(RAND(),Assumptions!$B$14,Assumptions!$B$15)</f>
        <v>0.0488423140202397</v>
      </c>
      <c r="Q489" s="8" t="n">
        <f aca="true">NORMINV(RAND(),Assumptions!$B$14,Assumptions!$B$15)</f>
        <v>0.0337501218585532</v>
      </c>
      <c r="R489" s="8" t="n">
        <f aca="true">NORMINV(RAND(),Assumptions!$B$14,Assumptions!$B$15)</f>
        <v>0.0343769730562372</v>
      </c>
      <c r="S489" s="8" t="n">
        <f aca="true">NORMINV(RAND(),Assumptions!$B$14,Assumptions!$B$15)</f>
        <v>0.0528362511892684</v>
      </c>
      <c r="T489" s="8" t="n">
        <f aca="false">Assumptions!$B$19*H489+(1-Assumptions!$B$19)*N489</f>
        <v>0.207858839568531</v>
      </c>
      <c r="U489" s="8" t="n">
        <f aca="false">Assumptions!$B$20*I489+(1-Assumptions!$B$20)*O489</f>
        <v>0.197673279135146</v>
      </c>
      <c r="V489" s="8" t="n">
        <f aca="false">Assumptions!$B$21*J489+(1-Assumptions!$B$21)*P489</f>
        <v>0.369063603827874</v>
      </c>
      <c r="W489" s="8" t="n">
        <f aca="false">Assumptions!$B$22*K489+(1-Assumptions!$B$22)*Q489</f>
        <v>0.206226477266625</v>
      </c>
      <c r="X489" s="8" t="n">
        <f aca="false">Assumptions!$B$23*L489+(1-Assumptions!$B$23)*R489</f>
        <v>0.135812811068946</v>
      </c>
      <c r="Y489" s="8" t="n">
        <f aca="false">Assumptions!$B$24*M489+(1-Assumptions!$B$24)*S489</f>
        <v>0.107800427376719</v>
      </c>
      <c r="Z489" s="6" t="n">
        <f aca="false">Assumptions!$B$27*(1+T489)</f>
        <v>362357.651870559</v>
      </c>
      <c r="AA489" s="6" t="n">
        <f aca="false">(Z489+Assumptions!$B$28)*(1+U489)</f>
        <v>613637.069005796</v>
      </c>
      <c r="AB489" s="6" t="n">
        <f aca="false">AA489*(1+V489)</f>
        <v>840108.177135449</v>
      </c>
      <c r="AC489" s="6" t="n">
        <f aca="false">AB489*(1+W489)</f>
        <v>1013360.72702898</v>
      </c>
      <c r="AD489" s="6" t="n">
        <f aca="false">AC489*(1+X489)</f>
        <v>1150988.09599366</v>
      </c>
      <c r="AE489" s="6" t="n">
        <f aca="false">AD489*(1+Y489)</f>
        <v>1275065.10464729</v>
      </c>
      <c r="AF489" s="6" t="n">
        <f aca="false">Z489</f>
        <v>362357.651870559</v>
      </c>
      <c r="AG489" s="6" t="n">
        <f aca="false">MAX(AF489,AA489)</f>
        <v>613637.069005796</v>
      </c>
      <c r="AH489" s="6" t="n">
        <f aca="false">MAX(AG489,AB489)</f>
        <v>840108.177135449</v>
      </c>
      <c r="AI489" s="6" t="n">
        <f aca="false">MAX(AH489,AC489)</f>
        <v>1013360.72702898</v>
      </c>
      <c r="AJ489" s="6" t="n">
        <f aca="false">MAX(AI489,AD489)</f>
        <v>1150988.09599366</v>
      </c>
      <c r="AK489" s="6" t="n">
        <f aca="false">MAX(AJ489,AE489)</f>
        <v>1275065.10464729</v>
      </c>
      <c r="AL489" s="8" t="n">
        <f aca="false">MIN(Z489/AF489-1,AA489/AG489-1,AB489/AH489-1,AC489/AI489-1,AD489/AJ489-1,AE489/AK489-1)</f>
        <v>0</v>
      </c>
      <c r="AM489" s="6" t="n">
        <f aca="false">AE489-Assumptions!$B$35</f>
        <v>833801.107984784</v>
      </c>
    </row>
    <row r="490" customFormat="false" ht="15" hidden="false" customHeight="false" outlineLevel="0" collapsed="false">
      <c r="A490" s="0" t="n">
        <f aca="false">ROW()-1</f>
        <v>489</v>
      </c>
      <c r="B490" s="0" t="str">
        <f aca="true">IF(RAND()&lt;Assumptions!$B$11,"Bull","Bear")</f>
        <v>Bull</v>
      </c>
      <c r="C490" s="0" t="str">
        <f aca="true">IF(B490="Bull",IF(RAND()&lt;Assumptions!$B$7,"Bull","Bear"),IF(RAND()&lt;Assumptions!$B$10,"Bear","Bull"))</f>
        <v>Bull</v>
      </c>
      <c r="D490" s="0" t="str">
        <f aca="true">IF(C490="Bull",IF(RAND()&lt;Assumptions!$B$7,"Bull","Bear"),IF(RAND()&lt;Assumptions!$B$10,"Bear","Bull"))</f>
        <v>Bull</v>
      </c>
      <c r="E490" s="0" t="str">
        <f aca="true">IF(D490="Bull",IF(RAND()&lt;Assumptions!$B$7,"Bull","Bear"),IF(RAND()&lt;Assumptions!$B$10,"Bear","Bull"))</f>
        <v>Bull</v>
      </c>
      <c r="F490" s="0" t="str">
        <f aca="true">IF(E490="Bull",IF(RAND()&lt;Assumptions!$B$7,"Bull","Bear"),IF(RAND()&lt;Assumptions!$B$10,"Bear","Bull"))</f>
        <v>Bear</v>
      </c>
      <c r="G490" s="0" t="str">
        <f aca="true">IF(F490="Bull",IF(RAND()&lt;Assumptions!$B$7,"Bull","Bear"),IF(RAND()&lt;Assumptions!$B$10,"Bear","Bull"))</f>
        <v>Bull</v>
      </c>
      <c r="H490" s="8" t="n">
        <f aca="true">IF(B490="Bull",NORMINV(RAND(),Assumptions!$B$5,Assumptions!$B$6),NORMINV(RAND(),Assumptions!$B$8,Assumptions!$B$9))</f>
        <v>-0.0108863223017454</v>
      </c>
      <c r="I490" s="8" t="n">
        <f aca="true">IF(C490="Bull",NORMINV(RAND(),Assumptions!$B$5,Assumptions!$B$6),NORMINV(RAND(),Assumptions!$B$8,Assumptions!$B$9))</f>
        <v>0.201169506749764</v>
      </c>
      <c r="J490" s="8" t="n">
        <f aca="true">IF(D490="Bull",NORMINV(RAND(),Assumptions!$B$5,Assumptions!$B$6),NORMINV(RAND(),Assumptions!$B$8,Assumptions!$B$9))</f>
        <v>0.189751732757846</v>
      </c>
      <c r="K490" s="8" t="n">
        <f aca="true">IF(E490="Bull",NORMINV(RAND(),Assumptions!$B$5,Assumptions!$B$6),NORMINV(RAND(),Assumptions!$B$8,Assumptions!$B$9))</f>
        <v>0.223796288979784</v>
      </c>
      <c r="L490" s="8" t="n">
        <f aca="true">IF(F490="Bull",NORMINV(RAND(),Assumptions!$B$5,Assumptions!$B$6),NORMINV(RAND(),Assumptions!$B$8,Assumptions!$B$9))</f>
        <v>-0.191741204083779</v>
      </c>
      <c r="M490" s="8" t="n">
        <f aca="true">IF(G490="Bull",NORMINV(RAND(),Assumptions!$B$5,Assumptions!$B$6),NORMINV(RAND(),Assumptions!$B$8,Assumptions!$B$9))</f>
        <v>0.191617464704184</v>
      </c>
      <c r="N490" s="8" t="n">
        <f aca="true">NORMINV(RAND(),Assumptions!$B$14,Assumptions!$B$15)</f>
        <v>0.0753058351138648</v>
      </c>
      <c r="O490" s="8" t="n">
        <f aca="true">NORMINV(RAND(),Assumptions!$B$14,Assumptions!$B$15)</f>
        <v>0.0432930059510954</v>
      </c>
      <c r="P490" s="8" t="n">
        <f aca="true">NORMINV(RAND(),Assumptions!$B$14,Assumptions!$B$15)</f>
        <v>0.0731340727776809</v>
      </c>
      <c r="Q490" s="8" t="n">
        <f aca="true">NORMINV(RAND(),Assumptions!$B$14,Assumptions!$B$15)</f>
        <v>0.0414168024852102</v>
      </c>
      <c r="R490" s="8" t="n">
        <f aca="true">NORMINV(RAND(),Assumptions!$B$14,Assumptions!$B$15)</f>
        <v>0.0224202337337101</v>
      </c>
      <c r="S490" s="8" t="n">
        <f aca="true">NORMINV(RAND(),Assumptions!$B$14,Assumptions!$B$15)</f>
        <v>0.0623379188049541</v>
      </c>
      <c r="T490" s="8" t="n">
        <f aca="false">Assumptions!$B$19*H490+(1-Assumptions!$B$19)*N490</f>
        <v>-0.0108863223017454</v>
      </c>
      <c r="U490" s="8" t="n">
        <f aca="false">Assumptions!$B$20*I490+(1-Assumptions!$B$20)*O490</f>
        <v>0.201169506749764</v>
      </c>
      <c r="V490" s="8" t="n">
        <f aca="false">Assumptions!$B$21*J490+(1-Assumptions!$B$21)*P490</f>
        <v>0.189751732757846</v>
      </c>
      <c r="W490" s="8" t="n">
        <f aca="false">Assumptions!$B$22*K490+(1-Assumptions!$B$22)*Q490</f>
        <v>0.223796288979784</v>
      </c>
      <c r="X490" s="8" t="n">
        <f aca="false">Assumptions!$B$23*L490+(1-Assumptions!$B$23)*R490</f>
        <v>-0.148908916520282</v>
      </c>
      <c r="Y490" s="8" t="n">
        <f aca="false">Assumptions!$B$24*M490+(1-Assumptions!$B$24)*S490</f>
        <v>0.139905646344492</v>
      </c>
      <c r="Z490" s="6" t="n">
        <f aca="false">Assumptions!$B$27*(1+T490)</f>
        <v>296734.103309476</v>
      </c>
      <c r="AA490" s="6" t="n">
        <f aca="false">(Z490+Assumptions!$B$28)*(1+U490)</f>
        <v>536603.382520542</v>
      </c>
      <c r="AB490" s="6" t="n">
        <f aca="false">AA490*(1+V490)</f>
        <v>638424.804157536</v>
      </c>
      <c r="AC490" s="6" t="n">
        <f aca="false">AB490*(1+W490)</f>
        <v>781301.906120638</v>
      </c>
      <c r="AD490" s="6" t="n">
        <f aca="false">AC490*(1+X490)</f>
        <v>664959.085804983</v>
      </c>
      <c r="AE490" s="6" t="n">
        <f aca="false">AD490*(1+Y490)</f>
        <v>757990.616497171</v>
      </c>
      <c r="AF490" s="6" t="n">
        <f aca="false">Z490</f>
        <v>296734.103309476</v>
      </c>
      <c r="AG490" s="6" t="n">
        <f aca="false">MAX(AF490,AA490)</f>
        <v>536603.382520542</v>
      </c>
      <c r="AH490" s="6" t="n">
        <f aca="false">MAX(AG490,AB490)</f>
        <v>638424.804157536</v>
      </c>
      <c r="AI490" s="6" t="n">
        <f aca="false">MAX(AH490,AC490)</f>
        <v>781301.906120638</v>
      </c>
      <c r="AJ490" s="6" t="n">
        <f aca="false">MAX(AI490,AD490)</f>
        <v>781301.906120638</v>
      </c>
      <c r="AK490" s="6" t="n">
        <f aca="false">MAX(AJ490,AE490)</f>
        <v>781301.906120638</v>
      </c>
      <c r="AL490" s="8" t="n">
        <f aca="false">MIN(Z490/AF490-1,AA490/AG490-1,AB490/AH490-1,AC490/AI490-1,AD490/AJ490-1,AE490/AK490-1)</f>
        <v>-0.148908916520282</v>
      </c>
      <c r="AM490" s="6" t="n">
        <f aca="false">AE490-Assumptions!$B$35</f>
        <v>316726.619834668</v>
      </c>
    </row>
    <row r="491" customFormat="false" ht="15" hidden="false" customHeight="false" outlineLevel="0" collapsed="false">
      <c r="A491" s="0" t="n">
        <f aca="false">ROW()-1</f>
        <v>490</v>
      </c>
      <c r="B491" s="0" t="str">
        <f aca="true">IF(RAND()&lt;Assumptions!$B$11,"Bull","Bear")</f>
        <v>Bear</v>
      </c>
      <c r="C491" s="0" t="str">
        <f aca="true">IF(B491="Bull",IF(RAND()&lt;Assumptions!$B$7,"Bull","Bear"),IF(RAND()&lt;Assumptions!$B$10,"Bear","Bull"))</f>
        <v>Bear</v>
      </c>
      <c r="D491" s="0" t="str">
        <f aca="true">IF(C491="Bull",IF(RAND()&lt;Assumptions!$B$7,"Bull","Bear"),IF(RAND()&lt;Assumptions!$B$10,"Bear","Bull"))</f>
        <v>Bull</v>
      </c>
      <c r="E491" s="0" t="str">
        <f aca="true">IF(D491="Bull",IF(RAND()&lt;Assumptions!$B$7,"Bull","Bear"),IF(RAND()&lt;Assumptions!$B$10,"Bear","Bull"))</f>
        <v>Bull</v>
      </c>
      <c r="F491" s="0" t="str">
        <f aca="true">IF(E491="Bull",IF(RAND()&lt;Assumptions!$B$7,"Bull","Bear"),IF(RAND()&lt;Assumptions!$B$10,"Bear","Bull"))</f>
        <v>Bull</v>
      </c>
      <c r="G491" s="0" t="str">
        <f aca="true">IF(F491="Bull",IF(RAND()&lt;Assumptions!$B$7,"Bull","Bear"),IF(RAND()&lt;Assumptions!$B$10,"Bear","Bull"))</f>
        <v>Bull</v>
      </c>
      <c r="H491" s="8" t="n">
        <f aca="true">IF(B491="Bull",NORMINV(RAND(),Assumptions!$B$5,Assumptions!$B$6),NORMINV(RAND(),Assumptions!$B$8,Assumptions!$B$9))</f>
        <v>-0.0347359987447294</v>
      </c>
      <c r="I491" s="8" t="n">
        <f aca="true">IF(C491="Bull",NORMINV(RAND(),Assumptions!$B$5,Assumptions!$B$6),NORMINV(RAND(),Assumptions!$B$8,Assumptions!$B$9))</f>
        <v>-0.0107247288409928</v>
      </c>
      <c r="J491" s="8" t="n">
        <f aca="true">IF(D491="Bull",NORMINV(RAND(),Assumptions!$B$5,Assumptions!$B$6),NORMINV(RAND(),Assumptions!$B$8,Assumptions!$B$9))</f>
        <v>0.186990594308778</v>
      </c>
      <c r="K491" s="8" t="n">
        <f aca="true">IF(E491="Bull",NORMINV(RAND(),Assumptions!$B$5,Assumptions!$B$6),NORMINV(RAND(),Assumptions!$B$8,Assumptions!$B$9))</f>
        <v>0.115180326000838</v>
      </c>
      <c r="L491" s="8" t="n">
        <f aca="true">IF(F491="Bull",NORMINV(RAND(),Assumptions!$B$5,Assumptions!$B$6),NORMINV(RAND(),Assumptions!$B$8,Assumptions!$B$9))</f>
        <v>0.244341877224182</v>
      </c>
      <c r="M491" s="8" t="n">
        <f aca="true">IF(G491="Bull",NORMINV(RAND(),Assumptions!$B$5,Assumptions!$B$6),NORMINV(RAND(),Assumptions!$B$8,Assumptions!$B$9))</f>
        <v>0.293348910220508</v>
      </c>
      <c r="N491" s="8" t="n">
        <f aca="true">NORMINV(RAND(),Assumptions!$B$14,Assumptions!$B$15)</f>
        <v>0.0721021325871869</v>
      </c>
      <c r="O491" s="8" t="n">
        <f aca="true">NORMINV(RAND(),Assumptions!$B$14,Assumptions!$B$15)</f>
        <v>0.105133113068179</v>
      </c>
      <c r="P491" s="8" t="n">
        <f aca="true">NORMINV(RAND(),Assumptions!$B$14,Assumptions!$B$15)</f>
        <v>0.0829517275907962</v>
      </c>
      <c r="Q491" s="8" t="n">
        <f aca="true">NORMINV(RAND(),Assumptions!$B$14,Assumptions!$B$15)</f>
        <v>0.00980618406855805</v>
      </c>
      <c r="R491" s="8" t="n">
        <f aca="true">NORMINV(RAND(),Assumptions!$B$14,Assumptions!$B$15)</f>
        <v>0.0175392248471231</v>
      </c>
      <c r="S491" s="8" t="n">
        <f aca="true">NORMINV(RAND(),Assumptions!$B$14,Assumptions!$B$15)</f>
        <v>0.0477246391498111</v>
      </c>
      <c r="T491" s="8" t="n">
        <f aca="false">Assumptions!$B$19*H491+(1-Assumptions!$B$19)*N491</f>
        <v>-0.0347359987447294</v>
      </c>
      <c r="U491" s="8" t="n">
        <f aca="false">Assumptions!$B$20*I491+(1-Assumptions!$B$20)*O491</f>
        <v>-0.0107247288409928</v>
      </c>
      <c r="V491" s="8" t="n">
        <f aca="false">Assumptions!$B$21*J491+(1-Assumptions!$B$21)*P491</f>
        <v>0.186990594308778</v>
      </c>
      <c r="W491" s="8" t="n">
        <f aca="false">Assumptions!$B$22*K491+(1-Assumptions!$B$22)*Q491</f>
        <v>0.115180326000838</v>
      </c>
      <c r="X491" s="8" t="n">
        <f aca="false">Assumptions!$B$23*L491+(1-Assumptions!$B$23)*R491</f>
        <v>0.19898134674877</v>
      </c>
      <c r="Y491" s="8" t="n">
        <f aca="false">Assumptions!$B$24*M491+(1-Assumptions!$B$24)*S491</f>
        <v>0.195099201792229</v>
      </c>
      <c r="Z491" s="6" t="n">
        <f aca="false">Assumptions!$B$27*(1+T491)</f>
        <v>289579.200376581</v>
      </c>
      <c r="AA491" s="6" t="n">
        <f aca="false">(Z491+Assumptions!$B$28)*(1+U491)</f>
        <v>434864.832648402</v>
      </c>
      <c r="AB491" s="6" t="n">
        <f aca="false">AA491*(1+V491)</f>
        <v>516180.466149314</v>
      </c>
      <c r="AC491" s="6" t="n">
        <f aca="false">AB491*(1+W491)</f>
        <v>575634.300515657</v>
      </c>
      <c r="AD491" s="6" t="n">
        <f aca="false">AC491*(1+X491)</f>
        <v>690174.788867049</v>
      </c>
      <c r="AE491" s="6" t="n">
        <f aca="false">AD491*(1+Y491)</f>
        <v>824827.33927213</v>
      </c>
      <c r="AF491" s="6" t="n">
        <f aca="false">Z491</f>
        <v>289579.200376581</v>
      </c>
      <c r="AG491" s="6" t="n">
        <f aca="false">MAX(AF491,AA491)</f>
        <v>434864.832648402</v>
      </c>
      <c r="AH491" s="6" t="n">
        <f aca="false">MAX(AG491,AB491)</f>
        <v>516180.466149314</v>
      </c>
      <c r="AI491" s="6" t="n">
        <f aca="false">MAX(AH491,AC491)</f>
        <v>575634.300515657</v>
      </c>
      <c r="AJ491" s="6" t="n">
        <f aca="false">MAX(AI491,AD491)</f>
        <v>690174.788867049</v>
      </c>
      <c r="AK491" s="6" t="n">
        <f aca="false">MAX(AJ491,AE491)</f>
        <v>824827.33927213</v>
      </c>
      <c r="AL491" s="8" t="n">
        <f aca="false">MIN(Z491/AF491-1,AA491/AG491-1,AB491/AH491-1,AC491/AI491-1,AD491/AJ491-1,AE491/AK491-1)</f>
        <v>0</v>
      </c>
      <c r="AM491" s="6" t="n">
        <f aca="false">AE491-Assumptions!$B$35</f>
        <v>383563.342609626</v>
      </c>
    </row>
    <row r="492" customFormat="false" ht="15" hidden="false" customHeight="false" outlineLevel="0" collapsed="false">
      <c r="A492" s="0" t="n">
        <f aca="false">ROW()-1</f>
        <v>491</v>
      </c>
      <c r="B492" s="0" t="str">
        <f aca="true">IF(RAND()&lt;Assumptions!$B$11,"Bull","Bear")</f>
        <v>Bull</v>
      </c>
      <c r="C492" s="0" t="str">
        <f aca="true">IF(B492="Bull",IF(RAND()&lt;Assumptions!$B$7,"Bull","Bear"),IF(RAND()&lt;Assumptions!$B$10,"Bear","Bull"))</f>
        <v>Bear</v>
      </c>
      <c r="D492" s="0" t="str">
        <f aca="true">IF(C492="Bull",IF(RAND()&lt;Assumptions!$B$7,"Bull","Bear"),IF(RAND()&lt;Assumptions!$B$10,"Bear","Bull"))</f>
        <v>Bear</v>
      </c>
      <c r="E492" s="0" t="str">
        <f aca="true">IF(D492="Bull",IF(RAND()&lt;Assumptions!$B$7,"Bull","Bear"),IF(RAND()&lt;Assumptions!$B$10,"Bear","Bull"))</f>
        <v>Bull</v>
      </c>
      <c r="F492" s="0" t="str">
        <f aca="true">IF(E492="Bull",IF(RAND()&lt;Assumptions!$B$7,"Bull","Bear"),IF(RAND()&lt;Assumptions!$B$10,"Bear","Bull"))</f>
        <v>Bull</v>
      </c>
      <c r="G492" s="0" t="str">
        <f aca="true">IF(F492="Bull",IF(RAND()&lt;Assumptions!$B$7,"Bull","Bear"),IF(RAND()&lt;Assumptions!$B$10,"Bear","Bull"))</f>
        <v>Bull</v>
      </c>
      <c r="H492" s="8" t="n">
        <f aca="true">IF(B492="Bull",NORMINV(RAND(),Assumptions!$B$5,Assumptions!$B$6),NORMINV(RAND(),Assumptions!$B$8,Assumptions!$B$9))</f>
        <v>0.160124859667085</v>
      </c>
      <c r="I492" s="8" t="n">
        <f aca="true">IF(C492="Bull",NORMINV(RAND(),Assumptions!$B$5,Assumptions!$B$6),NORMINV(RAND(),Assumptions!$B$8,Assumptions!$B$9))</f>
        <v>0.0414752777687531</v>
      </c>
      <c r="J492" s="8" t="n">
        <f aca="true">IF(D492="Bull",NORMINV(RAND(),Assumptions!$B$5,Assumptions!$B$6),NORMINV(RAND(),Assumptions!$B$8,Assumptions!$B$9))</f>
        <v>-0.313046857430432</v>
      </c>
      <c r="K492" s="8" t="n">
        <f aca="true">IF(E492="Bull",NORMINV(RAND(),Assumptions!$B$5,Assumptions!$B$6),NORMINV(RAND(),Assumptions!$B$8,Assumptions!$B$9))</f>
        <v>0.095902068163709</v>
      </c>
      <c r="L492" s="8" t="n">
        <f aca="true">IF(F492="Bull",NORMINV(RAND(),Assumptions!$B$5,Assumptions!$B$6),NORMINV(RAND(),Assumptions!$B$8,Assumptions!$B$9))</f>
        <v>0.142979999993426</v>
      </c>
      <c r="M492" s="8" t="n">
        <f aca="true">IF(G492="Bull",NORMINV(RAND(),Assumptions!$B$5,Assumptions!$B$6),NORMINV(RAND(),Assumptions!$B$8,Assumptions!$B$9))</f>
        <v>0.294402822870149</v>
      </c>
      <c r="N492" s="8" t="n">
        <f aca="true">NORMINV(RAND(),Assumptions!$B$14,Assumptions!$B$15)</f>
        <v>0.071568837485738</v>
      </c>
      <c r="O492" s="8" t="n">
        <f aca="true">NORMINV(RAND(),Assumptions!$B$14,Assumptions!$B$15)</f>
        <v>0.0535517816156368</v>
      </c>
      <c r="P492" s="8" t="n">
        <f aca="true">NORMINV(RAND(),Assumptions!$B$14,Assumptions!$B$15)</f>
        <v>-0.0101420460553419</v>
      </c>
      <c r="Q492" s="8" t="n">
        <f aca="true">NORMINV(RAND(),Assumptions!$B$14,Assumptions!$B$15)</f>
        <v>0.0399772042840087</v>
      </c>
      <c r="R492" s="8" t="n">
        <f aca="true">NORMINV(RAND(),Assumptions!$B$14,Assumptions!$B$15)</f>
        <v>0.0279199020822799</v>
      </c>
      <c r="S492" s="8" t="n">
        <f aca="true">NORMINV(RAND(),Assumptions!$B$14,Assumptions!$B$15)</f>
        <v>0.0834559104711007</v>
      </c>
      <c r="T492" s="8" t="n">
        <f aca="false">Assumptions!$B$19*H492+(1-Assumptions!$B$19)*N492</f>
        <v>0.160124859667085</v>
      </c>
      <c r="U492" s="8" t="n">
        <f aca="false">Assumptions!$B$20*I492+(1-Assumptions!$B$20)*O492</f>
        <v>0.0414752777687531</v>
      </c>
      <c r="V492" s="8" t="n">
        <f aca="false">Assumptions!$B$21*J492+(1-Assumptions!$B$21)*P492</f>
        <v>-0.313046857430432</v>
      </c>
      <c r="W492" s="8" t="n">
        <f aca="false">Assumptions!$B$22*K492+(1-Assumptions!$B$22)*Q492</f>
        <v>0.095902068163709</v>
      </c>
      <c r="X492" s="8" t="n">
        <f aca="false">Assumptions!$B$23*L492+(1-Assumptions!$B$23)*R492</f>
        <v>0.119967980411197</v>
      </c>
      <c r="Y492" s="8" t="n">
        <f aca="false">Assumptions!$B$24*M492+(1-Assumptions!$B$24)*S492</f>
        <v>0.21002405791053</v>
      </c>
      <c r="Z492" s="6" t="n">
        <f aca="false">Assumptions!$B$27*(1+T492)</f>
        <v>348037.457900126</v>
      </c>
      <c r="AA492" s="6" t="n">
        <f aca="false">(Z492+Assumptions!$B$28)*(1+U492)</f>
        <v>518693.699805777</v>
      </c>
      <c r="AB492" s="6" t="n">
        <f aca="false">AA492*(1+V492)</f>
        <v>356318.267112615</v>
      </c>
      <c r="AC492" s="6" t="n">
        <f aca="false">AB492*(1+W492)</f>
        <v>390489.925853223</v>
      </c>
      <c r="AD492" s="6" t="n">
        <f aca="false">AC492*(1+X492)</f>
        <v>437336.213628753</v>
      </c>
      <c r="AE492" s="6" t="n">
        <f aca="false">AD492*(1+Y492)</f>
        <v>529187.339886289</v>
      </c>
      <c r="AF492" s="6" t="n">
        <f aca="false">Z492</f>
        <v>348037.457900126</v>
      </c>
      <c r="AG492" s="6" t="n">
        <f aca="false">MAX(AF492,AA492)</f>
        <v>518693.699805777</v>
      </c>
      <c r="AH492" s="6" t="n">
        <f aca="false">MAX(AG492,AB492)</f>
        <v>518693.699805777</v>
      </c>
      <c r="AI492" s="6" t="n">
        <f aca="false">MAX(AH492,AC492)</f>
        <v>518693.699805777</v>
      </c>
      <c r="AJ492" s="6" t="n">
        <f aca="false">MAX(AI492,AD492)</f>
        <v>518693.699805777</v>
      </c>
      <c r="AK492" s="6" t="n">
        <f aca="false">MAX(AJ492,AE492)</f>
        <v>529187.339886289</v>
      </c>
      <c r="AL492" s="8" t="n">
        <f aca="false">MIN(Z492/AF492-1,AA492/AG492-1,AB492/AH492-1,AC492/AI492-1,AD492/AJ492-1,AE492/AK492-1)</f>
        <v>-0.313046857430432</v>
      </c>
      <c r="AM492" s="6" t="n">
        <f aca="false">AE492-Assumptions!$B$35</f>
        <v>87923.3432237859</v>
      </c>
    </row>
    <row r="493" customFormat="false" ht="15" hidden="false" customHeight="false" outlineLevel="0" collapsed="false">
      <c r="A493" s="0" t="n">
        <f aca="false">ROW()-1</f>
        <v>492</v>
      </c>
      <c r="B493" s="0" t="str">
        <f aca="true">IF(RAND()&lt;Assumptions!$B$11,"Bull","Bear")</f>
        <v>Bear</v>
      </c>
      <c r="C493" s="0" t="str">
        <f aca="true">IF(B493="Bull",IF(RAND()&lt;Assumptions!$B$7,"Bull","Bear"),IF(RAND()&lt;Assumptions!$B$10,"Bear","Bull"))</f>
        <v>Bear</v>
      </c>
      <c r="D493" s="0" t="str">
        <f aca="true">IF(C493="Bull",IF(RAND()&lt;Assumptions!$B$7,"Bull","Bear"),IF(RAND()&lt;Assumptions!$B$10,"Bear","Bull"))</f>
        <v>Bear</v>
      </c>
      <c r="E493" s="0" t="str">
        <f aca="true">IF(D493="Bull",IF(RAND()&lt;Assumptions!$B$7,"Bull","Bear"),IF(RAND()&lt;Assumptions!$B$10,"Bear","Bull"))</f>
        <v>Bear</v>
      </c>
      <c r="F493" s="0" t="str">
        <f aca="true">IF(E493="Bull",IF(RAND()&lt;Assumptions!$B$7,"Bull","Bear"),IF(RAND()&lt;Assumptions!$B$10,"Bear","Bull"))</f>
        <v>Bull</v>
      </c>
      <c r="G493" s="0" t="str">
        <f aca="true">IF(F493="Bull",IF(RAND()&lt;Assumptions!$B$7,"Bull","Bear"),IF(RAND()&lt;Assumptions!$B$10,"Bear","Bull"))</f>
        <v>Bull</v>
      </c>
      <c r="H493" s="8" t="n">
        <f aca="true">IF(B493="Bull",NORMINV(RAND(),Assumptions!$B$5,Assumptions!$B$6),NORMINV(RAND(),Assumptions!$B$8,Assumptions!$B$9))</f>
        <v>0.0147080250725105</v>
      </c>
      <c r="I493" s="8" t="n">
        <f aca="true">IF(C493="Bull",NORMINV(RAND(),Assumptions!$B$5,Assumptions!$B$6),NORMINV(RAND(),Assumptions!$B$8,Assumptions!$B$9))</f>
        <v>-0.224920788538757</v>
      </c>
      <c r="J493" s="8" t="n">
        <f aca="true">IF(D493="Bull",NORMINV(RAND(),Assumptions!$B$5,Assumptions!$B$6),NORMINV(RAND(),Assumptions!$B$8,Assumptions!$B$9))</f>
        <v>-0.24934447290153</v>
      </c>
      <c r="K493" s="8" t="n">
        <f aca="true">IF(E493="Bull",NORMINV(RAND(),Assumptions!$B$5,Assumptions!$B$6),NORMINV(RAND(),Assumptions!$B$8,Assumptions!$B$9))</f>
        <v>-0.0857007748760206</v>
      </c>
      <c r="L493" s="8" t="n">
        <f aca="true">IF(F493="Bull",NORMINV(RAND(),Assumptions!$B$5,Assumptions!$B$6),NORMINV(RAND(),Assumptions!$B$8,Assumptions!$B$9))</f>
        <v>0.107562759423325</v>
      </c>
      <c r="M493" s="8" t="n">
        <f aca="true">IF(G493="Bull",NORMINV(RAND(),Assumptions!$B$5,Assumptions!$B$6),NORMINV(RAND(),Assumptions!$B$8,Assumptions!$B$9))</f>
        <v>0.27894028780423</v>
      </c>
      <c r="N493" s="8" t="n">
        <f aca="true">NORMINV(RAND(),Assumptions!$B$14,Assumptions!$B$15)</f>
        <v>0.0359943104629011</v>
      </c>
      <c r="O493" s="8" t="n">
        <f aca="true">NORMINV(RAND(),Assumptions!$B$14,Assumptions!$B$15)</f>
        <v>-0.0139997892672681</v>
      </c>
      <c r="P493" s="8" t="n">
        <f aca="true">NORMINV(RAND(),Assumptions!$B$14,Assumptions!$B$15)</f>
        <v>0.0565605424829055</v>
      </c>
      <c r="Q493" s="8" t="n">
        <f aca="true">NORMINV(RAND(),Assumptions!$B$14,Assumptions!$B$15)</f>
        <v>0.0960361079385252</v>
      </c>
      <c r="R493" s="8" t="n">
        <f aca="true">NORMINV(RAND(),Assumptions!$B$14,Assumptions!$B$15)</f>
        <v>0.0317320150968068</v>
      </c>
      <c r="S493" s="8" t="n">
        <f aca="true">NORMINV(RAND(),Assumptions!$B$14,Assumptions!$B$15)</f>
        <v>0.0370894071301515</v>
      </c>
      <c r="T493" s="8" t="n">
        <f aca="false">Assumptions!$B$19*H493+(1-Assumptions!$B$19)*N493</f>
        <v>0.0147080250725105</v>
      </c>
      <c r="U493" s="8" t="n">
        <f aca="false">Assumptions!$B$20*I493+(1-Assumptions!$B$20)*O493</f>
        <v>-0.224920788538757</v>
      </c>
      <c r="V493" s="8" t="n">
        <f aca="false">Assumptions!$B$21*J493+(1-Assumptions!$B$21)*P493</f>
        <v>-0.24934447290153</v>
      </c>
      <c r="W493" s="8" t="n">
        <f aca="false">Assumptions!$B$22*K493+(1-Assumptions!$B$22)*Q493</f>
        <v>-0.0857007748760206</v>
      </c>
      <c r="X493" s="8" t="n">
        <f aca="false">Assumptions!$B$23*L493+(1-Assumptions!$B$23)*R493</f>
        <v>0.0923966105580211</v>
      </c>
      <c r="Y493" s="8" t="n">
        <f aca="false">Assumptions!$B$24*M493+(1-Assumptions!$B$24)*S493</f>
        <v>0.182199935534598</v>
      </c>
      <c r="Z493" s="6" t="n">
        <f aca="false">Assumptions!$B$27*(1+T493)</f>
        <v>304412.407521753</v>
      </c>
      <c r="AA493" s="6" t="n">
        <f aca="false">(Z493+Assumptions!$B$28)*(1+U493)</f>
        <v>352205.610500165</v>
      </c>
      <c r="AB493" s="6" t="n">
        <f aca="false">AA493*(1+V493)</f>
        <v>264385.08819704</v>
      </c>
      <c r="AC493" s="6" t="n">
        <f aca="false">AB493*(1+W493)</f>
        <v>241727.081272889</v>
      </c>
      <c r="AD493" s="6" t="n">
        <f aca="false">AC493*(1+X493)</f>
        <v>264061.844262587</v>
      </c>
      <c r="AE493" s="6" t="n">
        <f aca="false">AD493*(1+Y493)</f>
        <v>312173.895264377</v>
      </c>
      <c r="AF493" s="6" t="n">
        <f aca="false">Z493</f>
        <v>304412.407521753</v>
      </c>
      <c r="AG493" s="6" t="n">
        <f aca="false">MAX(AF493,AA493)</f>
        <v>352205.610500165</v>
      </c>
      <c r="AH493" s="6" t="n">
        <f aca="false">MAX(AG493,AB493)</f>
        <v>352205.610500165</v>
      </c>
      <c r="AI493" s="6" t="n">
        <f aca="false">MAX(AH493,AC493)</f>
        <v>352205.610500165</v>
      </c>
      <c r="AJ493" s="6" t="n">
        <f aca="false">MAX(AI493,AD493)</f>
        <v>352205.610500165</v>
      </c>
      <c r="AK493" s="6" t="n">
        <f aca="false">MAX(AJ493,AE493)</f>
        <v>352205.610500165</v>
      </c>
      <c r="AL493" s="8" t="n">
        <f aca="false">MIN(Z493/AF493-1,AA493/AG493-1,AB493/AH493-1,AC493/AI493-1,AD493/AJ493-1,AE493/AK493-1)</f>
        <v>-0.313676233238837</v>
      </c>
      <c r="AM493" s="6" t="n">
        <f aca="false">AE493-Assumptions!$B$35</f>
        <v>-129090.101398126</v>
      </c>
    </row>
    <row r="494" customFormat="false" ht="15" hidden="false" customHeight="false" outlineLevel="0" collapsed="false">
      <c r="A494" s="0" t="n">
        <f aca="false">ROW()-1</f>
        <v>493</v>
      </c>
      <c r="B494" s="0" t="str">
        <f aca="true">IF(RAND()&lt;Assumptions!$B$11,"Bull","Bear")</f>
        <v>Bull</v>
      </c>
      <c r="C494" s="0" t="str">
        <f aca="true">IF(B494="Bull",IF(RAND()&lt;Assumptions!$B$7,"Bull","Bear"),IF(RAND()&lt;Assumptions!$B$10,"Bear","Bull"))</f>
        <v>Bull</v>
      </c>
      <c r="D494" s="0" t="str">
        <f aca="true">IF(C494="Bull",IF(RAND()&lt;Assumptions!$B$7,"Bull","Bear"),IF(RAND()&lt;Assumptions!$B$10,"Bear","Bull"))</f>
        <v>Bear</v>
      </c>
      <c r="E494" s="0" t="str">
        <f aca="true">IF(D494="Bull",IF(RAND()&lt;Assumptions!$B$7,"Bull","Bear"),IF(RAND()&lt;Assumptions!$B$10,"Bear","Bull"))</f>
        <v>Bull</v>
      </c>
      <c r="F494" s="0" t="str">
        <f aca="true">IF(E494="Bull",IF(RAND()&lt;Assumptions!$B$7,"Bull","Bear"),IF(RAND()&lt;Assumptions!$B$10,"Bear","Bull"))</f>
        <v>Bull</v>
      </c>
      <c r="G494" s="0" t="str">
        <f aca="true">IF(F494="Bull",IF(RAND()&lt;Assumptions!$B$7,"Bull","Bear"),IF(RAND()&lt;Assumptions!$B$10,"Bear","Bull"))</f>
        <v>Bull</v>
      </c>
      <c r="H494" s="8" t="n">
        <f aca="true">IF(B494="Bull",NORMINV(RAND(),Assumptions!$B$5,Assumptions!$B$6),NORMINV(RAND(),Assumptions!$B$8,Assumptions!$B$9))</f>
        <v>0.27611488038425</v>
      </c>
      <c r="I494" s="8" t="n">
        <f aca="true">IF(C494="Bull",NORMINV(RAND(),Assumptions!$B$5,Assumptions!$B$6),NORMINV(RAND(),Assumptions!$B$8,Assumptions!$B$9))</f>
        <v>0.262085347464741</v>
      </c>
      <c r="J494" s="8" t="n">
        <f aca="true">IF(D494="Bull",NORMINV(RAND(),Assumptions!$B$5,Assumptions!$B$6),NORMINV(RAND(),Assumptions!$B$8,Assumptions!$B$9))</f>
        <v>-0.0475608791900683</v>
      </c>
      <c r="K494" s="8" t="n">
        <f aca="true">IF(E494="Bull",NORMINV(RAND(),Assumptions!$B$5,Assumptions!$B$6),NORMINV(RAND(),Assumptions!$B$8,Assumptions!$B$9))</f>
        <v>0.0392519914175724</v>
      </c>
      <c r="L494" s="8" t="n">
        <f aca="true">IF(F494="Bull",NORMINV(RAND(),Assumptions!$B$5,Assumptions!$B$6),NORMINV(RAND(),Assumptions!$B$8,Assumptions!$B$9))</f>
        <v>0.0555827666270574</v>
      </c>
      <c r="M494" s="8" t="n">
        <f aca="true">IF(G494="Bull",NORMINV(RAND(),Assumptions!$B$5,Assumptions!$B$6),NORMINV(RAND(),Assumptions!$B$8,Assumptions!$B$9))</f>
        <v>-0.0664090840352243</v>
      </c>
      <c r="N494" s="8" t="n">
        <f aca="true">NORMINV(RAND(),Assumptions!$B$14,Assumptions!$B$15)</f>
        <v>0.0940892784612604</v>
      </c>
      <c r="O494" s="8" t="n">
        <f aca="true">NORMINV(RAND(),Assumptions!$B$14,Assumptions!$B$15)</f>
        <v>0.0722537741531561</v>
      </c>
      <c r="P494" s="8" t="n">
        <f aca="true">NORMINV(RAND(),Assumptions!$B$14,Assumptions!$B$15)</f>
        <v>0.0305517239925559</v>
      </c>
      <c r="Q494" s="8" t="n">
        <f aca="true">NORMINV(RAND(),Assumptions!$B$14,Assumptions!$B$15)</f>
        <v>0.0495983801216385</v>
      </c>
      <c r="R494" s="8" t="n">
        <f aca="true">NORMINV(RAND(),Assumptions!$B$14,Assumptions!$B$15)</f>
        <v>0.0214617337825455</v>
      </c>
      <c r="S494" s="8" t="n">
        <f aca="true">NORMINV(RAND(),Assumptions!$B$14,Assumptions!$B$15)</f>
        <v>0.0610168574571766</v>
      </c>
      <c r="T494" s="8" t="n">
        <f aca="false">Assumptions!$B$19*H494+(1-Assumptions!$B$19)*N494</f>
        <v>0.27611488038425</v>
      </c>
      <c r="U494" s="8" t="n">
        <f aca="false">Assumptions!$B$20*I494+(1-Assumptions!$B$20)*O494</f>
        <v>0.262085347464741</v>
      </c>
      <c r="V494" s="8" t="n">
        <f aca="false">Assumptions!$B$21*J494+(1-Assumptions!$B$21)*P494</f>
        <v>-0.0475608791900683</v>
      </c>
      <c r="W494" s="8" t="n">
        <f aca="false">Assumptions!$B$22*K494+(1-Assumptions!$B$22)*Q494</f>
        <v>0.0392519914175724</v>
      </c>
      <c r="X494" s="8" t="n">
        <f aca="false">Assumptions!$B$23*L494+(1-Assumptions!$B$23)*R494</f>
        <v>0.048758560058155</v>
      </c>
      <c r="Y494" s="8" t="n">
        <f aca="false">Assumptions!$B$24*M494+(1-Assumptions!$B$24)*S494</f>
        <v>-0.0154387074382639</v>
      </c>
      <c r="Z494" s="6" t="n">
        <f aca="false">Assumptions!$B$27*(1+T494)</f>
        <v>382834.464115275</v>
      </c>
      <c r="AA494" s="6" t="n">
        <f aca="false">(Z494+Assumptions!$B$28)*(1+U494)</f>
        <v>672482.569784116</v>
      </c>
      <c r="AB494" s="6" t="n">
        <f aca="false">AA494*(1+V494)</f>
        <v>640498.707525187</v>
      </c>
      <c r="AC494" s="6" t="n">
        <f aca="false">AB494*(1+W494)</f>
        <v>665639.557295932</v>
      </c>
      <c r="AD494" s="6" t="n">
        <f aca="false">AC494*(1+X494)</f>
        <v>698095.18362743</v>
      </c>
      <c r="AE494" s="6" t="n">
        <f aca="false">AD494*(1+Y494)</f>
        <v>687317.496323345</v>
      </c>
      <c r="AF494" s="6" t="n">
        <f aca="false">Z494</f>
        <v>382834.464115275</v>
      </c>
      <c r="AG494" s="6" t="n">
        <f aca="false">MAX(AF494,AA494)</f>
        <v>672482.569784116</v>
      </c>
      <c r="AH494" s="6" t="n">
        <f aca="false">MAX(AG494,AB494)</f>
        <v>672482.569784116</v>
      </c>
      <c r="AI494" s="6" t="n">
        <f aca="false">MAX(AH494,AC494)</f>
        <v>672482.569784116</v>
      </c>
      <c r="AJ494" s="6" t="n">
        <f aca="false">MAX(AI494,AD494)</f>
        <v>698095.18362743</v>
      </c>
      <c r="AK494" s="6" t="n">
        <f aca="false">MAX(AJ494,AE494)</f>
        <v>698095.18362743</v>
      </c>
      <c r="AL494" s="8" t="n">
        <f aca="false">MIN(Z494/AF494-1,AA494/AG494-1,AB494/AH494-1,AC494/AI494-1,AD494/AJ494-1,AE494/AK494-1)</f>
        <v>-0.0475608791900681</v>
      </c>
      <c r="AM494" s="6" t="n">
        <f aca="false">AE494-Assumptions!$B$35</f>
        <v>246053.499660841</v>
      </c>
    </row>
    <row r="495" customFormat="false" ht="15" hidden="false" customHeight="false" outlineLevel="0" collapsed="false">
      <c r="A495" s="0" t="n">
        <f aca="false">ROW()-1</f>
        <v>494</v>
      </c>
      <c r="B495" s="0" t="str">
        <f aca="true">IF(RAND()&lt;Assumptions!$B$11,"Bull","Bear")</f>
        <v>Bear</v>
      </c>
      <c r="C495" s="0" t="str">
        <f aca="true">IF(B495="Bull",IF(RAND()&lt;Assumptions!$B$7,"Bull","Bear"),IF(RAND()&lt;Assumptions!$B$10,"Bear","Bull"))</f>
        <v>Bear</v>
      </c>
      <c r="D495" s="0" t="str">
        <f aca="true">IF(C495="Bull",IF(RAND()&lt;Assumptions!$B$7,"Bull","Bear"),IF(RAND()&lt;Assumptions!$B$10,"Bear","Bull"))</f>
        <v>Bear</v>
      </c>
      <c r="E495" s="0" t="str">
        <f aca="true">IF(D495="Bull",IF(RAND()&lt;Assumptions!$B$7,"Bull","Bear"),IF(RAND()&lt;Assumptions!$B$10,"Bear","Bull"))</f>
        <v>Bear</v>
      </c>
      <c r="F495" s="0" t="str">
        <f aca="true">IF(E495="Bull",IF(RAND()&lt;Assumptions!$B$7,"Bull","Bear"),IF(RAND()&lt;Assumptions!$B$10,"Bear","Bull"))</f>
        <v>Bear</v>
      </c>
      <c r="G495" s="0" t="str">
        <f aca="true">IF(F495="Bull",IF(RAND()&lt;Assumptions!$B$7,"Bull","Bear"),IF(RAND()&lt;Assumptions!$B$10,"Bear","Bull"))</f>
        <v>Bear</v>
      </c>
      <c r="H495" s="8" t="n">
        <f aca="true">IF(B495="Bull",NORMINV(RAND(),Assumptions!$B$5,Assumptions!$B$6),NORMINV(RAND(),Assumptions!$B$8,Assumptions!$B$9))</f>
        <v>-0.0192050101257071</v>
      </c>
      <c r="I495" s="8" t="n">
        <f aca="true">IF(C495="Bull",NORMINV(RAND(),Assumptions!$B$5,Assumptions!$B$6),NORMINV(RAND(),Assumptions!$B$8,Assumptions!$B$9))</f>
        <v>-0.165379340399745</v>
      </c>
      <c r="J495" s="8" t="n">
        <f aca="true">IF(D495="Bull",NORMINV(RAND(),Assumptions!$B$5,Assumptions!$B$6),NORMINV(RAND(),Assumptions!$B$8,Assumptions!$B$9))</f>
        <v>-0.360013203843964</v>
      </c>
      <c r="K495" s="8" t="n">
        <f aca="true">IF(E495="Bull",NORMINV(RAND(),Assumptions!$B$5,Assumptions!$B$6),NORMINV(RAND(),Assumptions!$B$8,Assumptions!$B$9))</f>
        <v>-0.246131585691096</v>
      </c>
      <c r="L495" s="8" t="n">
        <f aca="true">IF(F495="Bull",NORMINV(RAND(),Assumptions!$B$5,Assumptions!$B$6),NORMINV(RAND(),Assumptions!$B$8,Assumptions!$B$9))</f>
        <v>-0.248261254995817</v>
      </c>
      <c r="M495" s="8" t="n">
        <f aca="true">IF(G495="Bull",NORMINV(RAND(),Assumptions!$B$5,Assumptions!$B$6),NORMINV(RAND(),Assumptions!$B$8,Assumptions!$B$9))</f>
        <v>-0.107440825858084</v>
      </c>
      <c r="N495" s="8" t="n">
        <f aca="true">NORMINV(RAND(),Assumptions!$B$14,Assumptions!$B$15)</f>
        <v>0.0992259233173969</v>
      </c>
      <c r="O495" s="8" t="n">
        <f aca="true">NORMINV(RAND(),Assumptions!$B$14,Assumptions!$B$15)</f>
        <v>0.0947100366476917</v>
      </c>
      <c r="P495" s="8" t="n">
        <f aca="true">NORMINV(RAND(),Assumptions!$B$14,Assumptions!$B$15)</f>
        <v>0.0373152526113633</v>
      </c>
      <c r="Q495" s="8" t="n">
        <f aca="true">NORMINV(RAND(),Assumptions!$B$14,Assumptions!$B$15)</f>
        <v>0.0138661136460569</v>
      </c>
      <c r="R495" s="8" t="n">
        <f aca="true">NORMINV(RAND(),Assumptions!$B$14,Assumptions!$B$15)</f>
        <v>0.0828469706393755</v>
      </c>
      <c r="S495" s="8" t="n">
        <f aca="true">NORMINV(RAND(),Assumptions!$B$14,Assumptions!$B$15)</f>
        <v>0.0507732990530651</v>
      </c>
      <c r="T495" s="8" t="n">
        <f aca="false">Assumptions!$B$19*H495+(1-Assumptions!$B$19)*N495</f>
        <v>-0.0192050101257071</v>
      </c>
      <c r="U495" s="8" t="n">
        <f aca="false">Assumptions!$B$20*I495+(1-Assumptions!$B$20)*O495</f>
        <v>-0.165379340399745</v>
      </c>
      <c r="V495" s="8" t="n">
        <f aca="false">Assumptions!$B$21*J495+(1-Assumptions!$B$21)*P495</f>
        <v>-0.360013203843964</v>
      </c>
      <c r="W495" s="8" t="n">
        <f aca="false">Assumptions!$B$22*K495+(1-Assumptions!$B$22)*Q495</f>
        <v>-0.246131585691096</v>
      </c>
      <c r="X495" s="8" t="n">
        <f aca="false">Assumptions!$B$23*L495+(1-Assumptions!$B$23)*R495</f>
        <v>-0.182039609868779</v>
      </c>
      <c r="Y495" s="8" t="n">
        <f aca="false">Assumptions!$B$24*M495+(1-Assumptions!$B$24)*S495</f>
        <v>-0.0441551758936242</v>
      </c>
      <c r="Z495" s="6" t="n">
        <f aca="false">Assumptions!$B$27*(1+T495)</f>
        <v>294238.496962288</v>
      </c>
      <c r="AA495" s="6" t="n">
        <f aca="false">(Z495+Assumptions!$B$28)*(1+U495)</f>
        <v>370770.627354491</v>
      </c>
      <c r="AB495" s="6" t="n">
        <f aca="false">AA495*(1+V495)</f>
        <v>237288.305909364</v>
      </c>
      <c r="AC495" s="6" t="n">
        <f aca="false">AB495*(1+W495)</f>
        <v>178884.158909938</v>
      </c>
      <c r="AD495" s="6" t="n">
        <f aca="false">AC495*(1+X495)</f>
        <v>146320.156410269</v>
      </c>
      <c r="AE495" s="6" t="n">
        <f aca="false">AD495*(1+Y495)</f>
        <v>139859.364167191</v>
      </c>
      <c r="AF495" s="6" t="n">
        <f aca="false">Z495</f>
        <v>294238.496962288</v>
      </c>
      <c r="AG495" s="6" t="n">
        <f aca="false">MAX(AF495,AA495)</f>
        <v>370770.627354491</v>
      </c>
      <c r="AH495" s="6" t="n">
        <f aca="false">MAX(AG495,AB495)</f>
        <v>370770.627354491</v>
      </c>
      <c r="AI495" s="6" t="n">
        <f aca="false">MAX(AH495,AC495)</f>
        <v>370770.627354491</v>
      </c>
      <c r="AJ495" s="6" t="n">
        <f aca="false">MAX(AI495,AD495)</f>
        <v>370770.627354491</v>
      </c>
      <c r="AK495" s="6" t="n">
        <f aca="false">MAX(AJ495,AE495)</f>
        <v>370770.627354491</v>
      </c>
      <c r="AL495" s="8" t="n">
        <f aca="false">MIN(Z495/AF495-1,AA495/AG495-1,AB495/AH495-1,AC495/AI495-1,AD495/AJ495-1,AE495/AK495-1)</f>
        <v>-0.622787368122685</v>
      </c>
      <c r="AM495" s="6" t="n">
        <f aca="false">AE495-Assumptions!$B$35</f>
        <v>-301404.632495313</v>
      </c>
    </row>
    <row r="496" customFormat="false" ht="15" hidden="false" customHeight="false" outlineLevel="0" collapsed="false">
      <c r="A496" s="0" t="n">
        <f aca="false">ROW()-1</f>
        <v>495</v>
      </c>
      <c r="B496" s="0" t="str">
        <f aca="true">IF(RAND()&lt;Assumptions!$B$11,"Bull","Bear")</f>
        <v>Bear</v>
      </c>
      <c r="C496" s="0" t="str">
        <f aca="true">IF(B496="Bull",IF(RAND()&lt;Assumptions!$B$7,"Bull","Bear"),IF(RAND()&lt;Assumptions!$B$10,"Bear","Bull"))</f>
        <v>Bull</v>
      </c>
      <c r="D496" s="0" t="str">
        <f aca="true">IF(C496="Bull",IF(RAND()&lt;Assumptions!$B$7,"Bull","Bear"),IF(RAND()&lt;Assumptions!$B$10,"Bear","Bull"))</f>
        <v>Bear</v>
      </c>
      <c r="E496" s="0" t="str">
        <f aca="true">IF(D496="Bull",IF(RAND()&lt;Assumptions!$B$7,"Bull","Bear"),IF(RAND()&lt;Assumptions!$B$10,"Bear","Bull"))</f>
        <v>Bull</v>
      </c>
      <c r="F496" s="0" t="str">
        <f aca="true">IF(E496="Bull",IF(RAND()&lt;Assumptions!$B$7,"Bull","Bear"),IF(RAND()&lt;Assumptions!$B$10,"Bear","Bull"))</f>
        <v>Bear</v>
      </c>
      <c r="G496" s="0" t="str">
        <f aca="true">IF(F496="Bull",IF(RAND()&lt;Assumptions!$B$7,"Bull","Bear"),IF(RAND()&lt;Assumptions!$B$10,"Bear","Bull"))</f>
        <v>Bull</v>
      </c>
      <c r="H496" s="8" t="n">
        <f aca="true">IF(B496="Bull",NORMINV(RAND(),Assumptions!$B$5,Assumptions!$B$6),NORMINV(RAND(),Assumptions!$B$8,Assumptions!$B$9))</f>
        <v>-0.000933891370429332</v>
      </c>
      <c r="I496" s="8" t="n">
        <f aca="true">IF(C496="Bull",NORMINV(RAND(),Assumptions!$B$5,Assumptions!$B$6),NORMINV(RAND(),Assumptions!$B$8,Assumptions!$B$9))</f>
        <v>0.14656486738351</v>
      </c>
      <c r="J496" s="8" t="n">
        <f aca="true">IF(D496="Bull",NORMINV(RAND(),Assumptions!$B$5,Assumptions!$B$6),NORMINV(RAND(),Assumptions!$B$8,Assumptions!$B$9))</f>
        <v>-0.111234852805335</v>
      </c>
      <c r="K496" s="8" t="n">
        <f aca="true">IF(E496="Bull",NORMINV(RAND(),Assumptions!$B$5,Assumptions!$B$6),NORMINV(RAND(),Assumptions!$B$8,Assumptions!$B$9))</f>
        <v>0.186360278328096</v>
      </c>
      <c r="L496" s="8" t="n">
        <f aca="true">IF(F496="Bull",NORMINV(RAND(),Assumptions!$B$5,Assumptions!$B$6),NORMINV(RAND(),Assumptions!$B$8,Assumptions!$B$9))</f>
        <v>-0.243575818501014</v>
      </c>
      <c r="M496" s="8" t="n">
        <f aca="true">IF(G496="Bull",NORMINV(RAND(),Assumptions!$B$5,Assumptions!$B$6),NORMINV(RAND(),Assumptions!$B$8,Assumptions!$B$9))</f>
        <v>0.12040630737794</v>
      </c>
      <c r="N496" s="8" t="n">
        <f aca="true">NORMINV(RAND(),Assumptions!$B$14,Assumptions!$B$15)</f>
        <v>0.0688435254969468</v>
      </c>
      <c r="O496" s="8" t="n">
        <f aca="true">NORMINV(RAND(),Assumptions!$B$14,Assumptions!$B$15)</f>
        <v>0.0815060134588198</v>
      </c>
      <c r="P496" s="8" t="n">
        <f aca="true">NORMINV(RAND(),Assumptions!$B$14,Assumptions!$B$15)</f>
        <v>0.0682911169530268</v>
      </c>
      <c r="Q496" s="8" t="n">
        <f aca="true">NORMINV(RAND(),Assumptions!$B$14,Assumptions!$B$15)</f>
        <v>0.0379444813557628</v>
      </c>
      <c r="R496" s="8" t="n">
        <f aca="true">NORMINV(RAND(),Assumptions!$B$14,Assumptions!$B$15)</f>
        <v>0.00726255713904121</v>
      </c>
      <c r="S496" s="8" t="n">
        <f aca="true">NORMINV(RAND(),Assumptions!$B$14,Assumptions!$B$15)</f>
        <v>0.103075618101498</v>
      </c>
      <c r="T496" s="8" t="n">
        <f aca="false">Assumptions!$B$19*H496+(1-Assumptions!$B$19)*N496</f>
        <v>-0.000933891370429332</v>
      </c>
      <c r="U496" s="8" t="n">
        <f aca="false">Assumptions!$B$20*I496+(1-Assumptions!$B$20)*O496</f>
        <v>0.14656486738351</v>
      </c>
      <c r="V496" s="8" t="n">
        <f aca="false">Assumptions!$B$21*J496+(1-Assumptions!$B$21)*P496</f>
        <v>-0.111234852805335</v>
      </c>
      <c r="W496" s="8" t="n">
        <f aca="false">Assumptions!$B$22*K496+(1-Assumptions!$B$22)*Q496</f>
        <v>0.186360278328096</v>
      </c>
      <c r="X496" s="8" t="n">
        <f aca="false">Assumptions!$B$23*L496+(1-Assumptions!$B$23)*R496</f>
        <v>-0.193408143373003</v>
      </c>
      <c r="Y496" s="8" t="n">
        <f aca="false">Assumptions!$B$24*M496+(1-Assumptions!$B$24)*S496</f>
        <v>0.113474031667363</v>
      </c>
      <c r="Z496" s="6" t="n">
        <f aca="false">Assumptions!$B$27*(1+T496)</f>
        <v>299719.832588871</v>
      </c>
      <c r="AA496" s="6" t="n">
        <f aca="false">(Z496+Assumptions!$B$28)*(1+U496)</f>
        <v>515632.960211993</v>
      </c>
      <c r="AB496" s="6" t="n">
        <f aca="false">AA496*(1+V496)</f>
        <v>458276.603781233</v>
      </c>
      <c r="AC496" s="6" t="n">
        <f aca="false">AB496*(1+W496)</f>
        <v>543681.159213158</v>
      </c>
      <c r="AD496" s="6" t="n">
        <f aca="false">AC496*(1+X496)</f>
        <v>438528.795622859</v>
      </c>
      <c r="AE496" s="6" t="n">
        <f aca="false">AD496*(1+Y496)</f>
        <v>488290.426064418</v>
      </c>
      <c r="AF496" s="6" t="n">
        <f aca="false">Z496</f>
        <v>299719.832588871</v>
      </c>
      <c r="AG496" s="6" t="n">
        <f aca="false">MAX(AF496,AA496)</f>
        <v>515632.960211993</v>
      </c>
      <c r="AH496" s="6" t="n">
        <f aca="false">MAX(AG496,AB496)</f>
        <v>515632.960211993</v>
      </c>
      <c r="AI496" s="6" t="n">
        <f aca="false">MAX(AH496,AC496)</f>
        <v>543681.159213158</v>
      </c>
      <c r="AJ496" s="6" t="n">
        <f aca="false">MAX(AI496,AD496)</f>
        <v>543681.159213158</v>
      </c>
      <c r="AK496" s="6" t="n">
        <f aca="false">MAX(AJ496,AE496)</f>
        <v>543681.159213158</v>
      </c>
      <c r="AL496" s="8" t="n">
        <f aca="false">MIN(Z496/AF496-1,AA496/AG496-1,AB496/AH496-1,AC496/AI496-1,AD496/AJ496-1,AE496/AK496-1)</f>
        <v>-0.193408143373003</v>
      </c>
      <c r="AM496" s="6" t="n">
        <f aca="false">AE496-Assumptions!$B$35</f>
        <v>47026.4294019147</v>
      </c>
    </row>
    <row r="497" customFormat="false" ht="15" hidden="false" customHeight="false" outlineLevel="0" collapsed="false">
      <c r="A497" s="0" t="n">
        <f aca="false">ROW()-1</f>
        <v>496</v>
      </c>
      <c r="B497" s="0" t="str">
        <f aca="true">IF(RAND()&lt;Assumptions!$B$11,"Bull","Bear")</f>
        <v>Bull</v>
      </c>
      <c r="C497" s="0" t="str">
        <f aca="true">IF(B497="Bull",IF(RAND()&lt;Assumptions!$B$7,"Bull","Bear"),IF(RAND()&lt;Assumptions!$B$10,"Bear","Bull"))</f>
        <v>Bull</v>
      </c>
      <c r="D497" s="0" t="str">
        <f aca="true">IF(C497="Bull",IF(RAND()&lt;Assumptions!$B$7,"Bull","Bear"),IF(RAND()&lt;Assumptions!$B$10,"Bear","Bull"))</f>
        <v>Bull</v>
      </c>
      <c r="E497" s="0" t="str">
        <f aca="true">IF(D497="Bull",IF(RAND()&lt;Assumptions!$B$7,"Bull","Bear"),IF(RAND()&lt;Assumptions!$B$10,"Bear","Bull"))</f>
        <v>Bull</v>
      </c>
      <c r="F497" s="0" t="str">
        <f aca="true">IF(E497="Bull",IF(RAND()&lt;Assumptions!$B$7,"Bull","Bear"),IF(RAND()&lt;Assumptions!$B$10,"Bear","Bull"))</f>
        <v>Bull</v>
      </c>
      <c r="G497" s="0" t="str">
        <f aca="true">IF(F497="Bull",IF(RAND()&lt;Assumptions!$B$7,"Bull","Bear"),IF(RAND()&lt;Assumptions!$B$10,"Bear","Bull"))</f>
        <v>Bull</v>
      </c>
      <c r="H497" s="8" t="n">
        <f aca="true">IF(B497="Bull",NORMINV(RAND(),Assumptions!$B$5,Assumptions!$B$6),NORMINV(RAND(),Assumptions!$B$8,Assumptions!$B$9))</f>
        <v>0.0109211319149307</v>
      </c>
      <c r="I497" s="8" t="n">
        <f aca="true">IF(C497="Bull",NORMINV(RAND(),Assumptions!$B$5,Assumptions!$B$6),NORMINV(RAND(),Assumptions!$B$8,Assumptions!$B$9))</f>
        <v>0.204219586217124</v>
      </c>
      <c r="J497" s="8" t="n">
        <f aca="true">IF(D497="Bull",NORMINV(RAND(),Assumptions!$B$5,Assumptions!$B$6),NORMINV(RAND(),Assumptions!$B$8,Assumptions!$B$9))</f>
        <v>0.174594299773589</v>
      </c>
      <c r="K497" s="8" t="n">
        <f aca="true">IF(E497="Bull",NORMINV(RAND(),Assumptions!$B$5,Assumptions!$B$6),NORMINV(RAND(),Assumptions!$B$8,Assumptions!$B$9))</f>
        <v>0.0982629611057156</v>
      </c>
      <c r="L497" s="8" t="n">
        <f aca="true">IF(F497="Bull",NORMINV(RAND(),Assumptions!$B$5,Assumptions!$B$6),NORMINV(RAND(),Assumptions!$B$8,Assumptions!$B$9))</f>
        <v>0.0331486142085537</v>
      </c>
      <c r="M497" s="8" t="n">
        <f aca="true">IF(G497="Bull",NORMINV(RAND(),Assumptions!$B$5,Assumptions!$B$6),NORMINV(RAND(),Assumptions!$B$8,Assumptions!$B$9))</f>
        <v>0.15113122575102</v>
      </c>
      <c r="N497" s="8" t="n">
        <f aca="true">NORMINV(RAND(),Assumptions!$B$14,Assumptions!$B$15)</f>
        <v>0.0220734396394671</v>
      </c>
      <c r="O497" s="8" t="n">
        <f aca="true">NORMINV(RAND(),Assumptions!$B$14,Assumptions!$B$15)</f>
        <v>0.036429809881814</v>
      </c>
      <c r="P497" s="8" t="n">
        <f aca="true">NORMINV(RAND(),Assumptions!$B$14,Assumptions!$B$15)</f>
        <v>0.0303711432213754</v>
      </c>
      <c r="Q497" s="8" t="n">
        <f aca="true">NORMINV(RAND(),Assumptions!$B$14,Assumptions!$B$15)</f>
        <v>0.0474597980265623</v>
      </c>
      <c r="R497" s="8" t="n">
        <f aca="true">NORMINV(RAND(),Assumptions!$B$14,Assumptions!$B$15)</f>
        <v>0.101580764618195</v>
      </c>
      <c r="S497" s="8" t="n">
        <f aca="true">NORMINV(RAND(),Assumptions!$B$14,Assumptions!$B$15)</f>
        <v>0.020425803782126</v>
      </c>
      <c r="T497" s="8" t="n">
        <f aca="false">Assumptions!$B$19*H497+(1-Assumptions!$B$19)*N497</f>
        <v>0.0109211319149307</v>
      </c>
      <c r="U497" s="8" t="n">
        <f aca="false">Assumptions!$B$20*I497+(1-Assumptions!$B$20)*O497</f>
        <v>0.204219586217124</v>
      </c>
      <c r="V497" s="8" t="n">
        <f aca="false">Assumptions!$B$21*J497+(1-Assumptions!$B$21)*P497</f>
        <v>0.174594299773589</v>
      </c>
      <c r="W497" s="8" t="n">
        <f aca="false">Assumptions!$B$22*K497+(1-Assumptions!$B$22)*Q497</f>
        <v>0.0982629611057156</v>
      </c>
      <c r="X497" s="8" t="n">
        <f aca="false">Assumptions!$B$23*L497+(1-Assumptions!$B$23)*R497</f>
        <v>0.046835044290482</v>
      </c>
      <c r="Y497" s="8" t="n">
        <f aca="false">Assumptions!$B$24*M497+(1-Assumptions!$B$24)*S497</f>
        <v>0.0988490569634626</v>
      </c>
      <c r="Z497" s="6" t="n">
        <f aca="false">Assumptions!$B$27*(1+T497)</f>
        <v>303276.339574479</v>
      </c>
      <c r="AA497" s="6" t="n">
        <f aca="false">(Z497+Assumptions!$B$28)*(1+U497)</f>
        <v>545844.246084392</v>
      </c>
      <c r="AB497" s="6" t="n">
        <f aca="false">AA497*(1+V497)</f>
        <v>641145.540014939</v>
      </c>
      <c r="AC497" s="6" t="n">
        <f aca="false">AB497*(1+W497)</f>
        <v>704146.39927653</v>
      </c>
      <c r="AD497" s="6" t="n">
        <f aca="false">AC497*(1+X497)</f>
        <v>737125.127073629</v>
      </c>
      <c r="AE497" s="6" t="n">
        <f aca="false">AD497*(1+Y497)</f>
        <v>809989.25074893</v>
      </c>
      <c r="AF497" s="6" t="n">
        <f aca="false">Z497</f>
        <v>303276.339574479</v>
      </c>
      <c r="AG497" s="6" t="n">
        <f aca="false">MAX(AF497,AA497)</f>
        <v>545844.246084392</v>
      </c>
      <c r="AH497" s="6" t="n">
        <f aca="false">MAX(AG497,AB497)</f>
        <v>641145.540014939</v>
      </c>
      <c r="AI497" s="6" t="n">
        <f aca="false">MAX(AH497,AC497)</f>
        <v>704146.39927653</v>
      </c>
      <c r="AJ497" s="6" t="n">
        <f aca="false">MAX(AI497,AD497)</f>
        <v>737125.127073629</v>
      </c>
      <c r="AK497" s="6" t="n">
        <f aca="false">MAX(AJ497,AE497)</f>
        <v>809989.25074893</v>
      </c>
      <c r="AL497" s="8" t="n">
        <f aca="false">MIN(Z497/AF497-1,AA497/AG497-1,AB497/AH497-1,AC497/AI497-1,AD497/AJ497-1,AE497/AK497-1)</f>
        <v>0</v>
      </c>
      <c r="AM497" s="6" t="n">
        <f aca="false">AE497-Assumptions!$B$35</f>
        <v>368725.254086427</v>
      </c>
    </row>
    <row r="498" customFormat="false" ht="15" hidden="false" customHeight="false" outlineLevel="0" collapsed="false">
      <c r="A498" s="0" t="n">
        <f aca="false">ROW()-1</f>
        <v>497</v>
      </c>
      <c r="B498" s="0" t="str">
        <f aca="true">IF(RAND()&lt;Assumptions!$B$11,"Bull","Bear")</f>
        <v>Bull</v>
      </c>
      <c r="C498" s="0" t="str">
        <f aca="true">IF(B498="Bull",IF(RAND()&lt;Assumptions!$B$7,"Bull","Bear"),IF(RAND()&lt;Assumptions!$B$10,"Bear","Bull"))</f>
        <v>Bull</v>
      </c>
      <c r="D498" s="0" t="str">
        <f aca="true">IF(C498="Bull",IF(RAND()&lt;Assumptions!$B$7,"Bull","Bear"),IF(RAND()&lt;Assumptions!$B$10,"Bear","Bull"))</f>
        <v>Bull</v>
      </c>
      <c r="E498" s="0" t="str">
        <f aca="true">IF(D498="Bull",IF(RAND()&lt;Assumptions!$B$7,"Bull","Bear"),IF(RAND()&lt;Assumptions!$B$10,"Bear","Bull"))</f>
        <v>Bear</v>
      </c>
      <c r="F498" s="0" t="str">
        <f aca="true">IF(E498="Bull",IF(RAND()&lt;Assumptions!$B$7,"Bull","Bear"),IF(RAND()&lt;Assumptions!$B$10,"Bear","Bull"))</f>
        <v>Bear</v>
      </c>
      <c r="G498" s="0" t="str">
        <f aca="true">IF(F498="Bull",IF(RAND()&lt;Assumptions!$B$7,"Bull","Bear"),IF(RAND()&lt;Assumptions!$B$10,"Bear","Bull"))</f>
        <v>Bull</v>
      </c>
      <c r="H498" s="8" t="n">
        <f aca="true">IF(B498="Bull",NORMINV(RAND(),Assumptions!$B$5,Assumptions!$B$6),NORMINV(RAND(),Assumptions!$B$8,Assumptions!$B$9))</f>
        <v>0.230217622750718</v>
      </c>
      <c r="I498" s="8" t="n">
        <f aca="true">IF(C498="Bull",NORMINV(RAND(),Assumptions!$B$5,Assumptions!$B$6),NORMINV(RAND(),Assumptions!$B$8,Assumptions!$B$9))</f>
        <v>0.310422326745014</v>
      </c>
      <c r="J498" s="8" t="n">
        <f aca="true">IF(D498="Bull",NORMINV(RAND(),Assumptions!$B$5,Assumptions!$B$6),NORMINV(RAND(),Assumptions!$B$8,Assumptions!$B$9))</f>
        <v>0.260018856580703</v>
      </c>
      <c r="K498" s="8" t="n">
        <f aca="true">IF(E498="Bull",NORMINV(RAND(),Assumptions!$B$5,Assumptions!$B$6),NORMINV(RAND(),Assumptions!$B$8,Assumptions!$B$9))</f>
        <v>-0.120951051135497</v>
      </c>
      <c r="L498" s="8" t="n">
        <f aca="true">IF(F498="Bull",NORMINV(RAND(),Assumptions!$B$5,Assumptions!$B$6),NORMINV(RAND(),Assumptions!$B$8,Assumptions!$B$9))</f>
        <v>-0.38307203862288</v>
      </c>
      <c r="M498" s="8" t="n">
        <f aca="true">IF(G498="Bull",NORMINV(RAND(),Assumptions!$B$5,Assumptions!$B$6),NORMINV(RAND(),Assumptions!$B$8,Assumptions!$B$9))</f>
        <v>0.260878515917221</v>
      </c>
      <c r="N498" s="8" t="n">
        <f aca="true">NORMINV(RAND(),Assumptions!$B$14,Assumptions!$B$15)</f>
        <v>0.0831987302330015</v>
      </c>
      <c r="O498" s="8" t="n">
        <f aca="true">NORMINV(RAND(),Assumptions!$B$14,Assumptions!$B$15)</f>
        <v>0.0498163963703666</v>
      </c>
      <c r="P498" s="8" t="n">
        <f aca="true">NORMINV(RAND(),Assumptions!$B$14,Assumptions!$B$15)</f>
        <v>0.0461798934599288</v>
      </c>
      <c r="Q498" s="8" t="n">
        <f aca="true">NORMINV(RAND(),Assumptions!$B$14,Assumptions!$B$15)</f>
        <v>-0.00739443441339376</v>
      </c>
      <c r="R498" s="8" t="n">
        <f aca="true">NORMINV(RAND(),Assumptions!$B$14,Assumptions!$B$15)</f>
        <v>0.0847164944215549</v>
      </c>
      <c r="S498" s="8" t="n">
        <f aca="true">NORMINV(RAND(),Assumptions!$B$14,Assumptions!$B$15)</f>
        <v>0.0888820367275172</v>
      </c>
      <c r="T498" s="8" t="n">
        <f aca="false">Assumptions!$B$19*H498+(1-Assumptions!$B$19)*N498</f>
        <v>0.230217622750718</v>
      </c>
      <c r="U498" s="8" t="n">
        <f aca="false">Assumptions!$B$20*I498+(1-Assumptions!$B$20)*O498</f>
        <v>0.310422326745014</v>
      </c>
      <c r="V498" s="8" t="n">
        <f aca="false">Assumptions!$B$21*J498+(1-Assumptions!$B$21)*P498</f>
        <v>0.260018856580703</v>
      </c>
      <c r="W498" s="8" t="n">
        <f aca="false">Assumptions!$B$22*K498+(1-Assumptions!$B$22)*Q498</f>
        <v>-0.120951051135497</v>
      </c>
      <c r="X498" s="8" t="n">
        <f aca="false">Assumptions!$B$23*L498+(1-Assumptions!$B$23)*R498</f>
        <v>-0.289514332013993</v>
      </c>
      <c r="Y498" s="8" t="n">
        <f aca="false">Assumptions!$B$24*M498+(1-Assumptions!$B$24)*S498</f>
        <v>0.192079924241339</v>
      </c>
      <c r="Z498" s="6" t="n">
        <f aca="false">Assumptions!$B$27*(1+T498)</f>
        <v>369065.286825215</v>
      </c>
      <c r="AA498" s="6" t="n">
        <f aca="false">(Z498+Assumptions!$B$28)*(1+U498)</f>
        <v>680194.740894067</v>
      </c>
      <c r="AB498" s="6" t="n">
        <f aca="false">AA498*(1+V498)</f>
        <v>857058.19967355</v>
      </c>
      <c r="AC498" s="6" t="n">
        <f aca="false">AB498*(1+W498)</f>
        <v>753396.109538737</v>
      </c>
      <c r="AD498" s="6" t="n">
        <f aca="false">AC498*(1+X498)</f>
        <v>535277.138143689</v>
      </c>
      <c r="AE498" s="6" t="n">
        <f aca="false">AD498*(1+Y498)</f>
        <v>638093.130286449</v>
      </c>
      <c r="AF498" s="6" t="n">
        <f aca="false">Z498</f>
        <v>369065.286825215</v>
      </c>
      <c r="AG498" s="6" t="n">
        <f aca="false">MAX(AF498,AA498)</f>
        <v>680194.740894067</v>
      </c>
      <c r="AH498" s="6" t="n">
        <f aca="false">MAX(AG498,AB498)</f>
        <v>857058.19967355</v>
      </c>
      <c r="AI498" s="6" t="n">
        <f aca="false">MAX(AH498,AC498)</f>
        <v>857058.19967355</v>
      </c>
      <c r="AJ498" s="6" t="n">
        <f aca="false">MAX(AI498,AD498)</f>
        <v>857058.19967355</v>
      </c>
      <c r="AK498" s="6" t="n">
        <f aca="false">MAX(AJ498,AE498)</f>
        <v>857058.19967355</v>
      </c>
      <c r="AL498" s="8" t="n">
        <f aca="false">MIN(Z498/AF498-1,AA498/AG498-1,AB498/AH498-1,AC498/AI498-1,AD498/AJ498-1,AE498/AK498-1)</f>
        <v>-0.375448320373606</v>
      </c>
      <c r="AM498" s="6" t="n">
        <f aca="false">AE498-Assumptions!$B$35</f>
        <v>196829.133623946</v>
      </c>
    </row>
    <row r="499" customFormat="false" ht="15" hidden="false" customHeight="false" outlineLevel="0" collapsed="false">
      <c r="A499" s="0" t="n">
        <f aca="false">ROW()-1</f>
        <v>498</v>
      </c>
      <c r="B499" s="0" t="str">
        <f aca="true">IF(RAND()&lt;Assumptions!$B$11,"Bull","Bear")</f>
        <v>Bull</v>
      </c>
      <c r="C499" s="0" t="str">
        <f aca="true">IF(B499="Bull",IF(RAND()&lt;Assumptions!$B$7,"Bull","Bear"),IF(RAND()&lt;Assumptions!$B$10,"Bear","Bull"))</f>
        <v>Bull</v>
      </c>
      <c r="D499" s="0" t="str">
        <f aca="true">IF(C499="Bull",IF(RAND()&lt;Assumptions!$B$7,"Bull","Bear"),IF(RAND()&lt;Assumptions!$B$10,"Bear","Bull"))</f>
        <v>Bull</v>
      </c>
      <c r="E499" s="0" t="str">
        <f aca="true">IF(D499="Bull",IF(RAND()&lt;Assumptions!$B$7,"Bull","Bear"),IF(RAND()&lt;Assumptions!$B$10,"Bear","Bull"))</f>
        <v>Bear</v>
      </c>
      <c r="F499" s="0" t="str">
        <f aca="true">IF(E499="Bull",IF(RAND()&lt;Assumptions!$B$7,"Bull","Bear"),IF(RAND()&lt;Assumptions!$B$10,"Bear","Bull"))</f>
        <v>Bull</v>
      </c>
      <c r="G499" s="0" t="str">
        <f aca="true">IF(F499="Bull",IF(RAND()&lt;Assumptions!$B$7,"Bull","Bear"),IF(RAND()&lt;Assumptions!$B$10,"Bear","Bull"))</f>
        <v>Bull</v>
      </c>
      <c r="H499" s="8" t="n">
        <f aca="true">IF(B499="Bull",NORMINV(RAND(),Assumptions!$B$5,Assumptions!$B$6),NORMINV(RAND(),Assumptions!$B$8,Assumptions!$B$9))</f>
        <v>0.295244966487407</v>
      </c>
      <c r="I499" s="8" t="n">
        <f aca="true">IF(C499="Bull",NORMINV(RAND(),Assumptions!$B$5,Assumptions!$B$6),NORMINV(RAND(),Assumptions!$B$8,Assumptions!$B$9))</f>
        <v>0.106858661399978</v>
      </c>
      <c r="J499" s="8" t="n">
        <f aca="true">IF(D499="Bull",NORMINV(RAND(),Assumptions!$B$5,Assumptions!$B$6),NORMINV(RAND(),Assumptions!$B$8,Assumptions!$B$9))</f>
        <v>0.148016861539346</v>
      </c>
      <c r="K499" s="8" t="n">
        <f aca="true">IF(E499="Bull",NORMINV(RAND(),Assumptions!$B$5,Assumptions!$B$6),NORMINV(RAND(),Assumptions!$B$8,Assumptions!$B$9))</f>
        <v>-0.356459642057308</v>
      </c>
      <c r="L499" s="8" t="n">
        <f aca="true">IF(F499="Bull",NORMINV(RAND(),Assumptions!$B$5,Assumptions!$B$6),NORMINV(RAND(),Assumptions!$B$8,Assumptions!$B$9))</f>
        <v>0.319104433006812</v>
      </c>
      <c r="M499" s="8" t="n">
        <f aca="true">IF(G499="Bull",NORMINV(RAND(),Assumptions!$B$5,Assumptions!$B$6),NORMINV(RAND(),Assumptions!$B$8,Assumptions!$B$9))</f>
        <v>0.276255883476813</v>
      </c>
      <c r="N499" s="8" t="n">
        <f aca="true">NORMINV(RAND(),Assumptions!$B$14,Assumptions!$B$15)</f>
        <v>0.013237079652729</v>
      </c>
      <c r="O499" s="8" t="n">
        <f aca="true">NORMINV(RAND(),Assumptions!$B$14,Assumptions!$B$15)</f>
        <v>-0.0160519932958453</v>
      </c>
      <c r="P499" s="8" t="n">
        <f aca="true">NORMINV(RAND(),Assumptions!$B$14,Assumptions!$B$15)</f>
        <v>0.0347020498129458</v>
      </c>
      <c r="Q499" s="8" t="n">
        <f aca="true">NORMINV(RAND(),Assumptions!$B$14,Assumptions!$B$15)</f>
        <v>0.103449781247255</v>
      </c>
      <c r="R499" s="8" t="n">
        <f aca="true">NORMINV(RAND(),Assumptions!$B$14,Assumptions!$B$15)</f>
        <v>0.016513547637989</v>
      </c>
      <c r="S499" s="8" t="n">
        <f aca="true">NORMINV(RAND(),Assumptions!$B$14,Assumptions!$B$15)</f>
        <v>0.0629931106061447</v>
      </c>
      <c r="T499" s="8" t="n">
        <f aca="false">Assumptions!$B$19*H499+(1-Assumptions!$B$19)*N499</f>
        <v>0.295244966487407</v>
      </c>
      <c r="U499" s="8" t="n">
        <f aca="false">Assumptions!$B$20*I499+(1-Assumptions!$B$20)*O499</f>
        <v>0.106858661399978</v>
      </c>
      <c r="V499" s="8" t="n">
        <f aca="false">Assumptions!$B$21*J499+(1-Assumptions!$B$21)*P499</f>
        <v>0.148016861539346</v>
      </c>
      <c r="W499" s="8" t="n">
        <f aca="false">Assumptions!$B$22*K499+(1-Assumptions!$B$22)*Q499</f>
        <v>-0.356459642057308</v>
      </c>
      <c r="X499" s="8" t="n">
        <f aca="false">Assumptions!$B$23*L499+(1-Assumptions!$B$23)*R499</f>
        <v>0.258586255933047</v>
      </c>
      <c r="Y499" s="8" t="n">
        <f aca="false">Assumptions!$B$24*M499+(1-Assumptions!$B$24)*S499</f>
        <v>0.190950774328546</v>
      </c>
      <c r="Z499" s="6" t="n">
        <f aca="false">Assumptions!$B$27*(1+T499)</f>
        <v>388573.489946222</v>
      </c>
      <c r="AA499" s="6" t="n">
        <f aca="false">(Z499+Assumptions!$B$28)*(1+U499)</f>
        <v>596124.73214739</v>
      </c>
      <c r="AB499" s="6" t="n">
        <f aca="false">AA499*(1+V499)</f>
        <v>684361.24408583</v>
      </c>
      <c r="AC499" s="6" t="n">
        <f aca="false">AB499*(1+W499)</f>
        <v>440414.079981101</v>
      </c>
      <c r="AD499" s="6" t="n">
        <f aca="false">AC499*(1+X499)</f>
        <v>554299.107983612</v>
      </c>
      <c r="AE499" s="6" t="n">
        <f aca="false">AD499*(1+Y499)</f>
        <v>660142.951862705</v>
      </c>
      <c r="AF499" s="6" t="n">
        <f aca="false">Z499</f>
        <v>388573.489946222</v>
      </c>
      <c r="AG499" s="6" t="n">
        <f aca="false">MAX(AF499,AA499)</f>
        <v>596124.73214739</v>
      </c>
      <c r="AH499" s="6" t="n">
        <f aca="false">MAX(AG499,AB499)</f>
        <v>684361.24408583</v>
      </c>
      <c r="AI499" s="6" t="n">
        <f aca="false">MAX(AH499,AC499)</f>
        <v>684361.24408583</v>
      </c>
      <c r="AJ499" s="6" t="n">
        <f aca="false">MAX(AI499,AD499)</f>
        <v>684361.24408583</v>
      </c>
      <c r="AK499" s="6" t="n">
        <f aca="false">MAX(AJ499,AE499)</f>
        <v>684361.24408583</v>
      </c>
      <c r="AL499" s="8" t="n">
        <f aca="false">MIN(Z499/AF499-1,AA499/AG499-1,AB499/AH499-1,AC499/AI499-1,AD499/AJ499-1,AE499/AK499-1)</f>
        <v>-0.356459642057308</v>
      </c>
      <c r="AM499" s="6" t="n">
        <f aca="false">AE499-Assumptions!$B$35</f>
        <v>218878.955200201</v>
      </c>
    </row>
    <row r="500" customFormat="false" ht="15" hidden="false" customHeight="false" outlineLevel="0" collapsed="false">
      <c r="A500" s="0" t="n">
        <f aca="false">ROW()-1</f>
        <v>499</v>
      </c>
      <c r="B500" s="0" t="str">
        <f aca="true">IF(RAND()&lt;Assumptions!$B$11,"Bull","Bear")</f>
        <v>Bull</v>
      </c>
      <c r="C500" s="0" t="str">
        <f aca="true">IF(B500="Bull",IF(RAND()&lt;Assumptions!$B$7,"Bull","Bear"),IF(RAND()&lt;Assumptions!$B$10,"Bear","Bull"))</f>
        <v>Bull</v>
      </c>
      <c r="D500" s="0" t="str">
        <f aca="true">IF(C500="Bull",IF(RAND()&lt;Assumptions!$B$7,"Bull","Bear"),IF(RAND()&lt;Assumptions!$B$10,"Bear","Bull"))</f>
        <v>Bull</v>
      </c>
      <c r="E500" s="0" t="str">
        <f aca="true">IF(D500="Bull",IF(RAND()&lt;Assumptions!$B$7,"Bull","Bear"),IF(RAND()&lt;Assumptions!$B$10,"Bear","Bull"))</f>
        <v>Bull</v>
      </c>
      <c r="F500" s="0" t="str">
        <f aca="true">IF(E500="Bull",IF(RAND()&lt;Assumptions!$B$7,"Bull","Bear"),IF(RAND()&lt;Assumptions!$B$10,"Bear","Bull"))</f>
        <v>Bull</v>
      </c>
      <c r="G500" s="0" t="str">
        <f aca="true">IF(F500="Bull",IF(RAND()&lt;Assumptions!$B$7,"Bull","Bear"),IF(RAND()&lt;Assumptions!$B$10,"Bear","Bull"))</f>
        <v>Bear</v>
      </c>
      <c r="H500" s="8" t="n">
        <f aca="true">IF(B500="Bull",NORMINV(RAND(),Assumptions!$B$5,Assumptions!$B$6),NORMINV(RAND(),Assumptions!$B$8,Assumptions!$B$9))</f>
        <v>0.355802655377609</v>
      </c>
      <c r="I500" s="8" t="n">
        <f aca="true">IF(C500="Bull",NORMINV(RAND(),Assumptions!$B$5,Assumptions!$B$6),NORMINV(RAND(),Assumptions!$B$8,Assumptions!$B$9))</f>
        <v>0.136839046161993</v>
      </c>
      <c r="J500" s="8" t="n">
        <f aca="true">IF(D500="Bull",NORMINV(RAND(),Assumptions!$B$5,Assumptions!$B$6),NORMINV(RAND(),Assumptions!$B$8,Assumptions!$B$9))</f>
        <v>0.275013530707009</v>
      </c>
      <c r="K500" s="8" t="n">
        <f aca="true">IF(E500="Bull",NORMINV(RAND(),Assumptions!$B$5,Assumptions!$B$6),NORMINV(RAND(),Assumptions!$B$8,Assumptions!$B$9))</f>
        <v>0.118207739876192</v>
      </c>
      <c r="L500" s="8" t="n">
        <f aca="true">IF(F500="Bull",NORMINV(RAND(),Assumptions!$B$5,Assumptions!$B$6),NORMINV(RAND(),Assumptions!$B$8,Assumptions!$B$9))</f>
        <v>0.105766643164347</v>
      </c>
      <c r="M500" s="8" t="n">
        <f aca="true">IF(G500="Bull",NORMINV(RAND(),Assumptions!$B$5,Assumptions!$B$6),NORMINV(RAND(),Assumptions!$B$8,Assumptions!$B$9))</f>
        <v>-0.0298817464768788</v>
      </c>
      <c r="N500" s="8" t="n">
        <f aca="true">NORMINV(RAND(),Assumptions!$B$14,Assumptions!$B$15)</f>
        <v>0.0543809445975844</v>
      </c>
      <c r="O500" s="8" t="n">
        <f aca="true">NORMINV(RAND(),Assumptions!$B$14,Assumptions!$B$15)</f>
        <v>0.0276884604395353</v>
      </c>
      <c r="P500" s="8" t="n">
        <f aca="true">NORMINV(RAND(),Assumptions!$B$14,Assumptions!$B$15)</f>
        <v>0.0440919111539342</v>
      </c>
      <c r="Q500" s="8" t="n">
        <f aca="true">NORMINV(RAND(),Assumptions!$B$14,Assumptions!$B$15)</f>
        <v>0.0356907292389438</v>
      </c>
      <c r="R500" s="8" t="n">
        <f aca="true">NORMINV(RAND(),Assumptions!$B$14,Assumptions!$B$15)</f>
        <v>0.0220609686943927</v>
      </c>
      <c r="S500" s="8" t="n">
        <f aca="true">NORMINV(RAND(),Assumptions!$B$14,Assumptions!$B$15)</f>
        <v>0.00143853471374179</v>
      </c>
      <c r="T500" s="8" t="n">
        <f aca="false">Assumptions!$B$19*H500+(1-Assumptions!$B$19)*N500</f>
        <v>0.355802655377609</v>
      </c>
      <c r="U500" s="8" t="n">
        <f aca="false">Assumptions!$B$20*I500+(1-Assumptions!$B$20)*O500</f>
        <v>0.136839046161993</v>
      </c>
      <c r="V500" s="8" t="n">
        <f aca="false">Assumptions!$B$21*J500+(1-Assumptions!$B$21)*P500</f>
        <v>0.275013530707009</v>
      </c>
      <c r="W500" s="8" t="n">
        <f aca="false">Assumptions!$B$22*K500+(1-Assumptions!$B$22)*Q500</f>
        <v>0.118207739876192</v>
      </c>
      <c r="X500" s="8" t="n">
        <f aca="false">Assumptions!$B$23*L500+(1-Assumptions!$B$23)*R500</f>
        <v>0.089025508270356</v>
      </c>
      <c r="Y500" s="8" t="n">
        <f aca="false">Assumptions!$B$24*M500+(1-Assumptions!$B$24)*S500</f>
        <v>-0.0173536340006305</v>
      </c>
      <c r="Z500" s="6" t="n">
        <f aca="false">Assumptions!$B$27*(1+T500)</f>
        <v>406740.796613283</v>
      </c>
      <c r="AA500" s="6" t="n">
        <f aca="false">(Z500+Assumptions!$B$28)*(1+U500)</f>
        <v>632924.676181313</v>
      </c>
      <c r="AB500" s="6" t="n">
        <f aca="false">AA500*(1+V500)</f>
        <v>806987.526049526</v>
      </c>
      <c r="AC500" s="6" t="n">
        <f aca="false">AB500*(1+W500)</f>
        <v>902379.69761212</v>
      </c>
      <c r="AD500" s="6" t="n">
        <f aca="false">AC500*(1+X500)</f>
        <v>982714.508844889</v>
      </c>
      <c r="AE500" s="6" t="n">
        <f aca="false">AD500*(1+Y500)</f>
        <v>965660.840931285</v>
      </c>
      <c r="AF500" s="6" t="n">
        <f aca="false">Z500</f>
        <v>406740.796613283</v>
      </c>
      <c r="AG500" s="6" t="n">
        <f aca="false">MAX(AF500,AA500)</f>
        <v>632924.676181313</v>
      </c>
      <c r="AH500" s="6" t="n">
        <f aca="false">MAX(AG500,AB500)</f>
        <v>806987.526049526</v>
      </c>
      <c r="AI500" s="6" t="n">
        <f aca="false">MAX(AH500,AC500)</f>
        <v>902379.69761212</v>
      </c>
      <c r="AJ500" s="6" t="n">
        <f aca="false">MAX(AI500,AD500)</f>
        <v>982714.508844889</v>
      </c>
      <c r="AK500" s="6" t="n">
        <f aca="false">MAX(AJ500,AE500)</f>
        <v>982714.508844889</v>
      </c>
      <c r="AL500" s="8" t="n">
        <f aca="false">MIN(Z500/AF500-1,AA500/AG500-1,AB500/AH500-1,AC500/AI500-1,AD500/AJ500-1,AE500/AK500-1)</f>
        <v>-0.0173536340006305</v>
      </c>
      <c r="AM500" s="6" t="n">
        <f aca="false">AE500-Assumptions!$B$35</f>
        <v>524396.844268782</v>
      </c>
    </row>
    <row r="501" customFormat="false" ht="15" hidden="false" customHeight="false" outlineLevel="0" collapsed="false">
      <c r="A501" s="0" t="n">
        <f aca="false">ROW()-1</f>
        <v>500</v>
      </c>
      <c r="B501" s="0" t="str">
        <f aca="true">IF(RAND()&lt;Assumptions!$B$11,"Bull","Bear")</f>
        <v>Bull</v>
      </c>
      <c r="C501" s="0" t="str">
        <f aca="true">IF(B501="Bull",IF(RAND()&lt;Assumptions!$B$7,"Bull","Bear"),IF(RAND()&lt;Assumptions!$B$10,"Bear","Bull"))</f>
        <v>Bear</v>
      </c>
      <c r="D501" s="0" t="str">
        <f aca="true">IF(C501="Bull",IF(RAND()&lt;Assumptions!$B$7,"Bull","Bear"),IF(RAND()&lt;Assumptions!$B$10,"Bear","Bull"))</f>
        <v>Bull</v>
      </c>
      <c r="E501" s="0" t="str">
        <f aca="true">IF(D501="Bull",IF(RAND()&lt;Assumptions!$B$7,"Bull","Bear"),IF(RAND()&lt;Assumptions!$B$10,"Bear","Bull"))</f>
        <v>Bear</v>
      </c>
      <c r="F501" s="0" t="str">
        <f aca="true">IF(E501="Bull",IF(RAND()&lt;Assumptions!$B$7,"Bull","Bear"),IF(RAND()&lt;Assumptions!$B$10,"Bear","Bull"))</f>
        <v>Bull</v>
      </c>
      <c r="G501" s="0" t="str">
        <f aca="true">IF(F501="Bull",IF(RAND()&lt;Assumptions!$B$7,"Bull","Bear"),IF(RAND()&lt;Assumptions!$B$10,"Bear","Bull"))</f>
        <v>Bull</v>
      </c>
      <c r="H501" s="8" t="n">
        <f aca="true">IF(B501="Bull",NORMINV(RAND(),Assumptions!$B$5,Assumptions!$B$6),NORMINV(RAND(),Assumptions!$B$8,Assumptions!$B$9))</f>
        <v>0.105708076768299</v>
      </c>
      <c r="I501" s="8" t="n">
        <f aca="true">IF(C501="Bull",NORMINV(RAND(),Assumptions!$B$5,Assumptions!$B$6),NORMINV(RAND(),Assumptions!$B$8,Assumptions!$B$9))</f>
        <v>-0.146301858594286</v>
      </c>
      <c r="J501" s="8" t="n">
        <f aca="true">IF(D501="Bull",NORMINV(RAND(),Assumptions!$B$5,Assumptions!$B$6),NORMINV(RAND(),Assumptions!$B$8,Assumptions!$B$9))</f>
        <v>0.295325908659902</v>
      </c>
      <c r="K501" s="8" t="n">
        <f aca="true">IF(E501="Bull",NORMINV(RAND(),Assumptions!$B$5,Assumptions!$B$6),NORMINV(RAND(),Assumptions!$B$8,Assumptions!$B$9))</f>
        <v>-0.0164320331011018</v>
      </c>
      <c r="L501" s="8" t="n">
        <f aca="true">IF(F501="Bull",NORMINV(RAND(),Assumptions!$B$5,Assumptions!$B$6),NORMINV(RAND(),Assumptions!$B$8,Assumptions!$B$9))</f>
        <v>0.146472435543814</v>
      </c>
      <c r="M501" s="8" t="n">
        <f aca="true">IF(G501="Bull",NORMINV(RAND(),Assumptions!$B$5,Assumptions!$B$6),NORMINV(RAND(),Assumptions!$B$8,Assumptions!$B$9))</f>
        <v>0.235745129433133</v>
      </c>
      <c r="N501" s="8" t="n">
        <f aca="true">NORMINV(RAND(),Assumptions!$B$14,Assumptions!$B$15)</f>
        <v>0.0430500139715298</v>
      </c>
      <c r="O501" s="8" t="n">
        <f aca="true">NORMINV(RAND(),Assumptions!$B$14,Assumptions!$B$15)</f>
        <v>0.025761224610813</v>
      </c>
      <c r="P501" s="8" t="n">
        <f aca="true">NORMINV(RAND(),Assumptions!$B$14,Assumptions!$B$15)</f>
        <v>0.0508980514194318</v>
      </c>
      <c r="Q501" s="8" t="n">
        <f aca="true">NORMINV(RAND(),Assumptions!$B$14,Assumptions!$B$15)</f>
        <v>0.06933521410406</v>
      </c>
      <c r="R501" s="8" t="n">
        <f aca="true">NORMINV(RAND(),Assumptions!$B$14,Assumptions!$B$15)</f>
        <v>0.0705646395311827</v>
      </c>
      <c r="S501" s="8" t="n">
        <f aca="true">NORMINV(RAND(),Assumptions!$B$14,Assumptions!$B$15)</f>
        <v>0.102452320920282</v>
      </c>
      <c r="T501" s="8" t="n">
        <f aca="false">Assumptions!$B$19*H501+(1-Assumptions!$B$19)*N501</f>
        <v>0.105708076768299</v>
      </c>
      <c r="U501" s="8" t="n">
        <f aca="false">Assumptions!$B$20*I501+(1-Assumptions!$B$20)*O501</f>
        <v>-0.146301858594286</v>
      </c>
      <c r="V501" s="8" t="n">
        <f aca="false">Assumptions!$B$21*J501+(1-Assumptions!$B$21)*P501</f>
        <v>0.295325908659902</v>
      </c>
      <c r="W501" s="8" t="n">
        <f aca="false">Assumptions!$B$22*K501+(1-Assumptions!$B$22)*Q501</f>
        <v>-0.0164320331011018</v>
      </c>
      <c r="X501" s="8" t="n">
        <f aca="false">Assumptions!$B$23*L501+(1-Assumptions!$B$23)*R501</f>
        <v>0.131290876341288</v>
      </c>
      <c r="Y501" s="8" t="n">
        <f aca="false">Assumptions!$B$24*M501+(1-Assumptions!$B$24)*S501</f>
        <v>0.182428006027992</v>
      </c>
      <c r="Z501" s="6" t="n">
        <f aca="false">Assumptions!$B$27*(1+T501)</f>
        <v>331712.42303049</v>
      </c>
      <c r="AA501" s="6" t="n">
        <f aca="false">(Z501+Assumptions!$B$28)*(1+U501)</f>
        <v>411237.000233172</v>
      </c>
      <c r="AB501" s="6" t="n">
        <f aca="false">AA501*(1+V501)</f>
        <v>532685.941001606</v>
      </c>
      <c r="AC501" s="6" t="n">
        <f aca="false">AB501*(1+W501)</f>
        <v>523932.827986576</v>
      </c>
      <c r="AD501" s="6" t="n">
        <f aca="false">AC501*(1+X501)</f>
        <v>592720.428116903</v>
      </c>
      <c r="AE501" s="6" t="n">
        <f aca="false">AD501*(1+Y501)</f>
        <v>700849.233950327</v>
      </c>
      <c r="AF501" s="6" t="n">
        <f aca="false">Z501</f>
        <v>331712.42303049</v>
      </c>
      <c r="AG501" s="6" t="n">
        <f aca="false">MAX(AF501,AA501)</f>
        <v>411237.000233172</v>
      </c>
      <c r="AH501" s="6" t="n">
        <f aca="false">MAX(AG501,AB501)</f>
        <v>532685.941001606</v>
      </c>
      <c r="AI501" s="6" t="n">
        <f aca="false">MAX(AH501,AC501)</f>
        <v>532685.941001606</v>
      </c>
      <c r="AJ501" s="6" t="n">
        <f aca="false">MAX(AI501,AD501)</f>
        <v>592720.428116903</v>
      </c>
      <c r="AK501" s="6" t="n">
        <f aca="false">MAX(AJ501,AE501)</f>
        <v>700849.233950327</v>
      </c>
      <c r="AL501" s="8" t="n">
        <f aca="false">MIN(Z501/AF501-1,AA501/AG501-1,AB501/AH501-1,AC501/AI501-1,AD501/AJ501-1,AE501/AK501-1)</f>
        <v>-0.0164320331011018</v>
      </c>
      <c r="AM501" s="6" t="n">
        <f aca="false">AE501-Assumptions!$B$35</f>
        <v>259585.237287824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4" min="2" style="0" width="13"/>
  </cols>
  <sheetData>
    <row r="1" customFormat="false" ht="31.5" hidden="false" customHeight="true" outlineLevel="0" collapsed="false">
      <c r="A1" s="18" t="s">
        <v>90</v>
      </c>
      <c r="B1" s="18" t="s">
        <v>128</v>
      </c>
      <c r="C1" s="18" t="s">
        <v>129</v>
      </c>
      <c r="D1" s="18" t="s">
        <v>130</v>
      </c>
      <c r="E1" s="18" t="s">
        <v>131</v>
      </c>
      <c r="F1" s="18" t="s">
        <v>132</v>
      </c>
      <c r="G1" s="18" t="s">
        <v>133</v>
      </c>
      <c r="H1" s="18" t="s">
        <v>134</v>
      </c>
      <c r="I1" s="18" t="s">
        <v>135</v>
      </c>
      <c r="J1" s="18" t="s">
        <v>136</v>
      </c>
      <c r="K1" s="18" t="s">
        <v>137</v>
      </c>
      <c r="L1" s="18" t="s">
        <v>138</v>
      </c>
      <c r="M1" s="18" t="s">
        <v>139</v>
      </c>
      <c r="N1" s="18" t="s">
        <v>140</v>
      </c>
      <c r="O1" s="18" t="s">
        <v>141</v>
      </c>
      <c r="P1" s="18" t="s">
        <v>142</v>
      </c>
      <c r="Q1" s="18" t="s">
        <v>143</v>
      </c>
      <c r="R1" s="18" t="s">
        <v>144</v>
      </c>
      <c r="S1" s="18" t="s">
        <v>145</v>
      </c>
      <c r="T1" s="18" t="s">
        <v>146</v>
      </c>
      <c r="U1" s="18" t="s">
        <v>147</v>
      </c>
      <c r="V1" s="18" t="s">
        <v>148</v>
      </c>
      <c r="W1" s="18" t="s">
        <v>149</v>
      </c>
      <c r="X1" s="18" t="s">
        <v>150</v>
      </c>
      <c r="Y1" s="18" t="s">
        <v>151</v>
      </c>
      <c r="Z1" s="18" t="s">
        <v>152</v>
      </c>
      <c r="AA1" s="18" t="s">
        <v>153</v>
      </c>
      <c r="AB1" s="18" t="s">
        <v>154</v>
      </c>
      <c r="AC1" s="18" t="s">
        <v>155</v>
      </c>
      <c r="AD1" s="18" t="s">
        <v>156</v>
      </c>
      <c r="AE1" s="18" t="s">
        <v>157</v>
      </c>
      <c r="AF1" s="18" t="s">
        <v>158</v>
      </c>
      <c r="AG1" s="18" t="s">
        <v>159</v>
      </c>
      <c r="AH1" s="18" t="s">
        <v>160</v>
      </c>
    </row>
    <row r="2" customFormat="false" ht="15" hidden="false" customHeight="false" outlineLevel="0" collapsed="false">
      <c r="A2" s="0" t="n">
        <f aca="false">ROW()-1</f>
        <v>1</v>
      </c>
      <c r="B2" s="6" t="n">
        <f aca="false">Assumptions!$B$35</f>
        <v>441263.996662504</v>
      </c>
      <c r="C2" s="8" t="n">
        <f aca="true">NORMINV(RAND(),Assumptions!$B$14,Assumptions!$B$15)</f>
        <v>0.0512526728922547</v>
      </c>
      <c r="D2" s="8" t="n">
        <f aca="true">NORMINV(RAND(),Assumptions!$B$14,Assumptions!$B$15)</f>
        <v>0.0414349576159672</v>
      </c>
      <c r="E2" s="8" t="n">
        <f aca="true">NORMINV(RAND(),Assumptions!$B$14,Assumptions!$B$15)</f>
        <v>0.0576513257324115</v>
      </c>
      <c r="F2" s="8" t="n">
        <f aca="true">NORMINV(RAND(),Assumptions!$B$14,Assumptions!$B$15)</f>
        <v>0.0812005048873388</v>
      </c>
      <c r="G2" s="8" t="n">
        <f aca="true">NORMINV(RAND(),Assumptions!$B$14,Assumptions!$B$15)</f>
        <v>0.0300395755037205</v>
      </c>
      <c r="H2" s="8" t="n">
        <f aca="true">NORMINV(RAND(),Assumptions!$B$14,Assumptions!$B$15)</f>
        <v>-0.00583876799305808</v>
      </c>
      <c r="I2" s="8" t="n">
        <f aca="true">NORMINV(RAND(),Assumptions!$B$14,Assumptions!$B$15)</f>
        <v>0.0922787627587424</v>
      </c>
      <c r="J2" s="8" t="n">
        <f aca="true">NORMINV(RAND(),Assumptions!$B$14,Assumptions!$B$15)</f>
        <v>-0.0017086626119048</v>
      </c>
      <c r="K2" s="8" t="n">
        <f aca="true">NORMINV(RAND(),Assumptions!$B$14,Assumptions!$B$15)</f>
        <v>0.0608144484211677</v>
      </c>
      <c r="L2" s="8" t="n">
        <f aca="true">NORMINV(RAND(),Assumptions!$B$14,Assumptions!$B$15)</f>
        <v>0.0672973504776058</v>
      </c>
      <c r="M2" s="6" t="n">
        <f aca="false">B2-Assumptions!$B$29</f>
        <v>391263.996662504</v>
      </c>
      <c r="N2" s="6" t="n">
        <f aca="false">W2-Assumptions!$B$29</f>
        <v>361317.322297963</v>
      </c>
      <c r="O2" s="6" t="n">
        <f aca="false">X2-Assumptions!$B$29</f>
        <v>326288.490233294</v>
      </c>
      <c r="P2" s="6" t="n">
        <f aca="false">Y2-Assumptions!$B$29</f>
        <v>295099.45426647</v>
      </c>
      <c r="Q2" s="6" t="n">
        <f aca="false">Z2-Assumptions!$B$29</f>
        <v>269061.678944886</v>
      </c>
      <c r="R2" s="6" t="n">
        <f aca="false">AA2-Assumptions!$B$29</f>
        <v>227144.177564709</v>
      </c>
      <c r="S2" s="6" t="n">
        <f aca="false">AB2-Assumptions!$B$29</f>
        <v>175817.935410934</v>
      </c>
      <c r="T2" s="6" t="n">
        <f aca="false">AC2-Assumptions!$B$29</f>
        <v>142042.196961452</v>
      </c>
      <c r="U2" s="6" t="n">
        <f aca="false">AD2-Assumptions!$B$29</f>
        <v>91799.4947701908</v>
      </c>
      <c r="V2" s="6" t="n">
        <f aca="false">AE2-Assumptions!$B$29</f>
        <v>47382.2304099818</v>
      </c>
      <c r="W2" s="6" t="n">
        <f aca="false">M2*(1+C2)</f>
        <v>411317.322297963</v>
      </c>
      <c r="X2" s="6" t="n">
        <f aca="false">N2*(1+D2)</f>
        <v>376288.490233294</v>
      </c>
      <c r="Y2" s="6" t="n">
        <f aca="false">O2*(1+E2)</f>
        <v>345099.45426647</v>
      </c>
      <c r="Z2" s="6" t="n">
        <f aca="false">P2*(1+F2)</f>
        <v>319061.678944886</v>
      </c>
      <c r="AA2" s="6" t="n">
        <f aca="false">Q2*(1+G2)</f>
        <v>277144.177564709</v>
      </c>
      <c r="AB2" s="6" t="n">
        <f aca="false">R2*(1+H2)</f>
        <v>225817.935410934</v>
      </c>
      <c r="AC2" s="6" t="n">
        <f aca="false">S2*(1+I2)</f>
        <v>192042.196961452</v>
      </c>
      <c r="AD2" s="6" t="n">
        <f aca="false">T2*(1+J2)</f>
        <v>141799.494770191</v>
      </c>
      <c r="AE2" s="6" t="n">
        <f aca="false">U2*(1+K2)</f>
        <v>97382.2304099818</v>
      </c>
      <c r="AF2" s="6" t="n">
        <f aca="false">V2*(1+L2)</f>
        <v>50570.9289762931</v>
      </c>
      <c r="AG2" s="6" t="n">
        <f aca="false">MIN(M2:V2)</f>
        <v>47382.2304099818</v>
      </c>
      <c r="AH2" s="19" t="n">
        <f aca="false">IF(AG2&gt;=0,1,0)</f>
        <v>1</v>
      </c>
    </row>
    <row r="3" customFormat="false" ht="15" hidden="false" customHeight="false" outlineLevel="0" collapsed="false">
      <c r="A3" s="0" t="n">
        <f aca="false">ROW()-1</f>
        <v>2</v>
      </c>
      <c r="B3" s="6" t="n">
        <f aca="false">Assumptions!$B$35</f>
        <v>441263.996662504</v>
      </c>
      <c r="C3" s="8" t="n">
        <f aca="true">NORMINV(RAND(),Assumptions!$B$14,Assumptions!$B$15)</f>
        <v>0.0158580510596835</v>
      </c>
      <c r="D3" s="8" t="n">
        <f aca="true">NORMINV(RAND(),Assumptions!$B$14,Assumptions!$B$15)</f>
        <v>0.0160937187184175</v>
      </c>
      <c r="E3" s="8" t="n">
        <f aca="true">NORMINV(RAND(),Assumptions!$B$14,Assumptions!$B$15)</f>
        <v>0.0509961734397252</v>
      </c>
      <c r="F3" s="8" t="n">
        <f aca="true">NORMINV(RAND(),Assumptions!$B$14,Assumptions!$B$15)</f>
        <v>0.0755017022080353</v>
      </c>
      <c r="G3" s="8" t="n">
        <f aca="true">NORMINV(RAND(),Assumptions!$B$14,Assumptions!$B$15)</f>
        <v>0.0545372179669529</v>
      </c>
      <c r="H3" s="8" t="n">
        <f aca="true">NORMINV(RAND(),Assumptions!$B$14,Assumptions!$B$15)</f>
        <v>0.0879698156036342</v>
      </c>
      <c r="I3" s="8" t="n">
        <f aca="true">NORMINV(RAND(),Assumptions!$B$14,Assumptions!$B$15)</f>
        <v>0.0424725471925667</v>
      </c>
      <c r="J3" s="8" t="n">
        <f aca="true">NORMINV(RAND(),Assumptions!$B$14,Assumptions!$B$15)</f>
        <v>0.046744366182062</v>
      </c>
      <c r="K3" s="8" t="n">
        <f aca="true">NORMINV(RAND(),Assumptions!$B$14,Assumptions!$B$15)</f>
        <v>0.0300547539268807</v>
      </c>
      <c r="L3" s="8" t="n">
        <f aca="true">NORMINV(RAND(),Assumptions!$B$14,Assumptions!$B$15)</f>
        <v>0.060817462758333</v>
      </c>
      <c r="M3" s="6" t="n">
        <f aca="false">B3-Assumptions!$B$29</f>
        <v>391263.996662504</v>
      </c>
      <c r="N3" s="6" t="n">
        <f aca="false">W3-Assumptions!$B$29</f>
        <v>347468.681099393</v>
      </c>
      <c r="O3" s="6" t="n">
        <f aca="false">X3-Assumptions!$B$29</f>
        <v>303060.744316467</v>
      </c>
      <c r="P3" s="6" t="n">
        <f aca="false">Y3-Assumptions!$B$29</f>
        <v>268515.682596401</v>
      </c>
      <c r="Q3" s="6" t="n">
        <f aca="false">Z3-Assumptions!$B$29</f>
        <v>238789.073701982</v>
      </c>
      <c r="R3" s="6" t="n">
        <f aca="false">AA3-Assumptions!$B$29</f>
        <v>201811.965462594</v>
      </c>
      <c r="S3" s="6" t="n">
        <f aca="false">AB3-Assumptions!$B$29</f>
        <v>169565.326850945</v>
      </c>
      <c r="T3" s="6" t="n">
        <f aca="false">AC3-Assumptions!$B$29</f>
        <v>126767.198197845</v>
      </c>
      <c r="U3" s="6" t="n">
        <f aca="false">AD3-Assumptions!$B$29</f>
        <v>82692.8505302791</v>
      </c>
      <c r="V3" s="6" t="n">
        <f aca="false">AE3-Assumptions!$B$29</f>
        <v>35178.163804479</v>
      </c>
      <c r="W3" s="6" t="n">
        <f aca="false">M3*(1+C3)</f>
        <v>397468.681099393</v>
      </c>
      <c r="X3" s="6" t="n">
        <f aca="false">N3*(1+D3)</f>
        <v>353060.744316467</v>
      </c>
      <c r="Y3" s="6" t="n">
        <f aca="false">O3*(1+E3)</f>
        <v>318515.682596401</v>
      </c>
      <c r="Z3" s="6" t="n">
        <f aca="false">P3*(1+F3)</f>
        <v>288789.073701982</v>
      </c>
      <c r="AA3" s="6" t="n">
        <f aca="false">Q3*(1+G3)</f>
        <v>251811.965462594</v>
      </c>
      <c r="AB3" s="6" t="n">
        <f aca="false">R3*(1+H3)</f>
        <v>219565.326850945</v>
      </c>
      <c r="AC3" s="6" t="n">
        <f aca="false">S3*(1+I3)</f>
        <v>176767.198197845</v>
      </c>
      <c r="AD3" s="6" t="n">
        <f aca="false">T3*(1+J3)</f>
        <v>132692.850530279</v>
      </c>
      <c r="AE3" s="6" t="n">
        <f aca="false">U3*(1+K3)</f>
        <v>85178.163804479</v>
      </c>
      <c r="AF3" s="6" t="n">
        <f aca="false">V3*(1+L3)</f>
        <v>37317.6104715645</v>
      </c>
      <c r="AG3" s="6" t="n">
        <f aca="false">MIN(M3:V3)</f>
        <v>35178.163804479</v>
      </c>
      <c r="AH3" s="19" t="n">
        <f aca="false">IF(AG3&gt;=0,1,0)</f>
        <v>1</v>
      </c>
    </row>
    <row r="4" customFormat="false" ht="15" hidden="false" customHeight="false" outlineLevel="0" collapsed="false">
      <c r="A4" s="0" t="n">
        <f aca="false">ROW()-1</f>
        <v>3</v>
      </c>
      <c r="B4" s="6" t="n">
        <f aca="false">Assumptions!$B$35</f>
        <v>441263.996662504</v>
      </c>
      <c r="C4" s="8" t="n">
        <f aca="true">NORMINV(RAND(),Assumptions!$B$14,Assumptions!$B$15)</f>
        <v>0.046456890347447</v>
      </c>
      <c r="D4" s="8" t="n">
        <f aca="true">NORMINV(RAND(),Assumptions!$B$14,Assumptions!$B$15)</f>
        <v>0.0684066640031009</v>
      </c>
      <c r="E4" s="8" t="n">
        <f aca="true">NORMINV(RAND(),Assumptions!$B$14,Assumptions!$B$15)</f>
        <v>0.0494173569418416</v>
      </c>
      <c r="F4" s="8" t="n">
        <f aca="true">NORMINV(RAND(),Assumptions!$B$14,Assumptions!$B$15)</f>
        <v>0.071584876959837</v>
      </c>
      <c r="G4" s="8" t="n">
        <f aca="true">NORMINV(RAND(),Assumptions!$B$14,Assumptions!$B$15)</f>
        <v>0.0489165888252301</v>
      </c>
      <c r="H4" s="8" t="n">
        <f aca="true">NORMINV(RAND(),Assumptions!$B$14,Assumptions!$B$15)</f>
        <v>0.0634622542943602</v>
      </c>
      <c r="I4" s="8" t="n">
        <f aca="true">NORMINV(RAND(),Assumptions!$B$14,Assumptions!$B$15)</f>
        <v>0.0929846413159573</v>
      </c>
      <c r="J4" s="8" t="n">
        <f aca="true">NORMINV(RAND(),Assumptions!$B$14,Assumptions!$B$15)</f>
        <v>0.0070857867992819</v>
      </c>
      <c r="K4" s="8" t="n">
        <f aca="true">NORMINV(RAND(),Assumptions!$B$14,Assumptions!$B$15)</f>
        <v>0.0901939933329635</v>
      </c>
      <c r="L4" s="8" t="n">
        <f aca="true">NORMINV(RAND(),Assumptions!$B$14,Assumptions!$B$15)</f>
        <v>0.0575788227257079</v>
      </c>
      <c r="M4" s="6" t="n">
        <f aca="false">B4-Assumptions!$B$29</f>
        <v>391263.996662504</v>
      </c>
      <c r="N4" s="6" t="n">
        <f aca="false">W4-Assumptions!$B$29</f>
        <v>359440.905252357</v>
      </c>
      <c r="O4" s="6" t="n">
        <f aca="false">X4-Assumptions!$B$29</f>
        <v>334029.058486926</v>
      </c>
      <c r="P4" s="6" t="n">
        <f aca="false">Y4-Assumptions!$B$29</f>
        <v>300535.891699121</v>
      </c>
      <c r="Q4" s="6" t="n">
        <f aca="false">Z4-Assumptions!$B$29</f>
        <v>272049.716528418</v>
      </c>
      <c r="R4" s="6" t="n">
        <f aca="false">AA4-Assumptions!$B$29</f>
        <v>235357.460651859</v>
      </c>
      <c r="S4" s="6" t="n">
        <f aca="false">AB4-Assumptions!$B$29</f>
        <v>200293.775669822</v>
      </c>
      <c r="T4" s="6" t="n">
        <f aca="false">AC4-Assumptions!$B$29</f>
        <v>168918.020558299</v>
      </c>
      <c r="U4" s="6" t="n">
        <f aca="false">AD4-Assumptions!$B$29</f>
        <v>120114.937638532</v>
      </c>
      <c r="V4" s="6" t="n">
        <f aca="false">AE4-Assumptions!$B$29</f>
        <v>80948.5835230911</v>
      </c>
      <c r="W4" s="6" t="n">
        <f aca="false">M4*(1+C4)</f>
        <v>409440.905252357</v>
      </c>
      <c r="X4" s="6" t="n">
        <f aca="false">N4*(1+D4)</f>
        <v>384029.058486926</v>
      </c>
      <c r="Y4" s="6" t="n">
        <f aca="false">O4*(1+E4)</f>
        <v>350535.891699121</v>
      </c>
      <c r="Z4" s="6" t="n">
        <f aca="false">P4*(1+F4)</f>
        <v>322049.716528418</v>
      </c>
      <c r="AA4" s="6" t="n">
        <f aca="false">Q4*(1+G4)</f>
        <v>285357.460651859</v>
      </c>
      <c r="AB4" s="6" t="n">
        <f aca="false">R4*(1+H4)</f>
        <v>250293.775669822</v>
      </c>
      <c r="AC4" s="6" t="n">
        <f aca="false">S4*(1+I4)</f>
        <v>218918.020558299</v>
      </c>
      <c r="AD4" s="6" t="n">
        <f aca="false">T4*(1+J4)</f>
        <v>170114.937638532</v>
      </c>
      <c r="AE4" s="6" t="n">
        <f aca="false">U4*(1+K4)</f>
        <v>130948.583523091</v>
      </c>
      <c r="AF4" s="6" t="n">
        <f aca="false">V4*(1+L4)</f>
        <v>85609.5076636644</v>
      </c>
      <c r="AG4" s="6" t="n">
        <f aca="false">MIN(M4:V4)</f>
        <v>80948.5835230911</v>
      </c>
      <c r="AH4" s="19" t="n">
        <f aca="false">IF(AG4&gt;=0,1,0)</f>
        <v>1</v>
      </c>
    </row>
    <row r="5" customFormat="false" ht="15" hidden="false" customHeight="false" outlineLevel="0" collapsed="false">
      <c r="A5" s="0" t="n">
        <f aca="false">ROW()-1</f>
        <v>4</v>
      </c>
      <c r="B5" s="6" t="n">
        <f aca="false">Assumptions!$B$35</f>
        <v>441263.996662504</v>
      </c>
      <c r="C5" s="8" t="n">
        <f aca="true">NORMINV(RAND(),Assumptions!$B$14,Assumptions!$B$15)</f>
        <v>0.10981200703083</v>
      </c>
      <c r="D5" s="8" t="n">
        <f aca="true">NORMINV(RAND(),Assumptions!$B$14,Assumptions!$B$15)</f>
        <v>0.0289516337105803</v>
      </c>
      <c r="E5" s="8" t="n">
        <f aca="true">NORMINV(RAND(),Assumptions!$B$14,Assumptions!$B$15)</f>
        <v>0.0409122478391753</v>
      </c>
      <c r="F5" s="8" t="n">
        <f aca="true">NORMINV(RAND(),Assumptions!$B$14,Assumptions!$B$15)</f>
        <v>0.0261512797539432</v>
      </c>
      <c r="G5" s="8" t="n">
        <f aca="true">NORMINV(RAND(),Assumptions!$B$14,Assumptions!$B$15)</f>
        <v>0.0426985385912597</v>
      </c>
      <c r="H5" s="8" t="n">
        <f aca="true">NORMINV(RAND(),Assumptions!$B$14,Assumptions!$B$15)</f>
        <v>0.0922835029487474</v>
      </c>
      <c r="I5" s="8" t="n">
        <f aca="true">NORMINV(RAND(),Assumptions!$B$14,Assumptions!$B$15)</f>
        <v>0.0766789576141783</v>
      </c>
      <c r="J5" s="8" t="n">
        <f aca="true">NORMINV(RAND(),Assumptions!$B$14,Assumptions!$B$15)</f>
        <v>0.0822398887620834</v>
      </c>
      <c r="K5" s="8" t="n">
        <f aca="true">NORMINV(RAND(),Assumptions!$B$14,Assumptions!$B$15)</f>
        <v>0.0752372821954318</v>
      </c>
      <c r="L5" s="8" t="n">
        <f aca="true">NORMINV(RAND(),Assumptions!$B$14,Assumptions!$B$15)</f>
        <v>0.0405586808536266</v>
      </c>
      <c r="M5" s="6" t="n">
        <f aca="false">B5-Assumptions!$B$29</f>
        <v>391263.996662504</v>
      </c>
      <c r="N5" s="6" t="n">
        <f aca="false">W5-Assumptions!$B$29</f>
        <v>384229.481414917</v>
      </c>
      <c r="O5" s="6" t="n">
        <f aca="false">X5-Assumptions!$B$29</f>
        <v>345353.552621648</v>
      </c>
      <c r="P5" s="6" t="n">
        <f aca="false">Y5-Assumptions!$B$29</f>
        <v>309482.742758645</v>
      </c>
      <c r="Q5" s="6" t="n">
        <f aca="false">Z5-Assumptions!$B$29</f>
        <v>267576.112543544</v>
      </c>
      <c r="R5" s="6" t="n">
        <f aca="false">AA5-Assumptions!$B$29</f>
        <v>229001.221511083</v>
      </c>
      <c r="S5" s="6" t="n">
        <f aca="false">AB5-Assumptions!$B$29</f>
        <v>200134.256411668</v>
      </c>
      <c r="T5" s="6" t="n">
        <f aca="false">AC5-Assumptions!$B$29</f>
        <v>165480.342576204</v>
      </c>
      <c r="U5" s="6" t="n">
        <f aca="false">AD5-Assumptions!$B$29</f>
        <v>129089.427541982</v>
      </c>
      <c r="V5" s="6" t="n">
        <f aca="false">AE5-Assumptions!$B$29</f>
        <v>88801.7652304047</v>
      </c>
      <c r="W5" s="6" t="n">
        <f aca="false">M5*(1+C5)</f>
        <v>434229.481414917</v>
      </c>
      <c r="X5" s="6" t="n">
        <f aca="false">N5*(1+D5)</f>
        <v>395353.552621648</v>
      </c>
      <c r="Y5" s="6" t="n">
        <f aca="false">O5*(1+E5)</f>
        <v>359482.742758645</v>
      </c>
      <c r="Z5" s="6" t="n">
        <f aca="false">P5*(1+F5)</f>
        <v>317576.112543544</v>
      </c>
      <c r="AA5" s="6" t="n">
        <f aca="false">Q5*(1+G5)</f>
        <v>279001.221511083</v>
      </c>
      <c r="AB5" s="6" t="n">
        <f aca="false">R5*(1+H5)</f>
        <v>250134.256411668</v>
      </c>
      <c r="AC5" s="6" t="n">
        <f aca="false">S5*(1+I5)</f>
        <v>215480.342576204</v>
      </c>
      <c r="AD5" s="6" t="n">
        <f aca="false">T5*(1+J5)</f>
        <v>179089.427541982</v>
      </c>
      <c r="AE5" s="6" t="n">
        <f aca="false">U5*(1+K5)</f>
        <v>138801.765230405</v>
      </c>
      <c r="AF5" s="6" t="n">
        <f aca="false">V5*(1+L5)</f>
        <v>92403.4476856234</v>
      </c>
      <c r="AG5" s="6" t="n">
        <f aca="false">MIN(M5:V5)</f>
        <v>88801.7652304047</v>
      </c>
      <c r="AH5" s="19" t="n">
        <f aca="false">IF(AG5&gt;=0,1,0)</f>
        <v>1</v>
      </c>
    </row>
    <row r="6" customFormat="false" ht="15" hidden="false" customHeight="false" outlineLevel="0" collapsed="false">
      <c r="A6" s="0" t="n">
        <f aca="false">ROW()-1</f>
        <v>5</v>
      </c>
      <c r="B6" s="6" t="n">
        <f aca="false">Assumptions!$B$35</f>
        <v>441263.996662504</v>
      </c>
      <c r="C6" s="8" t="n">
        <f aca="true">NORMINV(RAND(),Assumptions!$B$14,Assumptions!$B$15)</f>
        <v>0.0898000155587182</v>
      </c>
      <c r="D6" s="8" t="n">
        <f aca="true">NORMINV(RAND(),Assumptions!$B$14,Assumptions!$B$15)</f>
        <v>0.0383548908667286</v>
      </c>
      <c r="E6" s="8" t="n">
        <f aca="true">NORMINV(RAND(),Assumptions!$B$14,Assumptions!$B$15)</f>
        <v>0.0646142162423004</v>
      </c>
      <c r="F6" s="8" t="n">
        <f aca="true">NORMINV(RAND(),Assumptions!$B$14,Assumptions!$B$15)</f>
        <v>0.0285812611562933</v>
      </c>
      <c r="G6" s="8" t="n">
        <f aca="true">NORMINV(RAND(),Assumptions!$B$14,Assumptions!$B$15)</f>
        <v>0.0291922094579517</v>
      </c>
      <c r="H6" s="8" t="n">
        <f aca="true">NORMINV(RAND(),Assumptions!$B$14,Assumptions!$B$15)</f>
        <v>0.0534693535771065</v>
      </c>
      <c r="I6" s="8" t="n">
        <f aca="true">NORMINV(RAND(),Assumptions!$B$14,Assumptions!$B$15)</f>
        <v>0.0215531116553829</v>
      </c>
      <c r="J6" s="8" t="n">
        <f aca="true">NORMINV(RAND(),Assumptions!$B$14,Assumptions!$B$15)</f>
        <v>0.0429269798113554</v>
      </c>
      <c r="K6" s="8" t="n">
        <f aca="true">NORMINV(RAND(),Assumptions!$B$14,Assumptions!$B$15)</f>
        <v>0.0176874910793682</v>
      </c>
      <c r="L6" s="8" t="n">
        <f aca="true">NORMINV(RAND(),Assumptions!$B$14,Assumptions!$B$15)</f>
        <v>0.0277544196652333</v>
      </c>
      <c r="M6" s="6" t="n">
        <f aca="false">B6-Assumptions!$B$29</f>
        <v>391263.996662504</v>
      </c>
      <c r="N6" s="6" t="n">
        <f aca="false">W6-Assumptions!$B$29</f>
        <v>376399.509650363</v>
      </c>
      <c r="O6" s="6" t="n">
        <f aca="false">X6-Assumptions!$B$29</f>
        <v>340836.271765292</v>
      </c>
      <c r="P6" s="6" t="n">
        <f aca="false">Y6-Assumptions!$B$29</f>
        <v>312859.140332354</v>
      </c>
      <c r="Q6" s="6" t="n">
        <f aca="false">Z6-Assumptions!$B$29</f>
        <v>271801.049127327</v>
      </c>
      <c r="R6" s="6" t="n">
        <f aca="false">AA6-Assumptions!$B$29</f>
        <v>229735.522284343</v>
      </c>
      <c r="S6" s="6" t="n">
        <f aca="false">AB6-Assumptions!$B$29</f>
        <v>192019.332154586</v>
      </c>
      <c r="T6" s="6" t="n">
        <f aca="false">AC6-Assumptions!$B$29</f>
        <v>146157.946260505</v>
      </c>
      <c r="U6" s="6" t="n">
        <f aca="false">AD6-Assumptions!$B$29</f>
        <v>102432.065468899</v>
      </c>
      <c r="V6" s="6" t="n">
        <f aca="false">AE6-Assumptions!$B$29</f>
        <v>54243.8317131218</v>
      </c>
      <c r="W6" s="6" t="n">
        <f aca="false">M6*(1+C6)</f>
        <v>426399.509650363</v>
      </c>
      <c r="X6" s="6" t="n">
        <f aca="false">N6*(1+D6)</f>
        <v>390836.271765292</v>
      </c>
      <c r="Y6" s="6" t="n">
        <f aca="false">O6*(1+E6)</f>
        <v>362859.140332354</v>
      </c>
      <c r="Z6" s="6" t="n">
        <f aca="false">P6*(1+F6)</f>
        <v>321801.049127327</v>
      </c>
      <c r="AA6" s="6" t="n">
        <f aca="false">Q6*(1+G6)</f>
        <v>279735.522284343</v>
      </c>
      <c r="AB6" s="6" t="n">
        <f aca="false">R6*(1+H6)</f>
        <v>242019.332154586</v>
      </c>
      <c r="AC6" s="6" t="n">
        <f aca="false">S6*(1+I6)</f>
        <v>196157.946260505</v>
      </c>
      <c r="AD6" s="6" t="n">
        <f aca="false">T6*(1+J6)</f>
        <v>152432.065468899</v>
      </c>
      <c r="AE6" s="6" t="n">
        <f aca="false">U6*(1+K6)</f>
        <v>104243.831713122</v>
      </c>
      <c r="AF6" s="6" t="n">
        <f aca="false">V6*(1+L6)</f>
        <v>55749.337782738</v>
      </c>
      <c r="AG6" s="6" t="n">
        <f aca="false">MIN(M6:V6)</f>
        <v>54243.8317131218</v>
      </c>
      <c r="AH6" s="19" t="n">
        <f aca="false">IF(AG6&gt;=0,1,0)</f>
        <v>1</v>
      </c>
    </row>
    <row r="7" customFormat="false" ht="15" hidden="false" customHeight="false" outlineLevel="0" collapsed="false">
      <c r="A7" s="0" t="n">
        <f aca="false">ROW()-1</f>
        <v>6</v>
      </c>
      <c r="B7" s="6" t="n">
        <f aca="false">Assumptions!$B$35</f>
        <v>441263.996662504</v>
      </c>
      <c r="C7" s="8" t="n">
        <f aca="true">NORMINV(RAND(),Assumptions!$B$14,Assumptions!$B$15)</f>
        <v>0.000710946757064297</v>
      </c>
      <c r="D7" s="8" t="n">
        <f aca="true">NORMINV(RAND(),Assumptions!$B$14,Assumptions!$B$15)</f>
        <v>0.0751623320115746</v>
      </c>
      <c r="E7" s="8" t="n">
        <f aca="true">NORMINV(RAND(),Assumptions!$B$14,Assumptions!$B$15)</f>
        <v>0.072013704117065</v>
      </c>
      <c r="F7" s="8" t="n">
        <f aca="true">NORMINV(RAND(),Assumptions!$B$14,Assumptions!$B$15)</f>
        <v>0.0516161295428045</v>
      </c>
      <c r="G7" s="8" t="n">
        <f aca="true">NORMINV(RAND(),Assumptions!$B$14,Assumptions!$B$15)</f>
        <v>0.069315503182814</v>
      </c>
      <c r="H7" s="8" t="n">
        <f aca="true">NORMINV(RAND(),Assumptions!$B$14,Assumptions!$B$15)</f>
        <v>0.0266223422762703</v>
      </c>
      <c r="I7" s="8" t="n">
        <f aca="true">NORMINV(RAND(),Assumptions!$B$14,Assumptions!$B$15)</f>
        <v>0.0760539486703863</v>
      </c>
      <c r="J7" s="8" t="n">
        <f aca="true">NORMINV(RAND(),Assumptions!$B$14,Assumptions!$B$15)</f>
        <v>0.0333348790881762</v>
      </c>
      <c r="K7" s="8" t="n">
        <f aca="true">NORMINV(RAND(),Assumptions!$B$14,Assumptions!$B$15)</f>
        <v>0.103975958749348</v>
      </c>
      <c r="L7" s="8" t="n">
        <f aca="true">NORMINV(RAND(),Assumptions!$B$14,Assumptions!$B$15)</f>
        <v>0.0200585741559339</v>
      </c>
      <c r="M7" s="6" t="n">
        <f aca="false">B7-Assumptions!$B$29</f>
        <v>391263.996662504</v>
      </c>
      <c r="N7" s="6" t="n">
        <f aca="false">W7-Assumptions!$B$29</f>
        <v>341542.164532087</v>
      </c>
      <c r="O7" s="6" t="n">
        <f aca="false">X7-Assumptions!$B$29</f>
        <v>317213.270098599</v>
      </c>
      <c r="P7" s="6" t="n">
        <f aca="false">Y7-Assumptions!$B$29</f>
        <v>290056.972673486</v>
      </c>
      <c r="Q7" s="6" t="n">
        <f aca="false">Z7-Assumptions!$B$29</f>
        <v>255028.590949795</v>
      </c>
      <c r="R7" s="6" t="n">
        <f aca="false">AA7-Assumptions!$B$29</f>
        <v>222706.026057484</v>
      </c>
      <c r="S7" s="6" t="n">
        <f aca="false">AB7-Assumptions!$B$29</f>
        <v>178634.982110174</v>
      </c>
      <c r="T7" s="6" t="n">
        <f aca="false">AC7-Assumptions!$B$29</f>
        <v>142220.877870317</v>
      </c>
      <c r="U7" s="6" t="n">
        <f aca="false">AD7-Assumptions!$B$29</f>
        <v>96961.7936379382</v>
      </c>
      <c r="V7" s="6" t="n">
        <f aca="false">AE7-Assumptions!$B$29</f>
        <v>57043.4890934992</v>
      </c>
      <c r="W7" s="6" t="n">
        <f aca="false">M7*(1+C7)</f>
        <v>391542.164532087</v>
      </c>
      <c r="X7" s="6" t="n">
        <f aca="false">N7*(1+D7)</f>
        <v>367213.270098599</v>
      </c>
      <c r="Y7" s="6" t="n">
        <f aca="false">O7*(1+E7)</f>
        <v>340056.972673486</v>
      </c>
      <c r="Z7" s="6" t="n">
        <f aca="false">P7*(1+F7)</f>
        <v>305028.590949795</v>
      </c>
      <c r="AA7" s="6" t="n">
        <f aca="false">Q7*(1+G7)</f>
        <v>272706.026057484</v>
      </c>
      <c r="AB7" s="6" t="n">
        <f aca="false">R7*(1+H7)</f>
        <v>228634.982110174</v>
      </c>
      <c r="AC7" s="6" t="n">
        <f aca="false">S7*(1+I7)</f>
        <v>192220.877870317</v>
      </c>
      <c r="AD7" s="6" t="n">
        <f aca="false">T7*(1+J7)</f>
        <v>146961.793637938</v>
      </c>
      <c r="AE7" s="6" t="n">
        <f aca="false">U7*(1+K7)</f>
        <v>107043.489093499</v>
      </c>
      <c r="AF7" s="6" t="n">
        <f aca="false">V7*(1+L7)</f>
        <v>58187.7001495944</v>
      </c>
      <c r="AG7" s="6" t="n">
        <f aca="false">MIN(M7:V7)</f>
        <v>57043.4890934992</v>
      </c>
      <c r="AH7" s="19" t="n">
        <f aca="false">IF(AG7&gt;=0,1,0)</f>
        <v>1</v>
      </c>
    </row>
    <row r="8" customFormat="false" ht="15" hidden="false" customHeight="false" outlineLevel="0" collapsed="false">
      <c r="A8" s="0" t="n">
        <f aca="false">ROW()-1</f>
        <v>7</v>
      </c>
      <c r="B8" s="6" t="n">
        <f aca="false">Assumptions!$B$35</f>
        <v>441263.996662504</v>
      </c>
      <c r="C8" s="8" t="n">
        <f aca="true">NORMINV(RAND(),Assumptions!$B$14,Assumptions!$B$15)</f>
        <v>0.047255488049621</v>
      </c>
      <c r="D8" s="8" t="n">
        <f aca="true">NORMINV(RAND(),Assumptions!$B$14,Assumptions!$B$15)</f>
        <v>0.0345118055884986</v>
      </c>
      <c r="E8" s="8" t="n">
        <f aca="true">NORMINV(RAND(),Assumptions!$B$14,Assumptions!$B$15)</f>
        <v>0.0111029290477442</v>
      </c>
      <c r="F8" s="8" t="n">
        <f aca="true">NORMINV(RAND(),Assumptions!$B$14,Assumptions!$B$15)</f>
        <v>0.0259769614015358</v>
      </c>
      <c r="G8" s="8" t="n">
        <f aca="true">NORMINV(RAND(),Assumptions!$B$14,Assumptions!$B$15)</f>
        <v>0.034610780654366</v>
      </c>
      <c r="H8" s="8" t="n">
        <f aca="true">NORMINV(RAND(),Assumptions!$B$14,Assumptions!$B$15)</f>
        <v>0.0980188300719514</v>
      </c>
      <c r="I8" s="8" t="n">
        <f aca="true">NORMINV(RAND(),Assumptions!$B$14,Assumptions!$B$15)</f>
        <v>0.0598974854491808</v>
      </c>
      <c r="J8" s="8" t="n">
        <f aca="true">NORMINV(RAND(),Assumptions!$B$14,Assumptions!$B$15)</f>
        <v>0.0733272316311427</v>
      </c>
      <c r="K8" s="8" t="n">
        <f aca="true">NORMINV(RAND(),Assumptions!$B$14,Assumptions!$B$15)</f>
        <v>0.0325973066706836</v>
      </c>
      <c r="L8" s="8" t="n">
        <f aca="true">NORMINV(RAND(),Assumptions!$B$14,Assumptions!$B$15)</f>
        <v>0.0527609502554598</v>
      </c>
      <c r="M8" s="6" t="n">
        <f aca="false">B8-Assumptions!$B$29</f>
        <v>391263.996662504</v>
      </c>
      <c r="N8" s="6" t="n">
        <f aca="false">W8-Assumptions!$B$29</f>
        <v>359753.367781035</v>
      </c>
      <c r="O8" s="6" t="n">
        <f aca="false">X8-Assumptions!$B$29</f>
        <v>322169.106069702</v>
      </c>
      <c r="P8" s="6" t="n">
        <f aca="false">Y8-Assumptions!$B$29</f>
        <v>275746.126795769</v>
      </c>
      <c r="Q8" s="6" t="n">
        <f aca="false">Z8-Assumptions!$B$29</f>
        <v>232909.173288166</v>
      </c>
      <c r="R8" s="6" t="n">
        <f aca="false">AA8-Assumptions!$B$29</f>
        <v>190970.341597232</v>
      </c>
      <c r="S8" s="6" t="n">
        <f aca="false">AB8-Assumptions!$B$29</f>
        <v>159689.031059034</v>
      </c>
      <c r="T8" s="6" t="n">
        <f aca="false">AC8-Assumptions!$B$29</f>
        <v>119254.002473286</v>
      </c>
      <c r="U8" s="6" t="n">
        <f aca="false">AD8-Assumptions!$B$29</f>
        <v>77998.5683355857</v>
      </c>
      <c r="V8" s="6" t="n">
        <f aca="false">AE8-Assumptions!$B$29</f>
        <v>30541.111587495</v>
      </c>
      <c r="W8" s="6" t="n">
        <f aca="false">M8*(1+C8)</f>
        <v>409753.367781035</v>
      </c>
      <c r="X8" s="6" t="n">
        <f aca="false">N8*(1+D8)</f>
        <v>372169.106069702</v>
      </c>
      <c r="Y8" s="6" t="n">
        <f aca="false">O8*(1+E8)</f>
        <v>325746.126795769</v>
      </c>
      <c r="Z8" s="6" t="n">
        <f aca="false">P8*(1+F8)</f>
        <v>282909.173288166</v>
      </c>
      <c r="AA8" s="6" t="n">
        <f aca="false">Q8*(1+G8)</f>
        <v>240970.341597232</v>
      </c>
      <c r="AB8" s="6" t="n">
        <f aca="false">R8*(1+H8)</f>
        <v>209689.031059034</v>
      </c>
      <c r="AC8" s="6" t="n">
        <f aca="false">S8*(1+I8)</f>
        <v>169254.002473286</v>
      </c>
      <c r="AD8" s="6" t="n">
        <f aca="false">T8*(1+J8)</f>
        <v>127998.568335586</v>
      </c>
      <c r="AE8" s="6" t="n">
        <f aca="false">U8*(1+K8)</f>
        <v>80541.111587495</v>
      </c>
      <c r="AF8" s="6" t="n">
        <f aca="false">V8*(1+L8)</f>
        <v>32152.4896567093</v>
      </c>
      <c r="AG8" s="6" t="n">
        <f aca="false">MIN(M8:V8)</f>
        <v>30541.111587495</v>
      </c>
      <c r="AH8" s="19" t="n">
        <f aca="false">IF(AG8&gt;=0,1,0)</f>
        <v>1</v>
      </c>
    </row>
    <row r="9" customFormat="false" ht="15" hidden="false" customHeight="false" outlineLevel="0" collapsed="false">
      <c r="A9" s="0" t="n">
        <f aca="false">ROW()-1</f>
        <v>8</v>
      </c>
      <c r="B9" s="6" t="n">
        <f aca="false">Assumptions!$B$35</f>
        <v>441263.996662504</v>
      </c>
      <c r="C9" s="8" t="n">
        <f aca="true">NORMINV(RAND(),Assumptions!$B$14,Assumptions!$B$15)</f>
        <v>0.0512131486268318</v>
      </c>
      <c r="D9" s="8" t="n">
        <f aca="true">NORMINV(RAND(),Assumptions!$B$14,Assumptions!$B$15)</f>
        <v>0.0290875724690959</v>
      </c>
      <c r="E9" s="8" t="n">
        <f aca="true">NORMINV(RAND(),Assumptions!$B$14,Assumptions!$B$15)</f>
        <v>0.0399620110954816</v>
      </c>
      <c r="F9" s="8" t="n">
        <f aca="true">NORMINV(RAND(),Assumptions!$B$14,Assumptions!$B$15)</f>
        <v>0.0332779702049409</v>
      </c>
      <c r="G9" s="8" t="n">
        <f aca="true">NORMINV(RAND(),Assumptions!$B$14,Assumptions!$B$15)</f>
        <v>0.0763650663406359</v>
      </c>
      <c r="H9" s="8" t="n">
        <f aca="true">NORMINV(RAND(),Assumptions!$B$14,Assumptions!$B$15)</f>
        <v>0.046826673402895</v>
      </c>
      <c r="I9" s="8" t="n">
        <f aca="true">NORMINV(RAND(),Assumptions!$B$14,Assumptions!$B$15)</f>
        <v>-0.00673105793899444</v>
      </c>
      <c r="J9" s="8" t="n">
        <f aca="true">NORMINV(RAND(),Assumptions!$B$14,Assumptions!$B$15)</f>
        <v>0.0405993425337533</v>
      </c>
      <c r="K9" s="8" t="n">
        <f aca="true">NORMINV(RAND(),Assumptions!$B$14,Assumptions!$B$15)</f>
        <v>-0.00671774032124744</v>
      </c>
      <c r="L9" s="8" t="n">
        <f aca="true">NORMINV(RAND(),Assumptions!$B$14,Assumptions!$B$15)</f>
        <v>0.0942083500268091</v>
      </c>
      <c r="M9" s="6" t="n">
        <f aca="false">B9-Assumptions!$B$29</f>
        <v>391263.996662504</v>
      </c>
      <c r="N9" s="6" t="n">
        <f aca="false">W9-Assumptions!$B$29</f>
        <v>361301.857875909</v>
      </c>
      <c r="O9" s="6" t="n">
        <f aca="false">X9-Assumptions!$B$29</f>
        <v>321811.251850093</v>
      </c>
      <c r="P9" s="6" t="n">
        <f aca="false">Y9-Assumptions!$B$29</f>
        <v>284671.476667177</v>
      </c>
      <c r="Q9" s="6" t="n">
        <f aca="false">Z9-Assumptions!$B$29</f>
        <v>244144.765585904</v>
      </c>
      <c r="R9" s="6" t="n">
        <f aca="false">AA9-Assumptions!$B$29</f>
        <v>212788.896806591</v>
      </c>
      <c r="S9" s="6" t="n">
        <f aca="false">AB9-Assumptions!$B$29</f>
        <v>172753.092981115</v>
      </c>
      <c r="T9" s="6" t="n">
        <f aca="false">AC9-Assumptions!$B$29</f>
        <v>121590.281903119</v>
      </c>
      <c r="U9" s="6" t="n">
        <f aca="false">AD9-Assumptions!$B$29</f>
        <v>76526.7674068791</v>
      </c>
      <c r="V9" s="6" t="n">
        <f aca="false">AE9-Assumptions!$B$29</f>
        <v>26012.6804558152</v>
      </c>
      <c r="W9" s="6" t="n">
        <f aca="false">M9*(1+C9)</f>
        <v>411301.857875909</v>
      </c>
      <c r="X9" s="6" t="n">
        <f aca="false">N9*(1+D9)</f>
        <v>371811.251850093</v>
      </c>
      <c r="Y9" s="6" t="n">
        <f aca="false">O9*(1+E9)</f>
        <v>334671.476667177</v>
      </c>
      <c r="Z9" s="6" t="n">
        <f aca="false">P9*(1+F9)</f>
        <v>294144.765585904</v>
      </c>
      <c r="AA9" s="6" t="n">
        <f aca="false">Q9*(1+G9)</f>
        <v>262788.896806591</v>
      </c>
      <c r="AB9" s="6" t="n">
        <f aca="false">R9*(1+H9)</f>
        <v>222753.092981115</v>
      </c>
      <c r="AC9" s="6" t="n">
        <f aca="false">S9*(1+I9)</f>
        <v>171590.281903119</v>
      </c>
      <c r="AD9" s="6" t="n">
        <f aca="false">T9*(1+J9)</f>
        <v>126526.767406879</v>
      </c>
      <c r="AE9" s="6" t="n">
        <f aca="false">U9*(1+K9)</f>
        <v>76012.6804558152</v>
      </c>
      <c r="AF9" s="6" t="n">
        <f aca="false">V9*(1+L9)</f>
        <v>28463.2921613322</v>
      </c>
      <c r="AG9" s="6" t="n">
        <f aca="false">MIN(M9:V9)</f>
        <v>26012.6804558152</v>
      </c>
      <c r="AH9" s="19" t="n">
        <f aca="false">IF(AG9&gt;=0,1,0)</f>
        <v>1</v>
      </c>
    </row>
    <row r="10" customFormat="false" ht="15" hidden="false" customHeight="false" outlineLevel="0" collapsed="false">
      <c r="A10" s="0" t="n">
        <f aca="false">ROW()-1</f>
        <v>9</v>
      </c>
      <c r="B10" s="6" t="n">
        <f aca="false">Assumptions!$B$35</f>
        <v>441263.996662504</v>
      </c>
      <c r="C10" s="8" t="n">
        <f aca="true">NORMINV(RAND(),Assumptions!$B$14,Assumptions!$B$15)</f>
        <v>0.0408564461717093</v>
      </c>
      <c r="D10" s="8" t="n">
        <f aca="true">NORMINV(RAND(),Assumptions!$B$14,Assumptions!$B$15)</f>
        <v>0.0594257459153263</v>
      </c>
      <c r="E10" s="8" t="n">
        <f aca="true">NORMINV(RAND(),Assumptions!$B$14,Assumptions!$B$15)</f>
        <v>0.0691748160521082</v>
      </c>
      <c r="F10" s="8" t="n">
        <f aca="true">NORMINV(RAND(),Assumptions!$B$14,Assumptions!$B$15)</f>
        <v>0.0112593275698272</v>
      </c>
      <c r="G10" s="8" t="n">
        <f aca="true">NORMINV(RAND(),Assumptions!$B$14,Assumptions!$B$15)</f>
        <v>0.0421417364372939</v>
      </c>
      <c r="H10" s="8" t="n">
        <f aca="true">NORMINV(RAND(),Assumptions!$B$14,Assumptions!$B$15)</f>
        <v>0.0629989087928368</v>
      </c>
      <c r="I10" s="8" t="n">
        <f aca="true">NORMINV(RAND(),Assumptions!$B$14,Assumptions!$B$15)</f>
        <v>0.0174272206216984</v>
      </c>
      <c r="J10" s="8" t="n">
        <f aca="true">NORMINV(RAND(),Assumptions!$B$14,Assumptions!$B$15)</f>
        <v>0.0424160693965241</v>
      </c>
      <c r="K10" s="8" t="n">
        <f aca="true">NORMINV(RAND(),Assumptions!$B$14,Assumptions!$B$15)</f>
        <v>0.0710483326804331</v>
      </c>
      <c r="L10" s="8" t="n">
        <f aca="true">NORMINV(RAND(),Assumptions!$B$14,Assumptions!$B$15)</f>
        <v>0.0118020439738647</v>
      </c>
      <c r="M10" s="6" t="n">
        <f aca="false">B10-Assumptions!$B$29</f>
        <v>391263.996662504</v>
      </c>
      <c r="N10" s="6" t="n">
        <f aca="false">W10-Assumptions!$B$29</f>
        <v>357249.653081073</v>
      </c>
      <c r="O10" s="6" t="n">
        <f aca="false">X10-Assumptions!$B$29</f>
        <v>328479.480193407</v>
      </c>
      <c r="P10" s="6" t="n">
        <f aca="false">Y10-Assumptions!$B$29</f>
        <v>301201.987812678</v>
      </c>
      <c r="Q10" s="6" t="n">
        <f aca="false">Z10-Assumptions!$B$29</f>
        <v>254593.319658144</v>
      </c>
      <c r="R10" s="6" t="n">
        <f aca="false">AA10-Assumptions!$B$29</f>
        <v>215322.324233874</v>
      </c>
      <c r="S10" s="6" t="n">
        <f aca="false">AB10-Assumptions!$B$29</f>
        <v>178887.395699345</v>
      </c>
      <c r="T10" s="6" t="n">
        <f aca="false">AC10-Assumptions!$B$29</f>
        <v>132004.905810638</v>
      </c>
      <c r="U10" s="6" t="n">
        <f aca="false">AD10-Assumptions!$B$29</f>
        <v>87604.0350561841</v>
      </c>
      <c r="V10" s="6" t="n">
        <f aca="false">AE10-Assumptions!$B$29</f>
        <v>43828.1556830042</v>
      </c>
      <c r="W10" s="6" t="n">
        <f aca="false">M10*(1+C10)</f>
        <v>407249.653081073</v>
      </c>
      <c r="X10" s="6" t="n">
        <f aca="false">N10*(1+D10)</f>
        <v>378479.480193407</v>
      </c>
      <c r="Y10" s="6" t="n">
        <f aca="false">O10*(1+E10)</f>
        <v>351201.987812678</v>
      </c>
      <c r="Z10" s="6" t="n">
        <f aca="false">P10*(1+F10)</f>
        <v>304593.319658144</v>
      </c>
      <c r="AA10" s="6" t="n">
        <f aca="false">Q10*(1+G10)</f>
        <v>265322.324233874</v>
      </c>
      <c r="AB10" s="6" t="n">
        <f aca="false">R10*(1+H10)</f>
        <v>228887.395699345</v>
      </c>
      <c r="AC10" s="6" t="n">
        <f aca="false">S10*(1+I10)</f>
        <v>182004.905810638</v>
      </c>
      <c r="AD10" s="6" t="n">
        <f aca="false">T10*(1+J10)</f>
        <v>137604.035056184</v>
      </c>
      <c r="AE10" s="6" t="n">
        <f aca="false">U10*(1+K10)</f>
        <v>93828.1556830042</v>
      </c>
      <c r="AF10" s="6" t="n">
        <f aca="false">V10*(1+L10)</f>
        <v>44345.4175036684</v>
      </c>
      <c r="AG10" s="6" t="n">
        <f aca="false">MIN(M10:V10)</f>
        <v>43828.1556830042</v>
      </c>
      <c r="AH10" s="19" t="n">
        <f aca="false">IF(AG10&gt;=0,1,0)</f>
        <v>1</v>
      </c>
    </row>
    <row r="11" customFormat="false" ht="15" hidden="false" customHeight="false" outlineLevel="0" collapsed="false">
      <c r="A11" s="0" t="n">
        <f aca="false">ROW()-1</f>
        <v>10</v>
      </c>
      <c r="B11" s="6" t="n">
        <f aca="false">Assumptions!$B$35</f>
        <v>441263.996662504</v>
      </c>
      <c r="C11" s="8" t="n">
        <f aca="true">NORMINV(RAND(),Assumptions!$B$14,Assumptions!$B$15)</f>
        <v>0.0807120894336917</v>
      </c>
      <c r="D11" s="8" t="n">
        <f aca="true">NORMINV(RAND(),Assumptions!$B$14,Assumptions!$B$15)</f>
        <v>0.0499648639220565</v>
      </c>
      <c r="E11" s="8" t="n">
        <f aca="true">NORMINV(RAND(),Assumptions!$B$14,Assumptions!$B$15)</f>
        <v>0.094932308523999</v>
      </c>
      <c r="F11" s="8" t="n">
        <f aca="true">NORMINV(RAND(),Assumptions!$B$14,Assumptions!$B$15)</f>
        <v>0.0420472499582568</v>
      </c>
      <c r="G11" s="8" t="n">
        <f aca="true">NORMINV(RAND(),Assumptions!$B$14,Assumptions!$B$15)</f>
        <v>0.0862059755201201</v>
      </c>
      <c r="H11" s="8" t="n">
        <f aca="true">NORMINV(RAND(),Assumptions!$B$14,Assumptions!$B$15)</f>
        <v>0.085188002590159</v>
      </c>
      <c r="I11" s="8" t="n">
        <f aca="true">NORMINV(RAND(),Assumptions!$B$14,Assumptions!$B$15)</f>
        <v>0.0511653130226156</v>
      </c>
      <c r="J11" s="8" t="n">
        <f aca="true">NORMINV(RAND(),Assumptions!$B$14,Assumptions!$B$15)</f>
        <v>0.0133800503928627</v>
      </c>
      <c r="K11" s="8" t="n">
        <f aca="true">NORMINV(RAND(),Assumptions!$B$14,Assumptions!$B$15)</f>
        <v>0.0602282018327648</v>
      </c>
      <c r="L11" s="8" t="n">
        <f aca="true">NORMINV(RAND(),Assumptions!$B$14,Assumptions!$B$15)</f>
        <v>0.0629571272030643</v>
      </c>
      <c r="M11" s="6" t="n">
        <f aca="false">B11-Assumptions!$B$29</f>
        <v>391263.996662504</v>
      </c>
      <c r="N11" s="6" t="n">
        <f aca="false">W11-Assumptions!$B$29</f>
        <v>372843.731353311</v>
      </c>
      <c r="O11" s="6" t="n">
        <f aca="false">X11-Assumptions!$B$29</f>
        <v>341472.817654571</v>
      </c>
      <c r="P11" s="6" t="n">
        <f aca="false">Y11-Assumptions!$B$29</f>
        <v>323889.620532714</v>
      </c>
      <c r="Q11" s="6" t="n">
        <f aca="false">Z11-Assumptions!$B$29</f>
        <v>287508.288366138</v>
      </c>
      <c r="R11" s="6" t="n">
        <f aca="false">AA11-Assumptions!$B$29</f>
        <v>262293.220834861</v>
      </c>
      <c r="S11" s="6" t="n">
        <f aca="false">AB11-Assumptions!$B$29</f>
        <v>234637.456410722</v>
      </c>
      <c r="T11" s="6" t="n">
        <f aca="false">AC11-Assumptions!$B$29</f>
        <v>196642.755314807</v>
      </c>
      <c r="U11" s="6" t="n">
        <f aca="false">AD11-Assumptions!$B$29</f>
        <v>149273.845290311</v>
      </c>
      <c r="V11" s="6" t="n">
        <f aca="false">AE11-Assumptions!$B$29</f>
        <v>108264.340572809</v>
      </c>
      <c r="W11" s="6" t="n">
        <f aca="false">M11*(1+C11)</f>
        <v>422843.731353311</v>
      </c>
      <c r="X11" s="6" t="n">
        <f aca="false">N11*(1+D11)</f>
        <v>391472.817654571</v>
      </c>
      <c r="Y11" s="6" t="n">
        <f aca="false">O11*(1+E11)</f>
        <v>373889.620532714</v>
      </c>
      <c r="Z11" s="6" t="n">
        <f aca="false">P11*(1+F11)</f>
        <v>337508.288366138</v>
      </c>
      <c r="AA11" s="6" t="n">
        <f aca="false">Q11*(1+G11)</f>
        <v>312293.220834861</v>
      </c>
      <c r="AB11" s="6" t="n">
        <f aca="false">R11*(1+H11)</f>
        <v>284637.456410722</v>
      </c>
      <c r="AC11" s="6" t="n">
        <f aca="false">S11*(1+I11)</f>
        <v>246642.755314807</v>
      </c>
      <c r="AD11" s="6" t="n">
        <f aca="false">T11*(1+J11)</f>
        <v>199273.845290311</v>
      </c>
      <c r="AE11" s="6" t="n">
        <f aca="false">U11*(1+K11)</f>
        <v>158264.340572809</v>
      </c>
      <c r="AF11" s="6" t="n">
        <f aca="false">V11*(1+L11)</f>
        <v>115080.352433807</v>
      </c>
      <c r="AG11" s="6" t="n">
        <f aca="false">MIN(M11:V11)</f>
        <v>108264.340572809</v>
      </c>
      <c r="AH11" s="19" t="n">
        <f aca="false">IF(AG11&gt;=0,1,0)</f>
        <v>1</v>
      </c>
    </row>
    <row r="12" customFormat="false" ht="15" hidden="false" customHeight="false" outlineLevel="0" collapsed="false">
      <c r="A12" s="0" t="n">
        <f aca="false">ROW()-1</f>
        <v>11</v>
      </c>
      <c r="B12" s="6" t="n">
        <f aca="false">Assumptions!$B$35</f>
        <v>441263.996662504</v>
      </c>
      <c r="C12" s="8" t="n">
        <f aca="true">NORMINV(RAND(),Assumptions!$B$14,Assumptions!$B$15)</f>
        <v>0.0563813717869288</v>
      </c>
      <c r="D12" s="8" t="n">
        <f aca="true">NORMINV(RAND(),Assumptions!$B$14,Assumptions!$B$15)</f>
        <v>0.0373127787356356</v>
      </c>
      <c r="E12" s="8" t="n">
        <f aca="true">NORMINV(RAND(),Assumptions!$B$14,Assumptions!$B$15)</f>
        <v>0.0603851892069792</v>
      </c>
      <c r="F12" s="8" t="n">
        <f aca="true">NORMINV(RAND(),Assumptions!$B$14,Assumptions!$B$15)</f>
        <v>0.0757218358070998</v>
      </c>
      <c r="G12" s="8" t="n">
        <f aca="true">NORMINV(RAND(),Assumptions!$B$14,Assumptions!$B$15)</f>
        <v>0.116264281112258</v>
      </c>
      <c r="H12" s="8" t="n">
        <f aca="true">NORMINV(RAND(),Assumptions!$B$14,Assumptions!$B$15)</f>
        <v>0.0616955115957727</v>
      </c>
      <c r="I12" s="8" t="n">
        <f aca="true">NORMINV(RAND(),Assumptions!$B$14,Assumptions!$B$15)</f>
        <v>0.0553880861480375</v>
      </c>
      <c r="J12" s="8" t="n">
        <f aca="true">NORMINV(RAND(),Assumptions!$B$14,Assumptions!$B$15)</f>
        <v>0.0293768660710894</v>
      </c>
      <c r="K12" s="8" t="n">
        <f aca="true">NORMINV(RAND(),Assumptions!$B$14,Assumptions!$B$15)</f>
        <v>0.00107141125792893</v>
      </c>
      <c r="L12" s="8" t="n">
        <f aca="true">NORMINV(RAND(),Assumptions!$B$14,Assumptions!$B$15)</f>
        <v>0.0713213194346619</v>
      </c>
      <c r="M12" s="6" t="n">
        <f aca="false">B12-Assumptions!$B$29</f>
        <v>391263.996662504</v>
      </c>
      <c r="N12" s="6" t="n">
        <f aca="false">W12-Assumptions!$B$29</f>
        <v>363323.997525172</v>
      </c>
      <c r="O12" s="6" t="n">
        <f aca="false">X12-Assumptions!$B$29</f>
        <v>326880.625454175</v>
      </c>
      <c r="P12" s="6" t="n">
        <f aca="false">Y12-Assumptions!$B$29</f>
        <v>296619.373870321</v>
      </c>
      <c r="Q12" s="6" t="n">
        <f aca="false">Z12-Assumptions!$B$29</f>
        <v>269079.937395734</v>
      </c>
      <c r="R12" s="6" t="n">
        <f aca="false">AA12-Assumptions!$B$29</f>
        <v>250364.322878781</v>
      </c>
      <c r="S12" s="6" t="n">
        <f aca="false">AB12-Assumptions!$B$29</f>
        <v>215810.677864116</v>
      </c>
      <c r="T12" s="6" t="n">
        <f aca="false">AC12-Assumptions!$B$29</f>
        <v>177764.01828132</v>
      </c>
      <c r="U12" s="6" t="n">
        <f aca="false">AD12-Assumptions!$B$29</f>
        <v>132986.168038629</v>
      </c>
      <c r="V12" s="6" t="n">
        <f aca="false">AE12-Assumptions!$B$29</f>
        <v>83128.6509162148</v>
      </c>
      <c r="W12" s="6" t="n">
        <f aca="false">M12*(1+C12)</f>
        <v>413323.997525172</v>
      </c>
      <c r="X12" s="6" t="n">
        <f aca="false">N12*(1+D12)</f>
        <v>376880.625454175</v>
      </c>
      <c r="Y12" s="6" t="n">
        <f aca="false">O12*(1+E12)</f>
        <v>346619.373870321</v>
      </c>
      <c r="Z12" s="6" t="n">
        <f aca="false">P12*(1+F12)</f>
        <v>319079.937395734</v>
      </c>
      <c r="AA12" s="6" t="n">
        <f aca="false">Q12*(1+G12)</f>
        <v>300364.322878781</v>
      </c>
      <c r="AB12" s="6" t="n">
        <f aca="false">R12*(1+H12)</f>
        <v>265810.677864116</v>
      </c>
      <c r="AC12" s="6" t="n">
        <f aca="false">S12*(1+I12)</f>
        <v>227764.01828132</v>
      </c>
      <c r="AD12" s="6" t="n">
        <f aca="false">T12*(1+J12)</f>
        <v>182986.168038629</v>
      </c>
      <c r="AE12" s="6" t="n">
        <f aca="false">U12*(1+K12)</f>
        <v>133128.650916215</v>
      </c>
      <c r="AF12" s="6" t="n">
        <f aca="false">V12*(1+L12)</f>
        <v>89057.4959823827</v>
      </c>
      <c r="AG12" s="6" t="n">
        <f aca="false">MIN(M12:V12)</f>
        <v>83128.6509162148</v>
      </c>
      <c r="AH12" s="19" t="n">
        <f aca="false">IF(AG12&gt;=0,1,0)</f>
        <v>1</v>
      </c>
    </row>
    <row r="13" customFormat="false" ht="15" hidden="false" customHeight="false" outlineLevel="0" collapsed="false">
      <c r="A13" s="0" t="n">
        <f aca="false">ROW()-1</f>
        <v>12</v>
      </c>
      <c r="B13" s="6" t="n">
        <f aca="false">Assumptions!$B$35</f>
        <v>441263.996662504</v>
      </c>
      <c r="C13" s="8" t="n">
        <f aca="true">NORMINV(RAND(),Assumptions!$B$14,Assumptions!$B$15)</f>
        <v>0.0659443823884565</v>
      </c>
      <c r="D13" s="8" t="n">
        <f aca="true">NORMINV(RAND(),Assumptions!$B$14,Assumptions!$B$15)</f>
        <v>0.081163833153284</v>
      </c>
      <c r="E13" s="8" t="n">
        <f aca="true">NORMINV(RAND(),Assumptions!$B$14,Assumptions!$B$15)</f>
        <v>0.0085796035703281</v>
      </c>
      <c r="F13" s="8" t="n">
        <f aca="true">NORMINV(RAND(),Assumptions!$B$14,Assumptions!$B$15)</f>
        <v>0.0821624267630929</v>
      </c>
      <c r="G13" s="8" t="n">
        <f aca="true">NORMINV(RAND(),Assumptions!$B$14,Assumptions!$B$15)</f>
        <v>0.0714447504720003</v>
      </c>
      <c r="H13" s="8" t="n">
        <f aca="true">NORMINV(RAND(),Assumptions!$B$14,Assumptions!$B$15)</f>
        <v>0.0548670093302592</v>
      </c>
      <c r="I13" s="8" t="n">
        <f aca="true">NORMINV(RAND(),Assumptions!$B$14,Assumptions!$B$15)</f>
        <v>0.0243954866305435</v>
      </c>
      <c r="J13" s="8" t="n">
        <f aca="true">NORMINV(RAND(),Assumptions!$B$14,Assumptions!$B$15)</f>
        <v>-0.00627030731344933</v>
      </c>
      <c r="K13" s="8" t="n">
        <f aca="true">NORMINV(RAND(),Assumptions!$B$14,Assumptions!$B$15)</f>
        <v>0.0478511074866142</v>
      </c>
      <c r="L13" s="8" t="n">
        <f aca="true">NORMINV(RAND(),Assumptions!$B$14,Assumptions!$B$15)</f>
        <v>0.141226570448224</v>
      </c>
      <c r="M13" s="6" t="n">
        <f aca="false">B13-Assumptions!$B$29</f>
        <v>391263.996662504</v>
      </c>
      <c r="N13" s="6" t="n">
        <f aca="false">W13-Assumptions!$B$29</f>
        <v>367065.659273251</v>
      </c>
      <c r="O13" s="6" t="n">
        <f aca="false">X13-Assumptions!$B$29</f>
        <v>346858.115198806</v>
      </c>
      <c r="P13" s="6" t="n">
        <f aca="false">Y13-Assumptions!$B$29</f>
        <v>299834.020322363</v>
      </c>
      <c r="Q13" s="6" t="n">
        <f aca="false">Z13-Assumptions!$B$29</f>
        <v>274469.111058183</v>
      </c>
      <c r="R13" s="6" t="n">
        <f aca="false">AA13-Assumptions!$B$29</f>
        <v>244078.488210006</v>
      </c>
      <c r="S13" s="6" t="n">
        <f aca="false">AB13-Assumptions!$B$29</f>
        <v>207470.34489994</v>
      </c>
      <c r="T13" s="6" t="n">
        <f aca="false">AC13-Assumptions!$B$29</f>
        <v>162531.684925181</v>
      </c>
      <c r="U13" s="6" t="n">
        <f aca="false">AD13-Assumptions!$B$29</f>
        <v>111512.561312527</v>
      </c>
      <c r="V13" s="6" t="n">
        <f aca="false">AE13-Assumptions!$B$29</f>
        <v>66848.5608700007</v>
      </c>
      <c r="W13" s="6" t="n">
        <f aca="false">M13*(1+C13)</f>
        <v>417065.659273251</v>
      </c>
      <c r="X13" s="6" t="n">
        <f aca="false">N13*(1+D13)</f>
        <v>396858.115198806</v>
      </c>
      <c r="Y13" s="6" t="n">
        <f aca="false">O13*(1+E13)</f>
        <v>349834.020322363</v>
      </c>
      <c r="Z13" s="6" t="n">
        <f aca="false">P13*(1+F13)</f>
        <v>324469.111058183</v>
      </c>
      <c r="AA13" s="6" t="n">
        <f aca="false">Q13*(1+G13)</f>
        <v>294078.488210006</v>
      </c>
      <c r="AB13" s="6" t="n">
        <f aca="false">R13*(1+H13)</f>
        <v>257470.34489994</v>
      </c>
      <c r="AC13" s="6" t="n">
        <f aca="false">S13*(1+I13)</f>
        <v>212531.684925181</v>
      </c>
      <c r="AD13" s="6" t="n">
        <f aca="false">T13*(1+J13)</f>
        <v>161512.561312527</v>
      </c>
      <c r="AE13" s="6" t="n">
        <f aca="false">U13*(1+K13)</f>
        <v>116848.560870001</v>
      </c>
      <c r="AF13" s="6" t="n">
        <f aca="false">V13*(1+L13)</f>
        <v>76289.3538610702</v>
      </c>
      <c r="AG13" s="6" t="n">
        <f aca="false">MIN(M13:V13)</f>
        <v>66848.5608700007</v>
      </c>
      <c r="AH13" s="19" t="n">
        <f aca="false">IF(AG13&gt;=0,1,0)</f>
        <v>1</v>
      </c>
    </row>
    <row r="14" customFormat="false" ht="15" hidden="false" customHeight="false" outlineLevel="0" collapsed="false">
      <c r="A14" s="0" t="n">
        <f aca="false">ROW()-1</f>
        <v>13</v>
      </c>
      <c r="B14" s="6" t="n">
        <f aca="false">Assumptions!$B$35</f>
        <v>441263.996662504</v>
      </c>
      <c r="C14" s="8" t="n">
        <f aca="true">NORMINV(RAND(),Assumptions!$B$14,Assumptions!$B$15)</f>
        <v>0.0254543848914878</v>
      </c>
      <c r="D14" s="8" t="n">
        <f aca="true">NORMINV(RAND(),Assumptions!$B$14,Assumptions!$B$15)</f>
        <v>0.0658592559386221</v>
      </c>
      <c r="E14" s="8" t="n">
        <f aca="true">NORMINV(RAND(),Assumptions!$B$14,Assumptions!$B$15)</f>
        <v>0.0935241496146579</v>
      </c>
      <c r="F14" s="8" t="n">
        <f aca="true">NORMINV(RAND(),Assumptions!$B$14,Assumptions!$B$15)</f>
        <v>0.0720350421474815</v>
      </c>
      <c r="G14" s="8" t="n">
        <f aca="true">NORMINV(RAND(),Assumptions!$B$14,Assumptions!$B$15)</f>
        <v>0.0634356629909741</v>
      </c>
      <c r="H14" s="8" t="n">
        <f aca="true">NORMINV(RAND(),Assumptions!$B$14,Assumptions!$B$15)</f>
        <v>0.115499241666951</v>
      </c>
      <c r="I14" s="8" t="n">
        <f aca="true">NORMINV(RAND(),Assumptions!$B$14,Assumptions!$B$15)</f>
        <v>0.0883854430577514</v>
      </c>
      <c r="J14" s="8" t="n">
        <f aca="true">NORMINV(RAND(),Assumptions!$B$14,Assumptions!$B$15)</f>
        <v>0.0574780665170482</v>
      </c>
      <c r="K14" s="8" t="n">
        <f aca="true">NORMINV(RAND(),Assumptions!$B$14,Assumptions!$B$15)</f>
        <v>0.0560219775543738</v>
      </c>
      <c r="L14" s="8" t="n">
        <f aca="true">NORMINV(RAND(),Assumptions!$B$14,Assumptions!$B$15)</f>
        <v>0.0194733130466071</v>
      </c>
      <c r="M14" s="6" t="n">
        <f aca="false">B14-Assumptions!$B$29</f>
        <v>391263.996662504</v>
      </c>
      <c r="N14" s="6" t="n">
        <f aca="false">W14-Assumptions!$B$29</f>
        <v>351223.381027733</v>
      </c>
      <c r="O14" s="6" t="n">
        <f aca="false">X14-Assumptions!$B$29</f>
        <v>324354.691570466</v>
      </c>
      <c r="P14" s="6" t="n">
        <f aca="false">Y14-Assumptions!$B$29</f>
        <v>304689.688273119</v>
      </c>
      <c r="Q14" s="6" t="n">
        <f aca="false">Z14-Assumptions!$B$29</f>
        <v>276638.022809776</v>
      </c>
      <c r="R14" s="6" t="n">
        <f aca="false">AA14-Assumptions!$B$29</f>
        <v>244186.739195226</v>
      </c>
      <c r="S14" s="6" t="n">
        <f aca="false">AB14-Assumptions!$B$29</f>
        <v>222390.1223974</v>
      </c>
      <c r="T14" s="6" t="n">
        <f aca="false">AC14-Assumptions!$B$29</f>
        <v>192046.171897162</v>
      </c>
      <c r="U14" s="6" t="n">
        <f aca="false">AD14-Assumptions!$B$29</f>
        <v>153084.614539812</v>
      </c>
      <c r="V14" s="6" t="n">
        <f aca="false">AE14-Assumptions!$B$29</f>
        <v>111660.717379481</v>
      </c>
      <c r="W14" s="6" t="n">
        <f aca="false">M14*(1+C14)</f>
        <v>401223.381027733</v>
      </c>
      <c r="X14" s="6" t="n">
        <f aca="false">N14*(1+D14)</f>
        <v>374354.691570466</v>
      </c>
      <c r="Y14" s="6" t="n">
        <f aca="false">O14*(1+E14)</f>
        <v>354689.688273119</v>
      </c>
      <c r="Z14" s="6" t="n">
        <f aca="false">P14*(1+F14)</f>
        <v>326638.022809776</v>
      </c>
      <c r="AA14" s="6" t="n">
        <f aca="false">Q14*(1+G14)</f>
        <v>294186.739195226</v>
      </c>
      <c r="AB14" s="6" t="n">
        <f aca="false">R14*(1+H14)</f>
        <v>272390.1223974</v>
      </c>
      <c r="AC14" s="6" t="n">
        <f aca="false">S14*(1+I14)</f>
        <v>242046.171897162</v>
      </c>
      <c r="AD14" s="6" t="n">
        <f aca="false">T14*(1+J14)</f>
        <v>203084.614539812</v>
      </c>
      <c r="AE14" s="6" t="n">
        <f aca="false">U14*(1+K14)</f>
        <v>161660.717379481</v>
      </c>
      <c r="AF14" s="6" t="n">
        <f aca="false">V14*(1+L14)</f>
        <v>113835.12148402</v>
      </c>
      <c r="AG14" s="6" t="n">
        <f aca="false">MIN(M14:V14)</f>
        <v>111660.717379481</v>
      </c>
      <c r="AH14" s="19" t="n">
        <f aca="false">IF(AG14&gt;=0,1,0)</f>
        <v>1</v>
      </c>
    </row>
    <row r="15" customFormat="false" ht="15" hidden="false" customHeight="false" outlineLevel="0" collapsed="false">
      <c r="A15" s="0" t="n">
        <f aca="false">ROW()-1</f>
        <v>14</v>
      </c>
      <c r="B15" s="6" t="n">
        <f aca="false">Assumptions!$B$35</f>
        <v>441263.996662504</v>
      </c>
      <c r="C15" s="8" t="n">
        <f aca="true">NORMINV(RAND(),Assumptions!$B$14,Assumptions!$B$15)</f>
        <v>0.0556433659569838</v>
      </c>
      <c r="D15" s="8" t="n">
        <f aca="true">NORMINV(RAND(),Assumptions!$B$14,Assumptions!$B$15)</f>
        <v>0.0537858447608188</v>
      </c>
      <c r="E15" s="8" t="n">
        <f aca="true">NORMINV(RAND(),Assumptions!$B$14,Assumptions!$B$15)</f>
        <v>0.0488753572510099</v>
      </c>
      <c r="F15" s="8" t="n">
        <f aca="true">NORMINV(RAND(),Assumptions!$B$14,Assumptions!$B$15)</f>
        <v>0.053803708087554</v>
      </c>
      <c r="G15" s="8" t="n">
        <f aca="true">NORMINV(RAND(),Assumptions!$B$14,Assumptions!$B$15)</f>
        <v>0.0418481305471412</v>
      </c>
      <c r="H15" s="8" t="n">
        <f aca="true">NORMINV(RAND(),Assumptions!$B$14,Assumptions!$B$15)</f>
        <v>0.0114092843563509</v>
      </c>
      <c r="I15" s="8" t="n">
        <f aca="true">NORMINV(RAND(),Assumptions!$B$14,Assumptions!$B$15)</f>
        <v>0.071171254788903</v>
      </c>
      <c r="J15" s="8" t="n">
        <f aca="true">NORMINV(RAND(),Assumptions!$B$14,Assumptions!$B$15)</f>
        <v>0.0833565165179649</v>
      </c>
      <c r="K15" s="8" t="n">
        <f aca="true">NORMINV(RAND(),Assumptions!$B$14,Assumptions!$B$15)</f>
        <v>0.0125112997491031</v>
      </c>
      <c r="L15" s="8" t="n">
        <f aca="true">NORMINV(RAND(),Assumptions!$B$14,Assumptions!$B$15)</f>
        <v>0.051460846118996</v>
      </c>
      <c r="M15" s="6" t="n">
        <f aca="false">B15-Assumptions!$B$29</f>
        <v>391263.996662504</v>
      </c>
      <c r="N15" s="6" t="n">
        <f aca="false">W15-Assumptions!$B$29</f>
        <v>363035.242414587</v>
      </c>
      <c r="O15" s="6" t="n">
        <f aca="false">X15-Assumptions!$B$29</f>
        <v>332561.399605805</v>
      </c>
      <c r="P15" s="6" t="n">
        <f aca="false">Y15-Assumptions!$B$29</f>
        <v>298815.456819434</v>
      </c>
      <c r="Q15" s="6" t="n">
        <f aca="false">Z15-Assumptions!$B$29</f>
        <v>264892.836430196</v>
      </c>
      <c r="R15" s="6" t="n">
        <f aca="false">AA15-Assumptions!$B$29</f>
        <v>225978.106430129</v>
      </c>
      <c r="S15" s="6" t="n">
        <f aca="false">AB15-Assumptions!$B$29</f>
        <v>178556.3549047</v>
      </c>
      <c r="T15" s="6" t="n">
        <f aca="false">AC15-Assumptions!$B$29</f>
        <v>141264.434733801</v>
      </c>
      <c r="U15" s="6" t="n">
        <f aca="false">AD15-Assumptions!$B$29</f>
        <v>103039.74592109</v>
      </c>
      <c r="V15" s="6" t="n">
        <f aca="false">AE15-Assumptions!$B$29</f>
        <v>54328.9070683798</v>
      </c>
      <c r="W15" s="6" t="n">
        <f aca="false">M15*(1+C15)</f>
        <v>413035.242414587</v>
      </c>
      <c r="X15" s="6" t="n">
        <f aca="false">N15*(1+D15)</f>
        <v>382561.399605805</v>
      </c>
      <c r="Y15" s="6" t="n">
        <f aca="false">O15*(1+E15)</f>
        <v>348815.456819434</v>
      </c>
      <c r="Z15" s="6" t="n">
        <f aca="false">P15*(1+F15)</f>
        <v>314892.836430196</v>
      </c>
      <c r="AA15" s="6" t="n">
        <f aca="false">Q15*(1+G15)</f>
        <v>275978.106430129</v>
      </c>
      <c r="AB15" s="6" t="n">
        <f aca="false">R15*(1+H15)</f>
        <v>228556.3549047</v>
      </c>
      <c r="AC15" s="6" t="n">
        <f aca="false">S15*(1+I15)</f>
        <v>191264.434733801</v>
      </c>
      <c r="AD15" s="6" t="n">
        <f aca="false">T15*(1+J15)</f>
        <v>153039.74592109</v>
      </c>
      <c r="AE15" s="6" t="n">
        <f aca="false">U15*(1+K15)</f>
        <v>104328.90706838</v>
      </c>
      <c r="AF15" s="6" t="n">
        <f aca="false">V15*(1+L15)</f>
        <v>57124.7185948389</v>
      </c>
      <c r="AG15" s="6" t="n">
        <f aca="false">MIN(M15:V15)</f>
        <v>54328.9070683798</v>
      </c>
      <c r="AH15" s="19" t="n">
        <f aca="false">IF(AG15&gt;=0,1,0)</f>
        <v>1</v>
      </c>
    </row>
    <row r="16" customFormat="false" ht="15" hidden="false" customHeight="false" outlineLevel="0" collapsed="false">
      <c r="A16" s="0" t="n">
        <f aca="false">ROW()-1</f>
        <v>15</v>
      </c>
      <c r="B16" s="6" t="n">
        <f aca="false">Assumptions!$B$35</f>
        <v>441263.996662504</v>
      </c>
      <c r="C16" s="8" t="n">
        <f aca="true">NORMINV(RAND(),Assumptions!$B$14,Assumptions!$B$15)</f>
        <v>0.0420963728465821</v>
      </c>
      <c r="D16" s="8" t="n">
        <f aca="true">NORMINV(RAND(),Assumptions!$B$14,Assumptions!$B$15)</f>
        <v>0.105022356325436</v>
      </c>
      <c r="E16" s="8" t="n">
        <f aca="true">NORMINV(RAND(),Assumptions!$B$14,Assumptions!$B$15)</f>
        <v>0.0489033666683668</v>
      </c>
      <c r="F16" s="8" t="n">
        <f aca="true">NORMINV(RAND(),Assumptions!$B$14,Assumptions!$B$15)</f>
        <v>0.102260526614777</v>
      </c>
      <c r="G16" s="8" t="n">
        <f aca="true">NORMINV(RAND(),Assumptions!$B$14,Assumptions!$B$15)</f>
        <v>0.0253598017790056</v>
      </c>
      <c r="H16" s="8" t="n">
        <f aca="true">NORMINV(RAND(),Assumptions!$B$14,Assumptions!$B$15)</f>
        <v>0.0650114267286646</v>
      </c>
      <c r="I16" s="8" t="n">
        <f aca="true">NORMINV(RAND(),Assumptions!$B$14,Assumptions!$B$15)</f>
        <v>0.0199573609193726</v>
      </c>
      <c r="J16" s="8" t="n">
        <f aca="true">NORMINV(RAND(),Assumptions!$B$14,Assumptions!$B$15)</f>
        <v>0.0203325327396484</v>
      </c>
      <c r="K16" s="8" t="n">
        <f aca="true">NORMINV(RAND(),Assumptions!$B$14,Assumptions!$B$15)</f>
        <v>0.0430562922888606</v>
      </c>
      <c r="L16" s="8" t="n">
        <f aca="true">NORMINV(RAND(),Assumptions!$B$14,Assumptions!$B$15)</f>
        <v>0.0120260090256918</v>
      </c>
      <c r="M16" s="6" t="n">
        <f aca="false">B16-Assumptions!$B$29</f>
        <v>391263.996662504</v>
      </c>
      <c r="N16" s="6" t="n">
        <f aca="false">W16-Assumptions!$B$29</f>
        <v>357734.791747452</v>
      </c>
      <c r="O16" s="6" t="n">
        <f aca="false">X16-Assumptions!$B$29</f>
        <v>345304.942516359</v>
      </c>
      <c r="P16" s="6" t="n">
        <f aca="false">Y16-Assumptions!$B$29</f>
        <v>312191.516732636</v>
      </c>
      <c r="Q16" s="6" t="n">
        <f aca="false">Z16-Assumptions!$B$29</f>
        <v>294116.385638381</v>
      </c>
      <c r="R16" s="6" t="n">
        <f aca="false">AA16-Assumptions!$B$29</f>
        <v>251575.118878128</v>
      </c>
      <c r="S16" s="6" t="n">
        <f aca="false">AB16-Assumptions!$B$29</f>
        <v>217930.376285828</v>
      </c>
      <c r="T16" s="6" t="n">
        <f aca="false">AC16-Assumptions!$B$29</f>
        <v>172279.691460659</v>
      </c>
      <c r="U16" s="6" t="n">
        <f aca="false">AD16-Assumptions!$B$29</f>
        <v>125782.57392766</v>
      </c>
      <c r="V16" s="6" t="n">
        <f aca="false">AE16-Assumptions!$B$29</f>
        <v>81198.3051955342</v>
      </c>
      <c r="W16" s="6" t="n">
        <f aca="false">M16*(1+C16)</f>
        <v>407734.791747452</v>
      </c>
      <c r="X16" s="6" t="n">
        <f aca="false">N16*(1+D16)</f>
        <v>395304.942516359</v>
      </c>
      <c r="Y16" s="6" t="n">
        <f aca="false">O16*(1+E16)</f>
        <v>362191.516732636</v>
      </c>
      <c r="Z16" s="6" t="n">
        <f aca="false">P16*(1+F16)</f>
        <v>344116.385638381</v>
      </c>
      <c r="AA16" s="6" t="n">
        <f aca="false">Q16*(1+G16)</f>
        <v>301575.118878128</v>
      </c>
      <c r="AB16" s="6" t="n">
        <f aca="false">R16*(1+H16)</f>
        <v>267930.376285828</v>
      </c>
      <c r="AC16" s="6" t="n">
        <f aca="false">S16*(1+I16)</f>
        <v>222279.691460659</v>
      </c>
      <c r="AD16" s="6" t="n">
        <f aca="false">T16*(1+J16)</f>
        <v>175782.57392766</v>
      </c>
      <c r="AE16" s="6" t="n">
        <f aca="false">U16*(1+K16)</f>
        <v>131198.305195534</v>
      </c>
      <c r="AF16" s="6" t="n">
        <f aca="false">V16*(1+L16)</f>
        <v>82174.7967466866</v>
      </c>
      <c r="AG16" s="6" t="n">
        <f aca="false">MIN(M16:V16)</f>
        <v>81198.3051955342</v>
      </c>
      <c r="AH16" s="19" t="n">
        <f aca="false">IF(AG16&gt;=0,1,0)</f>
        <v>1</v>
      </c>
    </row>
    <row r="17" customFormat="false" ht="15" hidden="false" customHeight="false" outlineLevel="0" collapsed="false">
      <c r="A17" s="0" t="n">
        <f aca="false">ROW()-1</f>
        <v>16</v>
      </c>
      <c r="B17" s="6" t="n">
        <f aca="false">Assumptions!$B$35</f>
        <v>441263.996662504</v>
      </c>
      <c r="C17" s="8" t="n">
        <f aca="true">NORMINV(RAND(),Assumptions!$B$14,Assumptions!$B$15)</f>
        <v>0.0587857763658736</v>
      </c>
      <c r="D17" s="8" t="n">
        <f aca="true">NORMINV(RAND(),Assumptions!$B$14,Assumptions!$B$15)</f>
        <v>0.0856555734648254</v>
      </c>
      <c r="E17" s="8" t="n">
        <f aca="true">NORMINV(RAND(),Assumptions!$B$14,Assumptions!$B$15)</f>
        <v>0.0528493410499097</v>
      </c>
      <c r="F17" s="8" t="n">
        <f aca="true">NORMINV(RAND(),Assumptions!$B$14,Assumptions!$B$15)</f>
        <v>0.0644964037317096</v>
      </c>
      <c r="G17" s="8" t="n">
        <f aca="true">NORMINV(RAND(),Assumptions!$B$14,Assumptions!$B$15)</f>
        <v>0.0667258744545302</v>
      </c>
      <c r="H17" s="8" t="n">
        <f aca="true">NORMINV(RAND(),Assumptions!$B$14,Assumptions!$B$15)</f>
        <v>-0.0393551038435929</v>
      </c>
      <c r="I17" s="8" t="n">
        <f aca="true">NORMINV(RAND(),Assumptions!$B$14,Assumptions!$B$15)</f>
        <v>0.0736545653625308</v>
      </c>
      <c r="J17" s="8" t="n">
        <f aca="true">NORMINV(RAND(),Assumptions!$B$14,Assumptions!$B$15)</f>
        <v>0.0940823313803969</v>
      </c>
      <c r="K17" s="8" t="n">
        <f aca="true">NORMINV(RAND(),Assumptions!$B$14,Assumptions!$B$15)</f>
        <v>0.0110052471975774</v>
      </c>
      <c r="L17" s="8" t="n">
        <f aca="true">NORMINV(RAND(),Assumptions!$B$14,Assumptions!$B$15)</f>
        <v>0.0500896487754373</v>
      </c>
      <c r="M17" s="6" t="n">
        <f aca="false">B17-Assumptions!$B$29</f>
        <v>391263.996662504</v>
      </c>
      <c r="N17" s="6" t="n">
        <f aca="false">W17-Assumptions!$B$29</f>
        <v>364264.754470323</v>
      </c>
      <c r="O17" s="6" t="n">
        <f aca="false">X17-Assumptions!$B$29</f>
        <v>345466.060907503</v>
      </c>
      <c r="P17" s="6" t="n">
        <f aca="false">Y17-Assumptions!$B$29</f>
        <v>313723.714581572</v>
      </c>
      <c r="Q17" s="6" t="n">
        <f aca="false">Z17-Assumptions!$B$29</f>
        <v>283957.765937437</v>
      </c>
      <c r="R17" s="6" t="n">
        <f aca="false">AA17-Assumptions!$B$29</f>
        <v>252905.096177767</v>
      </c>
      <c r="S17" s="6" t="n">
        <f aca="false">AB17-Assumptions!$B$29</f>
        <v>192951.989855117</v>
      </c>
      <c r="T17" s="6" t="n">
        <f aca="false">AC17-Assumptions!$B$29</f>
        <v>157163.784803732</v>
      </c>
      <c r="U17" s="6" t="n">
        <f aca="false">AD17-Assumptions!$B$29</f>
        <v>121950.120086634</v>
      </c>
      <c r="V17" s="6" t="n">
        <f aca="false">AE17-Assumptions!$B$29</f>
        <v>73292.2113039613</v>
      </c>
      <c r="W17" s="6" t="n">
        <f aca="false">M17*(1+C17)</f>
        <v>414264.754470323</v>
      </c>
      <c r="X17" s="6" t="n">
        <f aca="false">N17*(1+D17)</f>
        <v>395466.060907503</v>
      </c>
      <c r="Y17" s="6" t="n">
        <f aca="false">O17*(1+E17)</f>
        <v>363723.714581572</v>
      </c>
      <c r="Z17" s="6" t="n">
        <f aca="false">P17*(1+F17)</f>
        <v>333957.765937437</v>
      </c>
      <c r="AA17" s="6" t="n">
        <f aca="false">Q17*(1+G17)</f>
        <v>302905.096177767</v>
      </c>
      <c r="AB17" s="6" t="n">
        <f aca="false">R17*(1+H17)</f>
        <v>242951.989855117</v>
      </c>
      <c r="AC17" s="6" t="n">
        <f aca="false">S17*(1+I17)</f>
        <v>207163.784803732</v>
      </c>
      <c r="AD17" s="6" t="n">
        <f aca="false">T17*(1+J17)</f>
        <v>171950.120086634</v>
      </c>
      <c r="AE17" s="6" t="n">
        <f aca="false">U17*(1+K17)</f>
        <v>123292.211303961</v>
      </c>
      <c r="AF17" s="6" t="n">
        <f aca="false">V17*(1+L17)</f>
        <v>76963.3924261518</v>
      </c>
      <c r="AG17" s="6" t="n">
        <f aca="false">MIN(M17:V17)</f>
        <v>73292.2113039613</v>
      </c>
      <c r="AH17" s="19" t="n">
        <f aca="false">IF(AG17&gt;=0,1,0)</f>
        <v>1</v>
      </c>
    </row>
    <row r="18" customFormat="false" ht="15" hidden="false" customHeight="false" outlineLevel="0" collapsed="false">
      <c r="A18" s="0" t="n">
        <f aca="false">ROW()-1</f>
        <v>17</v>
      </c>
      <c r="B18" s="6" t="n">
        <f aca="false">Assumptions!$B$35</f>
        <v>441263.996662504</v>
      </c>
      <c r="C18" s="8" t="n">
        <f aca="true">NORMINV(RAND(),Assumptions!$B$14,Assumptions!$B$15)</f>
        <v>0.0619976521641076</v>
      </c>
      <c r="D18" s="8" t="n">
        <f aca="true">NORMINV(RAND(),Assumptions!$B$14,Assumptions!$B$15)</f>
        <v>0.0622201201220045</v>
      </c>
      <c r="E18" s="8" t="n">
        <f aca="true">NORMINV(RAND(),Assumptions!$B$14,Assumptions!$B$15)</f>
        <v>0.0149326839514921</v>
      </c>
      <c r="F18" s="8" t="n">
        <f aca="true">NORMINV(RAND(),Assumptions!$B$14,Assumptions!$B$15)</f>
        <v>0.0237754431978108</v>
      </c>
      <c r="G18" s="8" t="n">
        <f aca="true">NORMINV(RAND(),Assumptions!$B$14,Assumptions!$B$15)</f>
        <v>0.0678929420374564</v>
      </c>
      <c r="H18" s="8" t="n">
        <f aca="true">NORMINV(RAND(),Assumptions!$B$14,Assumptions!$B$15)</f>
        <v>0.0951152424645786</v>
      </c>
      <c r="I18" s="8" t="n">
        <f aca="true">NORMINV(RAND(),Assumptions!$B$14,Assumptions!$B$15)</f>
        <v>0.0777511907924491</v>
      </c>
      <c r="J18" s="8" t="n">
        <f aca="true">NORMINV(RAND(),Assumptions!$B$14,Assumptions!$B$15)</f>
        <v>0.0764712360121901</v>
      </c>
      <c r="K18" s="8" t="n">
        <f aca="true">NORMINV(RAND(),Assumptions!$B$14,Assumptions!$B$15)</f>
        <v>0.00358633260833387</v>
      </c>
      <c r="L18" s="8" t="n">
        <f aca="true">NORMINV(RAND(),Assumptions!$B$14,Assumptions!$B$15)</f>
        <v>0.081701103643559</v>
      </c>
      <c r="M18" s="6" t="n">
        <f aca="false">B18-Assumptions!$B$29</f>
        <v>391263.996662504</v>
      </c>
      <c r="N18" s="6" t="n">
        <f aca="false">W18-Assumptions!$B$29</f>
        <v>365521.445831924</v>
      </c>
      <c r="O18" s="6" t="n">
        <f aca="false">X18-Assumptions!$B$29</f>
        <v>338264.234098755</v>
      </c>
      <c r="P18" s="6" t="n">
        <f aca="false">Y18-Assumptions!$B$29</f>
        <v>293315.426998645</v>
      </c>
      <c r="Q18" s="6" t="n">
        <f aca="false">Z18-Assumptions!$B$29</f>
        <v>250289.131272293</v>
      </c>
      <c r="R18" s="6" t="n">
        <f aca="false">AA18-Assumptions!$B$29</f>
        <v>217281.996754368</v>
      </c>
      <c r="S18" s="6" t="n">
        <f aca="false">AB18-Assumptions!$B$29</f>
        <v>187948.826558848</v>
      </c>
      <c r="T18" s="6" t="n">
        <f aca="false">AC18-Assumptions!$B$29</f>
        <v>152562.071631842</v>
      </c>
      <c r="U18" s="6" t="n">
        <f aca="false">AD18-Assumptions!$B$29</f>
        <v>114228.681818109</v>
      </c>
      <c r="V18" s="6" t="n">
        <f aca="false">AE18-Assumptions!$B$29</f>
        <v>64638.3438645202</v>
      </c>
      <c r="W18" s="6" t="n">
        <f aca="false">M18*(1+C18)</f>
        <v>415521.445831924</v>
      </c>
      <c r="X18" s="6" t="n">
        <f aca="false">N18*(1+D18)</f>
        <v>388264.234098755</v>
      </c>
      <c r="Y18" s="6" t="n">
        <f aca="false">O18*(1+E18)</f>
        <v>343315.426998645</v>
      </c>
      <c r="Z18" s="6" t="n">
        <f aca="false">P18*(1+F18)</f>
        <v>300289.131272293</v>
      </c>
      <c r="AA18" s="6" t="n">
        <f aca="false">Q18*(1+G18)</f>
        <v>267281.996754368</v>
      </c>
      <c r="AB18" s="6" t="n">
        <f aca="false">R18*(1+H18)</f>
        <v>237948.826558848</v>
      </c>
      <c r="AC18" s="6" t="n">
        <f aca="false">S18*(1+I18)</f>
        <v>202562.071631842</v>
      </c>
      <c r="AD18" s="6" t="n">
        <f aca="false">T18*(1+J18)</f>
        <v>164228.681818109</v>
      </c>
      <c r="AE18" s="6" t="n">
        <f aca="false">U18*(1+K18)</f>
        <v>114638.34386452</v>
      </c>
      <c r="AF18" s="6" t="n">
        <f aca="false">V18*(1+L18)</f>
        <v>69919.3678959433</v>
      </c>
      <c r="AG18" s="6" t="n">
        <f aca="false">MIN(M18:V18)</f>
        <v>64638.3438645202</v>
      </c>
      <c r="AH18" s="19" t="n">
        <f aca="false">IF(AG18&gt;=0,1,0)</f>
        <v>1</v>
      </c>
    </row>
    <row r="19" customFormat="false" ht="15" hidden="false" customHeight="false" outlineLevel="0" collapsed="false">
      <c r="A19" s="0" t="n">
        <f aca="false">ROW()-1</f>
        <v>18</v>
      </c>
      <c r="B19" s="6" t="n">
        <f aca="false">Assumptions!$B$35</f>
        <v>441263.996662504</v>
      </c>
      <c r="C19" s="8" t="n">
        <f aca="true">NORMINV(RAND(),Assumptions!$B$14,Assumptions!$B$15)</f>
        <v>0.0287109171956545</v>
      </c>
      <c r="D19" s="8" t="n">
        <f aca="true">NORMINV(RAND(),Assumptions!$B$14,Assumptions!$B$15)</f>
        <v>0.0669603216917288</v>
      </c>
      <c r="E19" s="8" t="n">
        <f aca="true">NORMINV(RAND(),Assumptions!$B$14,Assumptions!$B$15)</f>
        <v>0.0487253206504228</v>
      </c>
      <c r="F19" s="8" t="n">
        <f aca="true">NORMINV(RAND(),Assumptions!$B$14,Assumptions!$B$15)</f>
        <v>0.0692941260114845</v>
      </c>
      <c r="G19" s="8" t="n">
        <f aca="true">NORMINV(RAND(),Assumptions!$B$14,Assumptions!$B$15)</f>
        <v>0.0603729516004798</v>
      </c>
      <c r="H19" s="8" t="n">
        <f aca="true">NORMINV(RAND(),Assumptions!$B$14,Assumptions!$B$15)</f>
        <v>0.0727735042938001</v>
      </c>
      <c r="I19" s="8" t="n">
        <f aca="true">NORMINV(RAND(),Assumptions!$B$14,Assumptions!$B$15)</f>
        <v>0.0678557244093589</v>
      </c>
      <c r="J19" s="8" t="n">
        <f aca="true">NORMINV(RAND(),Assumptions!$B$14,Assumptions!$B$15)</f>
        <v>-0.00158191294040032</v>
      </c>
      <c r="K19" s="8" t="n">
        <f aca="true">NORMINV(RAND(),Assumptions!$B$14,Assumptions!$B$15)</f>
        <v>0.0694237600220472</v>
      </c>
      <c r="L19" s="8" t="n">
        <f aca="true">NORMINV(RAND(),Assumptions!$B$14,Assumptions!$B$15)</f>
        <v>0.0350901213007365</v>
      </c>
      <c r="M19" s="6" t="n">
        <f aca="false">B19-Assumptions!$B$29</f>
        <v>391263.996662504</v>
      </c>
      <c r="N19" s="6" t="n">
        <f aca="false">W19-Assumptions!$B$29</f>
        <v>352497.544872322</v>
      </c>
      <c r="O19" s="6" t="n">
        <f aca="false">X19-Assumptions!$B$29</f>
        <v>326100.893872517</v>
      </c>
      <c r="P19" s="6" t="n">
        <f aca="false">Y19-Assumptions!$B$29</f>
        <v>291990.264490845</v>
      </c>
      <c r="Q19" s="6" t="n">
        <f aca="false">Z19-Assumptions!$B$29</f>
        <v>262223.4746726</v>
      </c>
      <c r="R19" s="6" t="n">
        <f aca="false">AA19-Assumptions!$B$29</f>
        <v>228054.679817518</v>
      </c>
      <c r="S19" s="6" t="n">
        <f aca="false">AB19-Assumptions!$B$29</f>
        <v>194651.01803844</v>
      </c>
      <c r="T19" s="6" t="n">
        <f aca="false">AC19-Assumptions!$B$29</f>
        <v>157859.203874457</v>
      </c>
      <c r="U19" s="6" t="n">
        <f aca="false">AD19-Assumptions!$B$29</f>
        <v>107609.484357087</v>
      </c>
      <c r="V19" s="6" t="n">
        <f aca="false">AE19-Assumptions!$B$29</f>
        <v>65080.1393751897</v>
      </c>
      <c r="W19" s="6" t="n">
        <f aca="false">M19*(1+C19)</f>
        <v>402497.544872322</v>
      </c>
      <c r="X19" s="6" t="n">
        <f aca="false">N19*(1+D19)</f>
        <v>376100.893872517</v>
      </c>
      <c r="Y19" s="6" t="n">
        <f aca="false">O19*(1+E19)</f>
        <v>341990.264490845</v>
      </c>
      <c r="Z19" s="6" t="n">
        <f aca="false">P19*(1+F19)</f>
        <v>312223.4746726</v>
      </c>
      <c r="AA19" s="6" t="n">
        <f aca="false">Q19*(1+G19)</f>
        <v>278054.679817518</v>
      </c>
      <c r="AB19" s="6" t="n">
        <f aca="false">R19*(1+H19)</f>
        <v>244651.01803844</v>
      </c>
      <c r="AC19" s="6" t="n">
        <f aca="false">S19*(1+I19)</f>
        <v>207859.203874457</v>
      </c>
      <c r="AD19" s="6" t="n">
        <f aca="false">T19*(1+J19)</f>
        <v>157609.484357087</v>
      </c>
      <c r="AE19" s="6" t="n">
        <f aca="false">U19*(1+K19)</f>
        <v>115080.13937519</v>
      </c>
      <c r="AF19" s="6" t="n">
        <f aca="false">V19*(1+L19)</f>
        <v>67363.8093601339</v>
      </c>
      <c r="AG19" s="6" t="n">
        <f aca="false">MIN(M19:V19)</f>
        <v>65080.1393751897</v>
      </c>
      <c r="AH19" s="19" t="n">
        <f aca="false">IF(AG19&gt;=0,1,0)</f>
        <v>1</v>
      </c>
    </row>
    <row r="20" customFormat="false" ht="15" hidden="false" customHeight="false" outlineLevel="0" collapsed="false">
      <c r="A20" s="0" t="n">
        <f aca="false">ROW()-1</f>
        <v>19</v>
      </c>
      <c r="B20" s="6" t="n">
        <f aca="false">Assumptions!$B$35</f>
        <v>441263.996662504</v>
      </c>
      <c r="C20" s="8" t="n">
        <f aca="true">NORMINV(RAND(),Assumptions!$B$14,Assumptions!$B$15)</f>
        <v>0.0641971781728358</v>
      </c>
      <c r="D20" s="8" t="n">
        <f aca="true">NORMINV(RAND(),Assumptions!$B$14,Assumptions!$B$15)</f>
        <v>0.0429686921628274</v>
      </c>
      <c r="E20" s="8" t="n">
        <f aca="true">NORMINV(RAND(),Assumptions!$B$14,Assumptions!$B$15)</f>
        <v>0.123190310429554</v>
      </c>
      <c r="F20" s="8" t="n">
        <f aca="true">NORMINV(RAND(),Assumptions!$B$14,Assumptions!$B$15)</f>
        <v>0.0387321400752576</v>
      </c>
      <c r="G20" s="8" t="n">
        <f aca="true">NORMINV(RAND(),Assumptions!$B$14,Assumptions!$B$15)</f>
        <v>0.0111373637894227</v>
      </c>
      <c r="H20" s="8" t="n">
        <f aca="true">NORMINV(RAND(),Assumptions!$B$14,Assumptions!$B$15)</f>
        <v>0.0347459582982677</v>
      </c>
      <c r="I20" s="8" t="n">
        <f aca="true">NORMINV(RAND(),Assumptions!$B$14,Assumptions!$B$15)</f>
        <v>0.104965439595302</v>
      </c>
      <c r="J20" s="8" t="n">
        <f aca="true">NORMINV(RAND(),Assumptions!$B$14,Assumptions!$B$15)</f>
        <v>0.0154100580970548</v>
      </c>
      <c r="K20" s="8" t="n">
        <f aca="true">NORMINV(RAND(),Assumptions!$B$14,Assumptions!$B$15)</f>
        <v>0.0403702540912286</v>
      </c>
      <c r="L20" s="8" t="n">
        <f aca="true">NORMINV(RAND(),Assumptions!$B$14,Assumptions!$B$15)</f>
        <v>-0.00170825340346971</v>
      </c>
      <c r="M20" s="6" t="n">
        <f aca="false">B20-Assumptions!$B$29</f>
        <v>391263.996662504</v>
      </c>
      <c r="N20" s="6" t="n">
        <f aca="false">W20-Assumptions!$B$29</f>
        <v>366382.041168862</v>
      </c>
      <c r="O20" s="6" t="n">
        <f aca="false">X20-Assumptions!$B$29</f>
        <v>332124.998309835</v>
      </c>
      <c r="P20" s="6" t="n">
        <f aca="false">Y20-Assumptions!$B$29</f>
        <v>323039.579953039</v>
      </c>
      <c r="Q20" s="6" t="n">
        <f aca="false">Z20-Assumptions!$B$29</f>
        <v>285551.594213633</v>
      </c>
      <c r="R20" s="6" t="n">
        <f aca="false">AA20-Assumptions!$B$29</f>
        <v>238731.886199039</v>
      </c>
      <c r="S20" s="6" t="n">
        <f aca="false">AB20-Assumptions!$B$29</f>
        <v>197026.854361378</v>
      </c>
      <c r="T20" s="6" t="n">
        <f aca="false">AC20-Assumptions!$B$29</f>
        <v>167707.8647415</v>
      </c>
      <c r="U20" s="6" t="n">
        <f aca="false">AD20-Assumptions!$B$29</f>
        <v>120292.252680499</v>
      </c>
      <c r="V20" s="6" t="n">
        <f aca="false">AE20-Assumptions!$B$29</f>
        <v>75148.4814864171</v>
      </c>
      <c r="W20" s="6" t="n">
        <f aca="false">M20*(1+C20)</f>
        <v>416382.041168862</v>
      </c>
      <c r="X20" s="6" t="n">
        <f aca="false">N20*(1+D20)</f>
        <v>382124.998309835</v>
      </c>
      <c r="Y20" s="6" t="n">
        <f aca="false">O20*(1+E20)</f>
        <v>373039.579953039</v>
      </c>
      <c r="Z20" s="6" t="n">
        <f aca="false">P20*(1+F20)</f>
        <v>335551.594213633</v>
      </c>
      <c r="AA20" s="6" t="n">
        <f aca="false">Q20*(1+G20)</f>
        <v>288731.886199039</v>
      </c>
      <c r="AB20" s="6" t="n">
        <f aca="false">R20*(1+H20)</f>
        <v>247026.854361378</v>
      </c>
      <c r="AC20" s="6" t="n">
        <f aca="false">S20*(1+I20)</f>
        <v>217707.8647415</v>
      </c>
      <c r="AD20" s="6" t="n">
        <f aca="false">T20*(1+J20)</f>
        <v>170292.252680499</v>
      </c>
      <c r="AE20" s="6" t="n">
        <f aca="false">U20*(1+K20)</f>
        <v>125148.481486417</v>
      </c>
      <c r="AF20" s="6" t="n">
        <f aca="false">V20*(1+L20)</f>
        <v>75020.1088371524</v>
      </c>
      <c r="AG20" s="6" t="n">
        <f aca="false">MIN(M20:V20)</f>
        <v>75148.4814864171</v>
      </c>
      <c r="AH20" s="19" t="n">
        <f aca="false">IF(AG20&gt;=0,1,0)</f>
        <v>1</v>
      </c>
    </row>
    <row r="21" customFormat="false" ht="15" hidden="false" customHeight="false" outlineLevel="0" collapsed="false">
      <c r="A21" s="0" t="n">
        <f aca="false">ROW()-1</f>
        <v>20</v>
      </c>
      <c r="B21" s="6" t="n">
        <f aca="false">Assumptions!$B$35</f>
        <v>441263.996662504</v>
      </c>
      <c r="C21" s="8" t="n">
        <f aca="true">NORMINV(RAND(),Assumptions!$B$14,Assumptions!$B$15)</f>
        <v>0.0628881027400534</v>
      </c>
      <c r="D21" s="8" t="n">
        <f aca="true">NORMINV(RAND(),Assumptions!$B$14,Assumptions!$B$15)</f>
        <v>0.00445362991883237</v>
      </c>
      <c r="E21" s="8" t="n">
        <f aca="true">NORMINV(RAND(),Assumptions!$B$14,Assumptions!$B$15)</f>
        <v>-0.0121569466232792</v>
      </c>
      <c r="F21" s="8" t="n">
        <f aca="true">NORMINV(RAND(),Assumptions!$B$14,Assumptions!$B$15)</f>
        <v>0.0560420306272577</v>
      </c>
      <c r="G21" s="8" t="n">
        <f aca="true">NORMINV(RAND(),Assumptions!$B$14,Assumptions!$B$15)</f>
        <v>-0.00234729586468069</v>
      </c>
      <c r="H21" s="8" t="n">
        <f aca="true">NORMINV(RAND(),Assumptions!$B$14,Assumptions!$B$15)</f>
        <v>0.0197112227257264</v>
      </c>
      <c r="I21" s="8" t="n">
        <f aca="true">NORMINV(RAND(),Assumptions!$B$14,Assumptions!$B$15)</f>
        <v>0.0344187626151258</v>
      </c>
      <c r="J21" s="8" t="n">
        <f aca="true">NORMINV(RAND(),Assumptions!$B$14,Assumptions!$B$15)</f>
        <v>0.0532753731444561</v>
      </c>
      <c r="K21" s="8" t="n">
        <f aca="true">NORMINV(RAND(),Assumptions!$B$14,Assumptions!$B$15)</f>
        <v>-0.00370701026895601</v>
      </c>
      <c r="L21" s="8" t="n">
        <f aca="true">NORMINV(RAND(),Assumptions!$B$14,Assumptions!$B$15)</f>
        <v>0.053072479611064</v>
      </c>
      <c r="M21" s="6" t="n">
        <f aca="false">B21-Assumptions!$B$29</f>
        <v>391263.996662504</v>
      </c>
      <c r="N21" s="6" t="n">
        <f aca="false">W21-Assumptions!$B$29</f>
        <v>365869.847083099</v>
      </c>
      <c r="O21" s="6" t="n">
        <f aca="false">X21-Assumptions!$B$29</f>
        <v>317499.295980467</v>
      </c>
      <c r="P21" s="6" t="n">
        <f aca="false">Y21-Assumptions!$B$29</f>
        <v>263639.473986304</v>
      </c>
      <c r="Q21" s="6" t="n">
        <f aca="false">Z21-Assumptions!$B$29</f>
        <v>228414.365461998</v>
      </c>
      <c r="R21" s="6" t="n">
        <f aca="false">AA21-Assumptions!$B$29</f>
        <v>177878.209366516</v>
      </c>
      <c r="S21" s="6" t="n">
        <f aca="false">AB21-Assumptions!$B$29</f>
        <v>131384.406369392</v>
      </c>
      <c r="T21" s="6" t="n">
        <f aca="false">AC21-Assumptions!$B$29</f>
        <v>85906.4950635497</v>
      </c>
      <c r="U21" s="6" t="n">
        <f aca="false">AD21-Assumptions!$B$29</f>
        <v>40483.1956435927</v>
      </c>
      <c r="V21" s="6" t="n">
        <f aca="false">AE21-Assumptions!$B$29</f>
        <v>-9666.8759783783</v>
      </c>
      <c r="W21" s="6" t="n">
        <f aca="false">M21*(1+C21)</f>
        <v>415869.847083099</v>
      </c>
      <c r="X21" s="6" t="n">
        <f aca="false">N21*(1+D21)</f>
        <v>367499.295980467</v>
      </c>
      <c r="Y21" s="6" t="n">
        <f aca="false">O21*(1+E21)</f>
        <v>313639.473986304</v>
      </c>
      <c r="Z21" s="6" t="n">
        <f aca="false">P21*(1+F21)</f>
        <v>278414.365461998</v>
      </c>
      <c r="AA21" s="6" t="n">
        <f aca="false">Q21*(1+G21)</f>
        <v>227878.209366516</v>
      </c>
      <c r="AB21" s="6" t="n">
        <f aca="false">R21*(1+H21)</f>
        <v>181384.406369392</v>
      </c>
      <c r="AC21" s="6" t="n">
        <f aca="false">S21*(1+I21)</f>
        <v>135906.49506355</v>
      </c>
      <c r="AD21" s="6" t="n">
        <f aca="false">T21*(1+J21)</f>
        <v>90483.1956435927</v>
      </c>
      <c r="AE21" s="6" t="n">
        <f aca="false">U21*(1+K21)</f>
        <v>40333.1240216217</v>
      </c>
      <c r="AF21" s="6" t="n">
        <f aca="false">V21*(1+L21)</f>
        <v>-10179.9210566435</v>
      </c>
      <c r="AG21" s="6" t="n">
        <f aca="false">MIN(M21:V21)</f>
        <v>-9666.8759783783</v>
      </c>
      <c r="AH21" s="19" t="n">
        <f aca="false">IF(AG21&gt;=0,1,0)</f>
        <v>0</v>
      </c>
    </row>
    <row r="22" customFormat="false" ht="15" hidden="false" customHeight="false" outlineLevel="0" collapsed="false">
      <c r="A22" s="0" t="n">
        <f aca="false">ROW()-1</f>
        <v>21</v>
      </c>
      <c r="B22" s="6" t="n">
        <f aca="false">Assumptions!$B$35</f>
        <v>441263.996662504</v>
      </c>
      <c r="C22" s="8" t="n">
        <f aca="true">NORMINV(RAND(),Assumptions!$B$14,Assumptions!$B$15)</f>
        <v>0.0062760776511932</v>
      </c>
      <c r="D22" s="8" t="n">
        <f aca="true">NORMINV(RAND(),Assumptions!$B$14,Assumptions!$B$15)</f>
        <v>0.0793319880455607</v>
      </c>
      <c r="E22" s="8" t="n">
        <f aca="true">NORMINV(RAND(),Assumptions!$B$14,Assumptions!$B$15)</f>
        <v>0.0451052231092958</v>
      </c>
      <c r="F22" s="8" t="n">
        <f aca="true">NORMINV(RAND(),Assumptions!$B$14,Assumptions!$B$15)</f>
        <v>0.0595387648477857</v>
      </c>
      <c r="G22" s="8" t="n">
        <f aca="true">NORMINV(RAND(),Assumptions!$B$14,Assumptions!$B$15)</f>
        <v>0.0347410943692512</v>
      </c>
      <c r="H22" s="8" t="n">
        <f aca="true">NORMINV(RAND(),Assumptions!$B$14,Assumptions!$B$15)</f>
        <v>0.0174903324660238</v>
      </c>
      <c r="I22" s="8" t="n">
        <f aca="true">NORMINV(RAND(),Assumptions!$B$14,Assumptions!$B$15)</f>
        <v>0.0285731218283244</v>
      </c>
      <c r="J22" s="8" t="n">
        <f aca="true">NORMINV(RAND(),Assumptions!$B$14,Assumptions!$B$15)</f>
        <v>0.0588500748281976</v>
      </c>
      <c r="K22" s="8" t="n">
        <f aca="true">NORMINV(RAND(),Assumptions!$B$14,Assumptions!$B$15)</f>
        <v>0.0816497061085472</v>
      </c>
      <c r="L22" s="8" t="n">
        <f aca="true">NORMINV(RAND(),Assumptions!$B$14,Assumptions!$B$15)</f>
        <v>0.0109628480302318</v>
      </c>
      <c r="M22" s="6" t="n">
        <f aca="false">B22-Assumptions!$B$29</f>
        <v>391263.996662504</v>
      </c>
      <c r="N22" s="6" t="n">
        <f aca="false">W22-Assumptions!$B$29</f>
        <v>343719.599887674</v>
      </c>
      <c r="O22" s="6" t="n">
        <f aca="false">X22-Assumptions!$B$29</f>
        <v>320987.559076987</v>
      </c>
      <c r="P22" s="6" t="n">
        <f aca="false">Y22-Assumptions!$B$29</f>
        <v>285465.774544463</v>
      </c>
      <c r="Q22" s="6" t="n">
        <f aca="false">Z22-Assumptions!$B$29</f>
        <v>252462.054167157</v>
      </c>
      <c r="R22" s="6" t="n">
        <f aca="false">AA22-Assumptions!$B$29</f>
        <v>211232.862215633</v>
      </c>
      <c r="S22" s="6" t="n">
        <f aca="false">AB22-Assumptions!$B$29</f>
        <v>164927.395203534</v>
      </c>
      <c r="T22" s="6" t="n">
        <f aca="false">AC22-Assumptions!$B$29</f>
        <v>119639.885759513</v>
      </c>
      <c r="U22" s="6" t="n">
        <f aca="false">AD22-Assumptions!$B$29</f>
        <v>76680.7019888976</v>
      </c>
      <c r="V22" s="6" t="n">
        <f aca="false">AE22-Assumptions!$B$29</f>
        <v>32941.6587704881</v>
      </c>
      <c r="W22" s="6" t="n">
        <f aca="false">M22*(1+C22)</f>
        <v>393719.599887674</v>
      </c>
      <c r="X22" s="6" t="n">
        <f aca="false">N22*(1+D22)</f>
        <v>370987.559076987</v>
      </c>
      <c r="Y22" s="6" t="n">
        <f aca="false">O22*(1+E22)</f>
        <v>335465.774544463</v>
      </c>
      <c r="Z22" s="6" t="n">
        <f aca="false">P22*(1+F22)</f>
        <v>302462.054167157</v>
      </c>
      <c r="AA22" s="6" t="n">
        <f aca="false">Q22*(1+G22)</f>
        <v>261232.862215633</v>
      </c>
      <c r="AB22" s="6" t="n">
        <f aca="false">R22*(1+H22)</f>
        <v>214927.395203534</v>
      </c>
      <c r="AC22" s="6" t="n">
        <f aca="false">S22*(1+I22)</f>
        <v>169639.885759513</v>
      </c>
      <c r="AD22" s="6" t="n">
        <f aca="false">T22*(1+J22)</f>
        <v>126680.701988898</v>
      </c>
      <c r="AE22" s="6" t="n">
        <f aca="false">U22*(1+K22)</f>
        <v>82941.6587704881</v>
      </c>
      <c r="AF22" s="6" t="n">
        <f aca="false">V22*(1+L22)</f>
        <v>33302.7931694528</v>
      </c>
      <c r="AG22" s="6" t="n">
        <f aca="false">MIN(M22:V22)</f>
        <v>32941.6587704881</v>
      </c>
      <c r="AH22" s="19" t="n">
        <f aca="false">IF(AG22&gt;=0,1,0)</f>
        <v>1</v>
      </c>
    </row>
    <row r="23" customFormat="false" ht="15" hidden="false" customHeight="false" outlineLevel="0" collapsed="false">
      <c r="A23" s="0" t="n">
        <f aca="false">ROW()-1</f>
        <v>22</v>
      </c>
      <c r="B23" s="6" t="n">
        <f aca="false">Assumptions!$B$35</f>
        <v>441263.996662504</v>
      </c>
      <c r="C23" s="8" t="n">
        <f aca="true">NORMINV(RAND(),Assumptions!$B$14,Assumptions!$B$15)</f>
        <v>0.026549918281159</v>
      </c>
      <c r="D23" s="8" t="n">
        <f aca="true">NORMINV(RAND(),Assumptions!$B$14,Assumptions!$B$15)</f>
        <v>0.0556411631025313</v>
      </c>
      <c r="E23" s="8" t="n">
        <f aca="true">NORMINV(RAND(),Assumptions!$B$14,Assumptions!$B$15)</f>
        <v>0.0611033208304204</v>
      </c>
      <c r="F23" s="8" t="n">
        <f aca="true">NORMINV(RAND(),Assumptions!$B$14,Assumptions!$B$15)</f>
        <v>0.0511514677490496</v>
      </c>
      <c r="G23" s="8" t="n">
        <f aca="true">NORMINV(RAND(),Assumptions!$B$14,Assumptions!$B$15)</f>
        <v>-0.0246887777430847</v>
      </c>
      <c r="H23" s="8" t="n">
        <f aca="true">NORMINV(RAND(),Assumptions!$B$14,Assumptions!$B$15)</f>
        <v>0.0711712370217661</v>
      </c>
      <c r="I23" s="8" t="n">
        <f aca="true">NORMINV(RAND(),Assumptions!$B$14,Assumptions!$B$15)</f>
        <v>0.0959917976370921</v>
      </c>
      <c r="J23" s="8" t="n">
        <f aca="true">NORMINV(RAND(),Assumptions!$B$14,Assumptions!$B$15)</f>
        <v>0.0108396212423115</v>
      </c>
      <c r="K23" s="8" t="n">
        <f aca="true">NORMINV(RAND(),Assumptions!$B$14,Assumptions!$B$15)</f>
        <v>0.01966558146768</v>
      </c>
      <c r="L23" s="8" t="n">
        <f aca="true">NORMINV(RAND(),Assumptions!$B$14,Assumptions!$B$15)</f>
        <v>0.00176277777443969</v>
      </c>
      <c r="M23" s="6" t="n">
        <f aca="false">B23-Assumptions!$B$29</f>
        <v>391263.996662504</v>
      </c>
      <c r="N23" s="6" t="n">
        <f aca="false">W23-Assumptions!$B$29</f>
        <v>351652.023800253</v>
      </c>
      <c r="O23" s="6" t="n">
        <f aca="false">X23-Assumptions!$B$29</f>
        <v>321218.351411858</v>
      </c>
      <c r="P23" s="6" t="n">
        <f aca="false">Y23-Assumptions!$B$29</f>
        <v>290845.859394795</v>
      </c>
      <c r="Q23" s="6" t="n">
        <f aca="false">Z23-Assumptions!$B$29</f>
        <v>255723.051991573</v>
      </c>
      <c r="R23" s="6" t="n">
        <f aca="false">AA23-Assumptions!$B$29</f>
        <v>199409.562397169</v>
      </c>
      <c r="S23" s="6" t="n">
        <f aca="false">AB23-Assumptions!$B$29</f>
        <v>163601.787626945</v>
      </c>
      <c r="T23" s="6" t="n">
        <f aca="false">AC23-Assumptions!$B$29</f>
        <v>129306.217317897</v>
      </c>
      <c r="U23" s="6" t="n">
        <f aca="false">AD23-Assumptions!$B$29</f>
        <v>80707.8477378992</v>
      </c>
      <c r="V23" s="6" t="n">
        <f aca="false">AE23-Assumptions!$B$29</f>
        <v>32295.01449267</v>
      </c>
      <c r="W23" s="6" t="n">
        <f aca="false">M23*(1+C23)</f>
        <v>401652.023800253</v>
      </c>
      <c r="X23" s="6" t="n">
        <f aca="false">N23*(1+D23)</f>
        <v>371218.351411858</v>
      </c>
      <c r="Y23" s="6" t="n">
        <f aca="false">O23*(1+E23)</f>
        <v>340845.859394795</v>
      </c>
      <c r="Z23" s="6" t="n">
        <f aca="false">P23*(1+F23)</f>
        <v>305723.051991573</v>
      </c>
      <c r="AA23" s="6" t="n">
        <f aca="false">Q23*(1+G23)</f>
        <v>249409.562397169</v>
      </c>
      <c r="AB23" s="6" t="n">
        <f aca="false">R23*(1+H23)</f>
        <v>213601.787626945</v>
      </c>
      <c r="AC23" s="6" t="n">
        <f aca="false">S23*(1+I23)</f>
        <v>179306.217317897</v>
      </c>
      <c r="AD23" s="6" t="n">
        <f aca="false">T23*(1+J23)</f>
        <v>130707.847737899</v>
      </c>
      <c r="AE23" s="6" t="n">
        <f aca="false">U23*(1+K23)</f>
        <v>82295.01449267</v>
      </c>
      <c r="AF23" s="6" t="n">
        <f aca="false">V23*(1+L23)</f>
        <v>32351.9434264429</v>
      </c>
      <c r="AG23" s="6" t="n">
        <f aca="false">MIN(M23:V23)</f>
        <v>32295.01449267</v>
      </c>
      <c r="AH23" s="19" t="n">
        <f aca="false">IF(AG23&gt;=0,1,0)</f>
        <v>1</v>
      </c>
    </row>
    <row r="24" customFormat="false" ht="15" hidden="false" customHeight="false" outlineLevel="0" collapsed="false">
      <c r="A24" s="0" t="n">
        <f aca="false">ROW()-1</f>
        <v>23</v>
      </c>
      <c r="B24" s="6" t="n">
        <f aca="false">Assumptions!$B$35</f>
        <v>441263.996662504</v>
      </c>
      <c r="C24" s="8" t="n">
        <f aca="true">NORMINV(RAND(),Assumptions!$B$14,Assumptions!$B$15)</f>
        <v>0.0715013129008876</v>
      </c>
      <c r="D24" s="8" t="n">
        <f aca="true">NORMINV(RAND(),Assumptions!$B$14,Assumptions!$B$15)</f>
        <v>0.0335169879511395</v>
      </c>
      <c r="E24" s="8" t="n">
        <f aca="true">NORMINV(RAND(),Assumptions!$B$14,Assumptions!$B$15)</f>
        <v>0.0402627422665747</v>
      </c>
      <c r="F24" s="8" t="n">
        <f aca="true">NORMINV(RAND(),Assumptions!$B$14,Assumptions!$B$15)</f>
        <v>0.0709697202651875</v>
      </c>
      <c r="G24" s="8" t="n">
        <f aca="true">NORMINV(RAND(),Assumptions!$B$14,Assumptions!$B$15)</f>
        <v>0.0120496522947159</v>
      </c>
      <c r="H24" s="8" t="n">
        <f aca="true">NORMINV(RAND(),Assumptions!$B$14,Assumptions!$B$15)</f>
        <v>0.060375449930401</v>
      </c>
      <c r="I24" s="8" t="n">
        <f aca="true">NORMINV(RAND(),Assumptions!$B$14,Assumptions!$B$15)</f>
        <v>0.0330670455762402</v>
      </c>
      <c r="J24" s="8" t="n">
        <f aca="true">NORMINV(RAND(),Assumptions!$B$14,Assumptions!$B$15)</f>
        <v>-0.0121426400891463</v>
      </c>
      <c r="K24" s="8" t="n">
        <f aca="true">NORMINV(RAND(),Assumptions!$B$14,Assumptions!$B$15)</f>
        <v>0.0481557297817234</v>
      </c>
      <c r="L24" s="8" t="n">
        <f aca="true">NORMINV(RAND(),Assumptions!$B$14,Assumptions!$B$15)</f>
        <v>0.0595269334857602</v>
      </c>
      <c r="M24" s="6" t="n">
        <f aca="false">B24-Assumptions!$B$29</f>
        <v>391263.996662504</v>
      </c>
      <c r="N24" s="6" t="n">
        <f aca="false">W24-Assumptions!$B$29</f>
        <v>369239.886114721</v>
      </c>
      <c r="O24" s="6" t="n">
        <f aca="false">X24-Assumptions!$B$29</f>
        <v>331615.694928708</v>
      </c>
      <c r="P24" s="6" t="n">
        <f aca="false">Y24-Assumptions!$B$29</f>
        <v>294967.452185174</v>
      </c>
      <c r="Q24" s="6" t="n">
        <f aca="false">Z24-Assumptions!$B$29</f>
        <v>265901.209754091</v>
      </c>
      <c r="R24" s="6" t="n">
        <f aca="false">AA24-Assumptions!$B$29</f>
        <v>219105.226876372</v>
      </c>
      <c r="S24" s="6" t="n">
        <f aca="false">AB24-Assumptions!$B$29</f>
        <v>182333.803531135</v>
      </c>
      <c r="T24" s="6" t="n">
        <f aca="false">AC24-Assumptions!$B$29</f>
        <v>138363.043722589</v>
      </c>
      <c r="U24" s="6" t="n">
        <f aca="false">AD24-Assumptions!$B$29</f>
        <v>86682.9510810265</v>
      </c>
      <c r="V24" s="6" t="n">
        <f aca="false">AE24-Assumptions!$B$29</f>
        <v>40857.2318499668</v>
      </c>
      <c r="W24" s="6" t="n">
        <f aca="false">M24*(1+C24)</f>
        <v>419239.886114721</v>
      </c>
      <c r="X24" s="6" t="n">
        <f aca="false">N24*(1+D24)</f>
        <v>381615.694928708</v>
      </c>
      <c r="Y24" s="6" t="n">
        <f aca="false">O24*(1+E24)</f>
        <v>344967.452185174</v>
      </c>
      <c r="Z24" s="6" t="n">
        <f aca="false">P24*(1+F24)</f>
        <v>315901.209754091</v>
      </c>
      <c r="AA24" s="6" t="n">
        <f aca="false">Q24*(1+G24)</f>
        <v>269105.226876372</v>
      </c>
      <c r="AB24" s="6" t="n">
        <f aca="false">R24*(1+H24)</f>
        <v>232333.803531135</v>
      </c>
      <c r="AC24" s="6" t="n">
        <f aca="false">S24*(1+I24)</f>
        <v>188363.043722589</v>
      </c>
      <c r="AD24" s="6" t="n">
        <f aca="false">T24*(1+J24)</f>
        <v>136682.951081027</v>
      </c>
      <c r="AE24" s="6" t="n">
        <f aca="false">U24*(1+K24)</f>
        <v>90857.2318499668</v>
      </c>
      <c r="AF24" s="6" t="n">
        <f aca="false">V24*(1+L24)</f>
        <v>43289.337572712</v>
      </c>
      <c r="AG24" s="6" t="n">
        <f aca="false">MIN(M24:V24)</f>
        <v>40857.2318499668</v>
      </c>
      <c r="AH24" s="19" t="n">
        <f aca="false">IF(AG24&gt;=0,1,0)</f>
        <v>1</v>
      </c>
    </row>
    <row r="25" customFormat="false" ht="15" hidden="false" customHeight="false" outlineLevel="0" collapsed="false">
      <c r="A25" s="0" t="n">
        <f aca="false">ROW()-1</f>
        <v>24</v>
      </c>
      <c r="B25" s="6" t="n">
        <f aca="false">Assumptions!$B$35</f>
        <v>441263.996662504</v>
      </c>
      <c r="C25" s="8" t="n">
        <f aca="true">NORMINV(RAND(),Assumptions!$B$14,Assumptions!$B$15)</f>
        <v>0.0276446962679562</v>
      </c>
      <c r="D25" s="8" t="n">
        <f aca="true">NORMINV(RAND(),Assumptions!$B$14,Assumptions!$B$15)</f>
        <v>0.0758088175415666</v>
      </c>
      <c r="E25" s="8" t="n">
        <f aca="true">NORMINV(RAND(),Assumptions!$B$14,Assumptions!$B$15)</f>
        <v>0.110811657926616</v>
      </c>
      <c r="F25" s="8" t="n">
        <f aca="true">NORMINV(RAND(),Assumptions!$B$14,Assumptions!$B$15)</f>
        <v>0.000756464388373714</v>
      </c>
      <c r="G25" s="8" t="n">
        <f aca="true">NORMINV(RAND(),Assumptions!$B$14,Assumptions!$B$15)</f>
        <v>0.0849246694723759</v>
      </c>
      <c r="H25" s="8" t="n">
        <f aca="true">NORMINV(RAND(),Assumptions!$B$14,Assumptions!$B$15)</f>
        <v>0.101371852738739</v>
      </c>
      <c r="I25" s="8" t="n">
        <f aca="true">NORMINV(RAND(),Assumptions!$B$14,Assumptions!$B$15)</f>
        <v>0.0300037185221276</v>
      </c>
      <c r="J25" s="8" t="n">
        <f aca="true">NORMINV(RAND(),Assumptions!$B$14,Assumptions!$B$15)</f>
        <v>0.0768989699901589</v>
      </c>
      <c r="K25" s="8" t="n">
        <f aca="true">NORMINV(RAND(),Assumptions!$B$14,Assumptions!$B$15)</f>
        <v>0.0780661946898652</v>
      </c>
      <c r="L25" s="8" t="n">
        <f aca="true">NORMINV(RAND(),Assumptions!$B$14,Assumptions!$B$15)</f>
        <v>0.0350553668366909</v>
      </c>
      <c r="M25" s="6" t="n">
        <f aca="false">B25-Assumptions!$B$29</f>
        <v>391263.996662504</v>
      </c>
      <c r="N25" s="6" t="n">
        <f aca="false">W25-Assumptions!$B$29</f>
        <v>352080.371010825</v>
      </c>
      <c r="O25" s="6" t="n">
        <f aca="false">X25-Assumptions!$B$29</f>
        <v>328771.167616752</v>
      </c>
      <c r="P25" s="6" t="n">
        <f aca="false">Y25-Assumptions!$B$29</f>
        <v>315202.845778833</v>
      </c>
      <c r="Q25" s="6" t="n">
        <f aca="false">Z25-Assumptions!$B$29</f>
        <v>265441.285506779</v>
      </c>
      <c r="R25" s="6" t="n">
        <f aca="false">AA25-Assumptions!$B$29</f>
        <v>237983.798942765</v>
      </c>
      <c r="S25" s="6" t="n">
        <f aca="false">AB25-Assumptions!$B$29</f>
        <v>212108.657563397</v>
      </c>
      <c r="T25" s="6" t="n">
        <f aca="false">AC25-Assumptions!$B$29</f>
        <v>168472.706021035</v>
      </c>
      <c r="U25" s="6" t="n">
        <f aca="false">AD25-Assumptions!$B$29</f>
        <v>131428.083585508</v>
      </c>
      <c r="V25" s="6" t="n">
        <f aca="false">AE25-Assumptions!$B$29</f>
        <v>91688.1739464097</v>
      </c>
      <c r="W25" s="6" t="n">
        <f aca="false">M25*(1+C25)</f>
        <v>402080.371010825</v>
      </c>
      <c r="X25" s="6" t="n">
        <f aca="false">N25*(1+D25)</f>
        <v>378771.167616752</v>
      </c>
      <c r="Y25" s="6" t="n">
        <f aca="false">O25*(1+E25)</f>
        <v>365202.845778833</v>
      </c>
      <c r="Z25" s="6" t="n">
        <f aca="false">P25*(1+F25)</f>
        <v>315441.285506779</v>
      </c>
      <c r="AA25" s="6" t="n">
        <f aca="false">Q25*(1+G25)</f>
        <v>287983.798942765</v>
      </c>
      <c r="AB25" s="6" t="n">
        <f aca="false">R25*(1+H25)</f>
        <v>262108.657563397</v>
      </c>
      <c r="AC25" s="6" t="n">
        <f aca="false">S25*(1+I25)</f>
        <v>218472.706021035</v>
      </c>
      <c r="AD25" s="6" t="n">
        <f aca="false">T25*(1+J25)</f>
        <v>181428.083585508</v>
      </c>
      <c r="AE25" s="6" t="n">
        <f aca="false">U25*(1+K25)</f>
        <v>141688.17394641</v>
      </c>
      <c r="AF25" s="6" t="n">
        <f aca="false">V25*(1+L25)</f>
        <v>94902.3365186874</v>
      </c>
      <c r="AG25" s="6" t="n">
        <f aca="false">MIN(M25:V25)</f>
        <v>91688.1739464097</v>
      </c>
      <c r="AH25" s="19" t="n">
        <f aca="false">IF(AG25&gt;=0,1,0)</f>
        <v>1</v>
      </c>
    </row>
    <row r="26" customFormat="false" ht="15" hidden="false" customHeight="false" outlineLevel="0" collapsed="false">
      <c r="A26" s="0" t="n">
        <f aca="false">ROW()-1</f>
        <v>25</v>
      </c>
      <c r="B26" s="6" t="n">
        <f aca="false">Assumptions!$B$35</f>
        <v>441263.996662504</v>
      </c>
      <c r="C26" s="8" t="n">
        <f aca="true">NORMINV(RAND(),Assumptions!$B$14,Assumptions!$B$15)</f>
        <v>0.0512258902858054</v>
      </c>
      <c r="D26" s="8" t="n">
        <f aca="true">NORMINV(RAND(),Assumptions!$B$14,Assumptions!$B$15)</f>
        <v>0.0463116677739643</v>
      </c>
      <c r="E26" s="8" t="n">
        <f aca="true">NORMINV(RAND(),Assumptions!$B$14,Assumptions!$B$15)</f>
        <v>-0.0316364155356639</v>
      </c>
      <c r="F26" s="8" t="n">
        <f aca="true">NORMINV(RAND(),Assumptions!$B$14,Assumptions!$B$15)</f>
        <v>-0.00112044846216867</v>
      </c>
      <c r="G26" s="8" t="n">
        <f aca="true">NORMINV(RAND(),Assumptions!$B$14,Assumptions!$B$15)</f>
        <v>0.0557286542366805</v>
      </c>
      <c r="H26" s="8" t="n">
        <f aca="true">NORMINV(RAND(),Assumptions!$B$14,Assumptions!$B$15)</f>
        <v>0.102116717973997</v>
      </c>
      <c r="I26" s="8" t="n">
        <f aca="true">NORMINV(RAND(),Assumptions!$B$14,Assumptions!$B$15)</f>
        <v>0.0518788518930319</v>
      </c>
      <c r="J26" s="8" t="n">
        <f aca="true">NORMINV(RAND(),Assumptions!$B$14,Assumptions!$B$15)</f>
        <v>0.0754306146636539</v>
      </c>
      <c r="K26" s="8" t="n">
        <f aca="true">NORMINV(RAND(),Assumptions!$B$14,Assumptions!$B$15)</f>
        <v>0.0482609728543097</v>
      </c>
      <c r="L26" s="8" t="n">
        <f aca="true">NORMINV(RAND(),Assumptions!$B$14,Assumptions!$B$15)</f>
        <v>0.0671645445363092</v>
      </c>
      <c r="M26" s="6" t="n">
        <f aca="false">B26-Assumptions!$B$29</f>
        <v>391263.996662504</v>
      </c>
      <c r="N26" s="6" t="n">
        <f aca="false">W26-Assumptions!$B$29</f>
        <v>361306.843228323</v>
      </c>
      <c r="O26" s="6" t="n">
        <f aca="false">X26-Assumptions!$B$29</f>
        <v>328039.565716373</v>
      </c>
      <c r="P26" s="6" t="n">
        <f aca="false">Y26-Assumptions!$B$29</f>
        <v>267661.569703231</v>
      </c>
      <c r="Q26" s="6" t="n">
        <f aca="false">Z26-Assumptions!$B$29</f>
        <v>217361.668709075</v>
      </c>
      <c r="R26" s="6" t="n">
        <f aca="false">AA26-Assumptions!$B$29</f>
        <v>179474.941988871</v>
      </c>
      <c r="S26" s="6" t="n">
        <f aca="false">AB26-Assumptions!$B$29</f>
        <v>147802.334023348</v>
      </c>
      <c r="T26" s="6" t="n">
        <f aca="false">AC26-Assumptions!$B$29</f>
        <v>105470.149419589</v>
      </c>
      <c r="U26" s="6" t="n">
        <f aca="false">AD26-Assumptions!$B$29</f>
        <v>63425.8276189765</v>
      </c>
      <c r="V26" s="6" t="n">
        <f aca="false">AE26-Assumptions!$B$29</f>
        <v>16486.8197639581</v>
      </c>
      <c r="W26" s="6" t="n">
        <f aca="false">M26*(1+C26)</f>
        <v>411306.843228323</v>
      </c>
      <c r="X26" s="6" t="n">
        <f aca="false">N26*(1+D26)</f>
        <v>378039.565716373</v>
      </c>
      <c r="Y26" s="6" t="n">
        <f aca="false">O26*(1+E26)</f>
        <v>317661.569703231</v>
      </c>
      <c r="Z26" s="6" t="n">
        <f aca="false">P26*(1+F26)</f>
        <v>267361.668709075</v>
      </c>
      <c r="AA26" s="6" t="n">
        <f aca="false">Q26*(1+G26)</f>
        <v>229474.941988871</v>
      </c>
      <c r="AB26" s="6" t="n">
        <f aca="false">R26*(1+H26)</f>
        <v>197802.334023348</v>
      </c>
      <c r="AC26" s="6" t="n">
        <f aca="false">S26*(1+I26)</f>
        <v>155470.149419589</v>
      </c>
      <c r="AD26" s="6" t="n">
        <f aca="false">T26*(1+J26)</f>
        <v>113425.827618977</v>
      </c>
      <c r="AE26" s="6" t="n">
        <f aca="false">U26*(1+K26)</f>
        <v>66486.8197639581</v>
      </c>
      <c r="AF26" s="6" t="n">
        <f aca="false">V26*(1+L26)</f>
        <v>17594.1495042565</v>
      </c>
      <c r="AG26" s="6" t="n">
        <f aca="false">MIN(M26:V26)</f>
        <v>16486.8197639581</v>
      </c>
      <c r="AH26" s="19" t="n">
        <f aca="false">IF(AG26&gt;=0,1,0)</f>
        <v>1</v>
      </c>
    </row>
    <row r="27" customFormat="false" ht="15" hidden="false" customHeight="false" outlineLevel="0" collapsed="false">
      <c r="A27" s="0" t="n">
        <f aca="false">ROW()-1</f>
        <v>26</v>
      </c>
      <c r="B27" s="6" t="n">
        <f aca="false">Assumptions!$B$35</f>
        <v>441263.996662504</v>
      </c>
      <c r="C27" s="8" t="n">
        <f aca="true">NORMINV(RAND(),Assumptions!$B$14,Assumptions!$B$15)</f>
        <v>0.0584142493603396</v>
      </c>
      <c r="D27" s="8" t="n">
        <f aca="true">NORMINV(RAND(),Assumptions!$B$14,Assumptions!$B$15)</f>
        <v>0.0691419004913501</v>
      </c>
      <c r="E27" s="8" t="n">
        <f aca="true">NORMINV(RAND(),Assumptions!$B$14,Assumptions!$B$15)</f>
        <v>0.0529454190992947</v>
      </c>
      <c r="F27" s="8" t="n">
        <f aca="true">NORMINV(RAND(),Assumptions!$B$14,Assumptions!$B$15)</f>
        <v>0.0418869673227292</v>
      </c>
      <c r="G27" s="8" t="n">
        <f aca="true">NORMINV(RAND(),Assumptions!$B$14,Assumptions!$B$15)</f>
        <v>0.0445833156237555</v>
      </c>
      <c r="H27" s="8" t="n">
        <f aca="true">NORMINV(RAND(),Assumptions!$B$14,Assumptions!$B$15)</f>
        <v>0.00278400527624335</v>
      </c>
      <c r="I27" s="8" t="n">
        <f aca="true">NORMINV(RAND(),Assumptions!$B$14,Assumptions!$B$15)</f>
        <v>0.0694233472266451</v>
      </c>
      <c r="J27" s="8" t="n">
        <f aca="true">NORMINV(RAND(),Assumptions!$B$14,Assumptions!$B$15)</f>
        <v>-0.000453487921627672</v>
      </c>
      <c r="K27" s="8" t="n">
        <f aca="true">NORMINV(RAND(),Assumptions!$B$14,Assumptions!$B$15)</f>
        <v>0.0167362546942206</v>
      </c>
      <c r="L27" s="8" t="n">
        <f aca="true">NORMINV(RAND(),Assumptions!$B$14,Assumptions!$B$15)</f>
        <v>0.0655913126824315</v>
      </c>
      <c r="M27" s="6" t="n">
        <f aca="false">B27-Assumptions!$B$29</f>
        <v>391263.996662504</v>
      </c>
      <c r="N27" s="6" t="n">
        <f aca="false">W27-Assumptions!$B$29</f>
        <v>364119.38932927</v>
      </c>
      <c r="O27" s="6" t="n">
        <f aca="false">X27-Assumptions!$B$29</f>
        <v>339295.295913246</v>
      </c>
      <c r="P27" s="6" t="n">
        <f aca="false">Y27-Assumptions!$B$29</f>
        <v>307259.427553792</v>
      </c>
      <c r="Q27" s="6" t="n">
        <f aca="false">Z27-Assumptions!$B$29</f>
        <v>270129.593155338</v>
      </c>
      <c r="R27" s="6" t="n">
        <f aca="false">AA27-Assumptions!$B$29</f>
        <v>232172.866066299</v>
      </c>
      <c r="S27" s="6" t="n">
        <f aca="false">AB27-Assumptions!$B$29</f>
        <v>182819.236550428</v>
      </c>
      <c r="T27" s="6" t="n">
        <f aca="false">AC27-Assumptions!$B$29</f>
        <v>145511.159889178</v>
      </c>
      <c r="U27" s="6" t="n">
        <f aca="false">AD27-Assumptions!$B$29</f>
        <v>95445.1723357066</v>
      </c>
      <c r="V27" s="6" t="n">
        <f aca="false">AE27-Assumptions!$B$29</f>
        <v>47042.5670492508</v>
      </c>
      <c r="W27" s="6" t="n">
        <f aca="false">M27*(1+C27)</f>
        <v>414119.38932927</v>
      </c>
      <c r="X27" s="6" t="n">
        <f aca="false">N27*(1+D27)</f>
        <v>389295.295913246</v>
      </c>
      <c r="Y27" s="6" t="n">
        <f aca="false">O27*(1+E27)</f>
        <v>357259.427553792</v>
      </c>
      <c r="Z27" s="6" t="n">
        <f aca="false">P27*(1+F27)</f>
        <v>320129.593155338</v>
      </c>
      <c r="AA27" s="6" t="n">
        <f aca="false">Q27*(1+G27)</f>
        <v>282172.866066299</v>
      </c>
      <c r="AB27" s="6" t="n">
        <f aca="false">R27*(1+H27)</f>
        <v>232819.236550428</v>
      </c>
      <c r="AC27" s="6" t="n">
        <f aca="false">S27*(1+I27)</f>
        <v>195511.159889178</v>
      </c>
      <c r="AD27" s="6" t="n">
        <f aca="false">T27*(1+J27)</f>
        <v>145445.172335707</v>
      </c>
      <c r="AE27" s="6" t="n">
        <f aca="false">U27*(1+K27)</f>
        <v>97042.5670492508</v>
      </c>
      <c r="AF27" s="6" t="n">
        <f aca="false">V27*(1+L27)</f>
        <v>50128.1507739625</v>
      </c>
      <c r="AG27" s="6" t="n">
        <f aca="false">MIN(M27:V27)</f>
        <v>47042.5670492508</v>
      </c>
      <c r="AH27" s="19" t="n">
        <f aca="false">IF(AG27&gt;=0,1,0)</f>
        <v>1</v>
      </c>
    </row>
    <row r="28" customFormat="false" ht="15" hidden="false" customHeight="false" outlineLevel="0" collapsed="false">
      <c r="A28" s="0" t="n">
        <f aca="false">ROW()-1</f>
        <v>27</v>
      </c>
      <c r="B28" s="6" t="n">
        <f aca="false">Assumptions!$B$35</f>
        <v>441263.996662504</v>
      </c>
      <c r="C28" s="8" t="n">
        <f aca="true">NORMINV(RAND(),Assumptions!$B$14,Assumptions!$B$15)</f>
        <v>0.0207317340988811</v>
      </c>
      <c r="D28" s="8" t="n">
        <f aca="true">NORMINV(RAND(),Assumptions!$B$14,Assumptions!$B$15)</f>
        <v>0.0371729008383581</v>
      </c>
      <c r="E28" s="8" t="n">
        <f aca="true">NORMINV(RAND(),Assumptions!$B$14,Assumptions!$B$15)</f>
        <v>0.0658856397817327</v>
      </c>
      <c r="F28" s="8" t="n">
        <f aca="true">NORMINV(RAND(),Assumptions!$B$14,Assumptions!$B$15)</f>
        <v>0.00197153333840652</v>
      </c>
      <c r="G28" s="8" t="n">
        <f aca="true">NORMINV(RAND(),Assumptions!$B$14,Assumptions!$B$15)</f>
        <v>0.00296475861203416</v>
      </c>
      <c r="H28" s="8" t="n">
        <f aca="true">NORMINV(RAND(),Assumptions!$B$14,Assumptions!$B$15)</f>
        <v>0.0247302019326588</v>
      </c>
      <c r="I28" s="8" t="n">
        <f aca="true">NORMINV(RAND(),Assumptions!$B$14,Assumptions!$B$15)</f>
        <v>0.0233675068262731</v>
      </c>
      <c r="J28" s="8" t="n">
        <f aca="true">NORMINV(RAND(),Assumptions!$B$14,Assumptions!$B$15)</f>
        <v>0.0866197660600903</v>
      </c>
      <c r="K28" s="8" t="n">
        <f aca="true">NORMINV(RAND(),Assumptions!$B$14,Assumptions!$B$15)</f>
        <v>0.000935548631767598</v>
      </c>
      <c r="L28" s="8" t="n">
        <f aca="true">NORMINV(RAND(),Assumptions!$B$14,Assumptions!$B$15)</f>
        <v>0.00821225484754535</v>
      </c>
      <c r="M28" s="6" t="n">
        <f aca="false">B28-Assumptions!$B$29</f>
        <v>391263.996662504</v>
      </c>
      <c r="N28" s="6" t="n">
        <f aca="false">W28-Assumptions!$B$29</f>
        <v>349375.577803776</v>
      </c>
      <c r="O28" s="6" t="n">
        <f aca="false">X28-Assumptions!$B$29</f>
        <v>312362.88151282</v>
      </c>
      <c r="P28" s="6" t="n">
        <f aca="false">Y28-Assumptions!$B$29</f>
        <v>282943.109805358</v>
      </c>
      <c r="Q28" s="6" t="n">
        <f aca="false">Z28-Assumptions!$B$29</f>
        <v>233500.941579211</v>
      </c>
      <c r="R28" s="6" t="n">
        <f aca="false">AA28-Assumptions!$B$29</f>
        <v>184193.215506676</v>
      </c>
      <c r="S28" s="6" t="n">
        <f aca="false">AB28-Assumptions!$B$29</f>
        <v>138748.350920782</v>
      </c>
      <c r="T28" s="6" t="n">
        <f aca="false">AC28-Assumptions!$B$29</f>
        <v>91990.5539580576</v>
      </c>
      <c r="U28" s="6" t="n">
        <f aca="false">AD28-Assumptions!$B$29</f>
        <v>49958.7542216427</v>
      </c>
      <c r="V28" s="6" t="n">
        <f aca="false">AE28-Assumptions!$B$29</f>
        <v>5.49306579957192</v>
      </c>
      <c r="W28" s="6" t="n">
        <f aca="false">M28*(1+C28)</f>
        <v>399375.577803776</v>
      </c>
      <c r="X28" s="6" t="n">
        <f aca="false">N28*(1+D28)</f>
        <v>362362.88151282</v>
      </c>
      <c r="Y28" s="6" t="n">
        <f aca="false">O28*(1+E28)</f>
        <v>332943.109805358</v>
      </c>
      <c r="Z28" s="6" t="n">
        <f aca="false">P28*(1+F28)</f>
        <v>283500.941579211</v>
      </c>
      <c r="AA28" s="6" t="n">
        <f aca="false">Q28*(1+G28)</f>
        <v>234193.215506676</v>
      </c>
      <c r="AB28" s="6" t="n">
        <f aca="false">R28*(1+H28)</f>
        <v>188748.350920782</v>
      </c>
      <c r="AC28" s="6" t="n">
        <f aca="false">S28*(1+I28)</f>
        <v>141990.553958058</v>
      </c>
      <c r="AD28" s="6" t="n">
        <f aca="false">T28*(1+J28)</f>
        <v>99958.7542216427</v>
      </c>
      <c r="AE28" s="6" t="n">
        <f aca="false">U28*(1+K28)</f>
        <v>50005.4930657996</v>
      </c>
      <c r="AF28" s="6" t="n">
        <f aca="false">V28*(1+L28)</f>
        <v>5.53817625581234</v>
      </c>
      <c r="AG28" s="6" t="n">
        <f aca="false">MIN(M28:V28)</f>
        <v>5.49306579957192</v>
      </c>
      <c r="AH28" s="19" t="n">
        <f aca="false">IF(AG28&gt;=0,1,0)</f>
        <v>1</v>
      </c>
    </row>
    <row r="29" customFormat="false" ht="15" hidden="false" customHeight="false" outlineLevel="0" collapsed="false">
      <c r="A29" s="0" t="n">
        <f aca="false">ROW()-1</f>
        <v>28</v>
      </c>
      <c r="B29" s="6" t="n">
        <f aca="false">Assumptions!$B$35</f>
        <v>441263.996662504</v>
      </c>
      <c r="C29" s="8" t="n">
        <f aca="true">NORMINV(RAND(),Assumptions!$B$14,Assumptions!$B$15)</f>
        <v>0.0153745267598099</v>
      </c>
      <c r="D29" s="8" t="n">
        <f aca="true">NORMINV(RAND(),Assumptions!$B$14,Assumptions!$B$15)</f>
        <v>-0.0170906466555939</v>
      </c>
      <c r="E29" s="8" t="n">
        <f aca="true">NORMINV(RAND(),Assumptions!$B$14,Assumptions!$B$15)</f>
        <v>0.117141386058551</v>
      </c>
      <c r="F29" s="8" t="n">
        <f aca="true">NORMINV(RAND(),Assumptions!$B$14,Assumptions!$B$15)</f>
        <v>0.0365717569044096</v>
      </c>
      <c r="G29" s="8" t="n">
        <f aca="true">NORMINV(RAND(),Assumptions!$B$14,Assumptions!$B$15)</f>
        <v>0.0593814860378904</v>
      </c>
      <c r="H29" s="8" t="n">
        <f aca="true">NORMINV(RAND(),Assumptions!$B$14,Assumptions!$B$15)</f>
        <v>0.0499961706883463</v>
      </c>
      <c r="I29" s="8" t="n">
        <f aca="true">NORMINV(RAND(),Assumptions!$B$14,Assumptions!$B$15)</f>
        <v>0.037931788960264</v>
      </c>
      <c r="J29" s="8" t="n">
        <f aca="true">NORMINV(RAND(),Assumptions!$B$14,Assumptions!$B$15)</f>
        <v>0.0871192629679415</v>
      </c>
      <c r="K29" s="8" t="n">
        <f aca="true">NORMINV(RAND(),Assumptions!$B$14,Assumptions!$B$15)</f>
        <v>0.0504112506038169</v>
      </c>
      <c r="L29" s="8" t="n">
        <f aca="true">NORMINV(RAND(),Assumptions!$B$14,Assumptions!$B$15)</f>
        <v>0.0625782962779315</v>
      </c>
      <c r="M29" s="6" t="n">
        <f aca="false">B29-Assumptions!$B$29</f>
        <v>391263.996662504</v>
      </c>
      <c r="N29" s="6" t="n">
        <f aca="false">W29-Assumptions!$B$29</f>
        <v>347279.495449341</v>
      </c>
      <c r="O29" s="6" t="n">
        <f aca="false">X29-Assumptions!$B$29</f>
        <v>291344.264301884</v>
      </c>
      <c r="P29" s="6" t="n">
        <f aca="false">Y29-Assumptions!$B$29</f>
        <v>275472.735242415</v>
      </c>
      <c r="Q29" s="6" t="n">
        <f aca="false">Z29-Assumptions!$B$29</f>
        <v>235547.257149494</v>
      </c>
      <c r="R29" s="6" t="n">
        <f aca="false">AA29-Assumptions!$B$29</f>
        <v>199534.403311179</v>
      </c>
      <c r="S29" s="6" t="n">
        <f aca="false">AB29-Assumptions!$B$29</f>
        <v>159510.359397323</v>
      </c>
      <c r="T29" s="6" t="n">
        <f aca="false">AC29-Assumptions!$B$29</f>
        <v>115560.872686958</v>
      </c>
      <c r="U29" s="6" t="n">
        <f aca="false">AD29-Assumptions!$B$29</f>
        <v>75628.4507433775</v>
      </c>
      <c r="V29" s="6" t="n">
        <f aca="false">AE29-Assumptions!$B$29</f>
        <v>29440.9755265804</v>
      </c>
      <c r="W29" s="6" t="n">
        <f aca="false">M29*(1+C29)</f>
        <v>397279.495449341</v>
      </c>
      <c r="X29" s="6" t="n">
        <f aca="false">N29*(1+D29)</f>
        <v>341344.264301884</v>
      </c>
      <c r="Y29" s="6" t="n">
        <f aca="false">O29*(1+E29)</f>
        <v>325472.735242415</v>
      </c>
      <c r="Z29" s="6" t="n">
        <f aca="false">P29*(1+F29)</f>
        <v>285547.257149494</v>
      </c>
      <c r="AA29" s="6" t="n">
        <f aca="false">Q29*(1+G29)</f>
        <v>249534.403311179</v>
      </c>
      <c r="AB29" s="6" t="n">
        <f aca="false">R29*(1+H29)</f>
        <v>209510.359397323</v>
      </c>
      <c r="AC29" s="6" t="n">
        <f aca="false">S29*(1+I29)</f>
        <v>165560.872686958</v>
      </c>
      <c r="AD29" s="6" t="n">
        <f aca="false">T29*(1+J29)</f>
        <v>125628.450743378</v>
      </c>
      <c r="AE29" s="6" t="n">
        <f aca="false">U29*(1+K29)</f>
        <v>79440.9755265804</v>
      </c>
      <c r="AF29" s="6" t="n">
        <f aca="false">V29*(1+L29)</f>
        <v>31283.341615794</v>
      </c>
      <c r="AG29" s="6" t="n">
        <f aca="false">MIN(M29:V29)</f>
        <v>29440.9755265804</v>
      </c>
      <c r="AH29" s="19" t="n">
        <f aca="false">IF(AG29&gt;=0,1,0)</f>
        <v>1</v>
      </c>
    </row>
    <row r="30" customFormat="false" ht="15" hidden="false" customHeight="false" outlineLevel="0" collapsed="false">
      <c r="A30" s="0" t="n">
        <f aca="false">ROW()-1</f>
        <v>29</v>
      </c>
      <c r="B30" s="6" t="n">
        <f aca="false">Assumptions!$B$35</f>
        <v>441263.996662504</v>
      </c>
      <c r="C30" s="8" t="n">
        <f aca="true">NORMINV(RAND(),Assumptions!$B$14,Assumptions!$B$15)</f>
        <v>0.0234323129832647</v>
      </c>
      <c r="D30" s="8" t="n">
        <f aca="true">NORMINV(RAND(),Assumptions!$B$14,Assumptions!$B$15)</f>
        <v>-0.0333679527820209</v>
      </c>
      <c r="E30" s="8" t="n">
        <f aca="true">NORMINV(RAND(),Assumptions!$B$14,Assumptions!$B$15)</f>
        <v>0.0192524746749023</v>
      </c>
      <c r="F30" s="8" t="n">
        <f aca="true">NORMINV(RAND(),Assumptions!$B$14,Assumptions!$B$15)</f>
        <v>0.0324111021049183</v>
      </c>
      <c r="G30" s="8" t="n">
        <f aca="true">NORMINV(RAND(),Assumptions!$B$14,Assumptions!$B$15)</f>
        <v>0.0335613435592051</v>
      </c>
      <c r="H30" s="8" t="n">
        <f aca="true">NORMINV(RAND(),Assumptions!$B$14,Assumptions!$B$15)</f>
        <v>0.0029412852606787</v>
      </c>
      <c r="I30" s="8" t="n">
        <f aca="true">NORMINV(RAND(),Assumptions!$B$14,Assumptions!$B$15)</f>
        <v>0.0396635614030786</v>
      </c>
      <c r="J30" s="8" t="n">
        <f aca="true">NORMINV(RAND(),Assumptions!$B$14,Assumptions!$B$15)</f>
        <v>0.0673505072481553</v>
      </c>
      <c r="K30" s="8" t="n">
        <f aca="true">NORMINV(RAND(),Assumptions!$B$14,Assumptions!$B$15)</f>
        <v>0.0542535598099247</v>
      </c>
      <c r="L30" s="8" t="n">
        <f aca="true">NORMINV(RAND(),Assumptions!$B$14,Assumptions!$B$15)</f>
        <v>-0.00545876671867063</v>
      </c>
      <c r="M30" s="6" t="n">
        <f aca="false">B30-Assumptions!$B$29</f>
        <v>391263.996662504</v>
      </c>
      <c r="N30" s="6" t="n">
        <f aca="false">W30-Assumptions!$B$29</f>
        <v>350432.217091382</v>
      </c>
      <c r="O30" s="6" t="n">
        <f aca="false">X30-Assumptions!$B$29</f>
        <v>288739.011418178</v>
      </c>
      <c r="P30" s="6" t="n">
        <f aca="false">Y30-Assumptions!$B$29</f>
        <v>244297.951923163</v>
      </c>
      <c r="Q30" s="6" t="n">
        <f aca="false">Z30-Assumptions!$B$29</f>
        <v>202215.917786967</v>
      </c>
      <c r="R30" s="6" t="n">
        <f aca="false">AA30-Assumptions!$B$29</f>
        <v>159002.555676955</v>
      </c>
      <c r="S30" s="6" t="n">
        <f aca="false">AB30-Assumptions!$B$29</f>
        <v>109470.227550378</v>
      </c>
      <c r="T30" s="6" t="n">
        <f aca="false">AC30-Assumptions!$B$29</f>
        <v>63812.2066426317</v>
      </c>
      <c r="U30" s="6" t="n">
        <f aca="false">AD30-Assumptions!$B$29</f>
        <v>18109.9911286371</v>
      </c>
      <c r="V30" s="6" t="n">
        <f aca="false">AE30-Assumptions!$B$29</f>
        <v>-30907.4773845082</v>
      </c>
      <c r="W30" s="6" t="n">
        <f aca="false">M30*(1+C30)</f>
        <v>400432.217091382</v>
      </c>
      <c r="X30" s="6" t="n">
        <f aca="false">N30*(1+D30)</f>
        <v>338739.011418178</v>
      </c>
      <c r="Y30" s="6" t="n">
        <f aca="false">O30*(1+E30)</f>
        <v>294297.951923163</v>
      </c>
      <c r="Z30" s="6" t="n">
        <f aca="false">P30*(1+F30)</f>
        <v>252215.917786967</v>
      </c>
      <c r="AA30" s="6" t="n">
        <f aca="false">Q30*(1+G30)</f>
        <v>209002.555676955</v>
      </c>
      <c r="AB30" s="6" t="n">
        <f aca="false">R30*(1+H30)</f>
        <v>159470.227550378</v>
      </c>
      <c r="AC30" s="6" t="n">
        <f aca="false">S30*(1+I30)</f>
        <v>113812.206642632</v>
      </c>
      <c r="AD30" s="6" t="n">
        <f aca="false">T30*(1+J30)</f>
        <v>68109.9911286371</v>
      </c>
      <c r="AE30" s="6" t="n">
        <f aca="false">U30*(1+K30)</f>
        <v>19092.5226154918</v>
      </c>
      <c r="AF30" s="6" t="n">
        <f aca="false">V30*(1+L30)</f>
        <v>-30738.7606756036</v>
      </c>
      <c r="AG30" s="6" t="n">
        <f aca="false">MIN(M30:V30)</f>
        <v>-30907.4773845082</v>
      </c>
      <c r="AH30" s="19" t="n">
        <f aca="false">IF(AG30&gt;=0,1,0)</f>
        <v>0</v>
      </c>
    </row>
    <row r="31" customFormat="false" ht="15" hidden="false" customHeight="false" outlineLevel="0" collapsed="false">
      <c r="A31" s="0" t="n">
        <f aca="false">ROW()-1</f>
        <v>30</v>
      </c>
      <c r="B31" s="6" t="n">
        <f aca="false">Assumptions!$B$35</f>
        <v>441263.996662504</v>
      </c>
      <c r="C31" s="8" t="n">
        <f aca="true">NORMINV(RAND(),Assumptions!$B$14,Assumptions!$B$15)</f>
        <v>0.0656484905646321</v>
      </c>
      <c r="D31" s="8" t="n">
        <f aca="true">NORMINV(RAND(),Assumptions!$B$14,Assumptions!$B$15)</f>
        <v>0.100052701941108</v>
      </c>
      <c r="E31" s="8" t="n">
        <f aca="true">NORMINV(RAND(),Assumptions!$B$14,Assumptions!$B$15)</f>
        <v>0.0023903384180545</v>
      </c>
      <c r="F31" s="8" t="n">
        <f aca="true">NORMINV(RAND(),Assumptions!$B$14,Assumptions!$B$15)</f>
        <v>0.0575026971350214</v>
      </c>
      <c r="G31" s="8" t="n">
        <f aca="true">NORMINV(RAND(),Assumptions!$B$14,Assumptions!$B$15)</f>
        <v>0.0411255877171839</v>
      </c>
      <c r="H31" s="8" t="n">
        <f aca="true">NORMINV(RAND(),Assumptions!$B$14,Assumptions!$B$15)</f>
        <v>0.0545019987380646</v>
      </c>
      <c r="I31" s="8" t="n">
        <f aca="true">NORMINV(RAND(),Assumptions!$B$14,Assumptions!$B$15)</f>
        <v>0.0955171971479686</v>
      </c>
      <c r="J31" s="8" t="n">
        <f aca="true">NORMINV(RAND(),Assumptions!$B$14,Assumptions!$B$15)</f>
        <v>0.00293725906768432</v>
      </c>
      <c r="K31" s="8" t="n">
        <f aca="true">NORMINV(RAND(),Assumptions!$B$14,Assumptions!$B$15)</f>
        <v>0.0949151532159289</v>
      </c>
      <c r="L31" s="8" t="n">
        <f aca="true">NORMINV(RAND(),Assumptions!$B$14,Assumptions!$B$15)</f>
        <v>0.0381841430566076</v>
      </c>
      <c r="M31" s="6" t="n">
        <f aca="false">B31-Assumptions!$B$29</f>
        <v>391263.996662504</v>
      </c>
      <c r="N31" s="6" t="n">
        <f aca="false">W31-Assumptions!$B$29</f>
        <v>366949.887455682</v>
      </c>
      <c r="O31" s="6" t="n">
        <f aca="false">X31-Assumptions!$B$29</f>
        <v>353664.215172608</v>
      </c>
      <c r="P31" s="6" t="n">
        <f aca="false">Y31-Assumptions!$B$29</f>
        <v>304509.592333227</v>
      </c>
      <c r="Q31" s="6" t="n">
        <f aca="false">Z31-Assumptions!$B$29</f>
        <v>272019.715195873</v>
      </c>
      <c r="R31" s="6" t="n">
        <f aca="false">AA31-Assumptions!$B$29</f>
        <v>233206.685853964</v>
      </c>
      <c r="S31" s="6" t="n">
        <f aca="false">AB31-Assumptions!$B$29</f>
        <v>195916.916352085</v>
      </c>
      <c r="T31" s="6" t="n">
        <f aca="false">AC31-Assumptions!$B$29</f>
        <v>164630.351075909</v>
      </c>
      <c r="U31" s="6" t="n">
        <f aca="false">AD31-Assumptions!$B$29</f>
        <v>115113.913067423</v>
      </c>
      <c r="V31" s="6" t="n">
        <f aca="false">AE31-Assumptions!$B$29</f>
        <v>76039.9677635028</v>
      </c>
      <c r="W31" s="6" t="n">
        <f aca="false">M31*(1+C31)</f>
        <v>416949.887455682</v>
      </c>
      <c r="X31" s="6" t="n">
        <f aca="false">N31*(1+D31)</f>
        <v>403664.215172608</v>
      </c>
      <c r="Y31" s="6" t="n">
        <f aca="false">O31*(1+E31)</f>
        <v>354509.592333227</v>
      </c>
      <c r="Z31" s="6" t="n">
        <f aca="false">P31*(1+F31)</f>
        <v>322019.715195873</v>
      </c>
      <c r="AA31" s="6" t="n">
        <f aca="false">Q31*(1+G31)</f>
        <v>283206.685853964</v>
      </c>
      <c r="AB31" s="6" t="n">
        <f aca="false">R31*(1+H31)</f>
        <v>245916.916352085</v>
      </c>
      <c r="AC31" s="6" t="n">
        <f aca="false">S31*(1+I31)</f>
        <v>214630.351075909</v>
      </c>
      <c r="AD31" s="6" t="n">
        <f aca="false">T31*(1+J31)</f>
        <v>165113.913067423</v>
      </c>
      <c r="AE31" s="6" t="n">
        <f aca="false">U31*(1+K31)</f>
        <v>126039.967763503</v>
      </c>
      <c r="AF31" s="6" t="n">
        <f aca="false">V31*(1+L31)</f>
        <v>78943.4887706042</v>
      </c>
      <c r="AG31" s="6" t="n">
        <f aca="false">MIN(M31:V31)</f>
        <v>76039.9677635028</v>
      </c>
      <c r="AH31" s="19" t="n">
        <f aca="false">IF(AG31&gt;=0,1,0)</f>
        <v>1</v>
      </c>
    </row>
    <row r="32" customFormat="false" ht="15" hidden="false" customHeight="false" outlineLevel="0" collapsed="false">
      <c r="A32" s="0" t="n">
        <f aca="false">ROW()-1</f>
        <v>31</v>
      </c>
      <c r="B32" s="6" t="n">
        <f aca="false">Assumptions!$B$35</f>
        <v>441263.996662504</v>
      </c>
      <c r="C32" s="8" t="n">
        <f aca="true">NORMINV(RAND(),Assumptions!$B$14,Assumptions!$B$15)</f>
        <v>0.0705442433755064</v>
      </c>
      <c r="D32" s="8" t="n">
        <f aca="true">NORMINV(RAND(),Assumptions!$B$14,Assumptions!$B$15)</f>
        <v>0.0608310435319626</v>
      </c>
      <c r="E32" s="8" t="n">
        <f aca="true">NORMINV(RAND(),Assumptions!$B$14,Assumptions!$B$15)</f>
        <v>0.066366023357234</v>
      </c>
      <c r="F32" s="8" t="n">
        <f aca="true">NORMINV(RAND(),Assumptions!$B$14,Assumptions!$B$15)</f>
        <v>0.0446380875003104</v>
      </c>
      <c r="G32" s="8" t="n">
        <f aca="true">NORMINV(RAND(),Assumptions!$B$14,Assumptions!$B$15)</f>
        <v>0.0585521569478622</v>
      </c>
      <c r="H32" s="8" t="n">
        <f aca="true">NORMINV(RAND(),Assumptions!$B$14,Assumptions!$B$15)</f>
        <v>0.0530731416952328</v>
      </c>
      <c r="I32" s="8" t="n">
        <f aca="true">NORMINV(RAND(),Assumptions!$B$14,Assumptions!$B$15)</f>
        <v>0.0350005365108159</v>
      </c>
      <c r="J32" s="8" t="n">
        <f aca="true">NORMINV(RAND(),Assumptions!$B$14,Assumptions!$B$15)</f>
        <v>0.00733994916983329</v>
      </c>
      <c r="K32" s="8" t="n">
        <f aca="true">NORMINV(RAND(),Assumptions!$B$14,Assumptions!$B$15)</f>
        <v>-0.00353496129884144</v>
      </c>
      <c r="L32" s="8" t="n">
        <f aca="true">NORMINV(RAND(),Assumptions!$B$14,Assumptions!$B$15)</f>
        <v>0.0421512872337749</v>
      </c>
      <c r="M32" s="6" t="n">
        <f aca="false">B32-Assumptions!$B$29</f>
        <v>391263.996662504</v>
      </c>
      <c r="N32" s="6" t="n">
        <f aca="false">W32-Assumptions!$B$29</f>
        <v>368865.419267137</v>
      </c>
      <c r="O32" s="6" t="n">
        <f aca="false">X32-Assumptions!$B$29</f>
        <v>341303.887644011</v>
      </c>
      <c r="P32" s="6" t="n">
        <f aca="false">Y32-Assumptions!$B$29</f>
        <v>313954.869423309</v>
      </c>
      <c r="Q32" s="6" t="n">
        <f aca="false">Z32-Assumptions!$B$29</f>
        <v>277969.214355775</v>
      </c>
      <c r="R32" s="6" t="n">
        <f aca="false">AA32-Assumptions!$B$29</f>
        <v>244244.911421408</v>
      </c>
      <c r="S32" s="6" t="n">
        <f aca="false">AB32-Assumptions!$B$29</f>
        <v>207207.756213616</v>
      </c>
      <c r="T32" s="6" t="n">
        <f aca="false">AC32-Assumptions!$B$29</f>
        <v>164460.138850295</v>
      </c>
      <c r="U32" s="6" t="n">
        <f aca="false">AD32-Assumptions!$B$29</f>
        <v>115667.26790992</v>
      </c>
      <c r="V32" s="6" t="n">
        <f aca="false">AE32-Assumptions!$B$29</f>
        <v>65258.3885943154</v>
      </c>
      <c r="W32" s="6" t="n">
        <f aca="false">M32*(1+C32)</f>
        <v>418865.419267137</v>
      </c>
      <c r="X32" s="6" t="n">
        <f aca="false">N32*(1+D32)</f>
        <v>391303.887644011</v>
      </c>
      <c r="Y32" s="6" t="n">
        <f aca="false">O32*(1+E32)</f>
        <v>363954.869423309</v>
      </c>
      <c r="Z32" s="6" t="n">
        <f aca="false">P32*(1+F32)</f>
        <v>327969.214355775</v>
      </c>
      <c r="AA32" s="6" t="n">
        <f aca="false">Q32*(1+G32)</f>
        <v>294244.911421408</v>
      </c>
      <c r="AB32" s="6" t="n">
        <f aca="false">R32*(1+H32)</f>
        <v>257207.756213616</v>
      </c>
      <c r="AC32" s="6" t="n">
        <f aca="false">S32*(1+I32)</f>
        <v>214460.138850295</v>
      </c>
      <c r="AD32" s="6" t="n">
        <f aca="false">T32*(1+J32)</f>
        <v>165667.26790992</v>
      </c>
      <c r="AE32" s="6" t="n">
        <f aca="false">U32*(1+K32)</f>
        <v>115258.388594315</v>
      </c>
      <c r="AF32" s="6" t="n">
        <f aca="false">V32*(1+L32)</f>
        <v>68009.1136763677</v>
      </c>
      <c r="AG32" s="6" t="n">
        <f aca="false">MIN(M32:V32)</f>
        <v>65258.3885943154</v>
      </c>
      <c r="AH32" s="19" t="n">
        <f aca="false">IF(AG32&gt;=0,1,0)</f>
        <v>1</v>
      </c>
    </row>
    <row r="33" customFormat="false" ht="15" hidden="false" customHeight="false" outlineLevel="0" collapsed="false">
      <c r="A33" s="0" t="n">
        <f aca="false">ROW()-1</f>
        <v>32</v>
      </c>
      <c r="B33" s="6" t="n">
        <f aca="false">Assumptions!$B$35</f>
        <v>441263.996662504</v>
      </c>
      <c r="C33" s="8" t="n">
        <f aca="true">NORMINV(RAND(),Assumptions!$B$14,Assumptions!$B$15)</f>
        <v>0.0564596601793256</v>
      </c>
      <c r="D33" s="8" t="n">
        <f aca="true">NORMINV(RAND(),Assumptions!$B$14,Assumptions!$B$15)</f>
        <v>0.0528347243334016</v>
      </c>
      <c r="E33" s="8" t="n">
        <f aca="true">NORMINV(RAND(),Assumptions!$B$14,Assumptions!$B$15)</f>
        <v>0.0429110493959373</v>
      </c>
      <c r="F33" s="8" t="n">
        <f aca="true">NORMINV(RAND(),Assumptions!$B$14,Assumptions!$B$15)</f>
        <v>0.080828976924585</v>
      </c>
      <c r="G33" s="8" t="n">
        <f aca="true">NORMINV(RAND(),Assumptions!$B$14,Assumptions!$B$15)</f>
        <v>0.0717584014772412</v>
      </c>
      <c r="H33" s="8" t="n">
        <f aca="true">NORMINV(RAND(),Assumptions!$B$14,Assumptions!$B$15)</f>
        <v>0.00996636096181309</v>
      </c>
      <c r="I33" s="8" t="n">
        <f aca="true">NORMINV(RAND(),Assumptions!$B$14,Assumptions!$B$15)</f>
        <v>0.0971787733805798</v>
      </c>
      <c r="J33" s="8" t="n">
        <f aca="true">NORMINV(RAND(),Assumptions!$B$14,Assumptions!$B$15)</f>
        <v>0.0693934786327559</v>
      </c>
      <c r="K33" s="8" t="n">
        <f aca="true">NORMINV(RAND(),Assumptions!$B$14,Assumptions!$B$15)</f>
        <v>0.0356863024837981</v>
      </c>
      <c r="L33" s="8" t="n">
        <f aca="true">NORMINV(RAND(),Assumptions!$B$14,Assumptions!$B$15)</f>
        <v>0.0507978204211061</v>
      </c>
      <c r="M33" s="6" t="n">
        <f aca="false">B33-Assumptions!$B$29</f>
        <v>391263.996662504</v>
      </c>
      <c r="N33" s="6" t="n">
        <f aca="false">W33-Assumptions!$B$29</f>
        <v>363354.628954473</v>
      </c>
      <c r="O33" s="6" t="n">
        <f aca="false">X33-Assumptions!$B$29</f>
        <v>332552.370610548</v>
      </c>
      <c r="P33" s="6" t="n">
        <f aca="false">Y33-Assumptions!$B$29</f>
        <v>296822.541812554</v>
      </c>
      <c r="Q33" s="6" t="n">
        <f aca="false">Z33-Assumptions!$B$29</f>
        <v>270814.404195417</v>
      </c>
      <c r="R33" s="6" t="n">
        <f aca="false">AA33-Assumptions!$B$29</f>
        <v>240247.612937492</v>
      </c>
      <c r="S33" s="6" t="n">
        <f aca="false">AB33-Assumptions!$B$29</f>
        <v>192642.007368241</v>
      </c>
      <c r="T33" s="6" t="n">
        <f aca="false">AC33-Assumptions!$B$29</f>
        <v>161362.721345859</v>
      </c>
      <c r="U33" s="6" t="n">
        <f aca="false">AD33-Assumptions!$B$29</f>
        <v>122560.241901696</v>
      </c>
      <c r="V33" s="6" t="n">
        <f aca="false">AE33-Assumptions!$B$29</f>
        <v>76933.9637666875</v>
      </c>
      <c r="W33" s="6" t="n">
        <f aca="false">M33*(1+C33)</f>
        <v>413354.628954473</v>
      </c>
      <c r="X33" s="6" t="n">
        <f aca="false">N33*(1+D33)</f>
        <v>382552.370610548</v>
      </c>
      <c r="Y33" s="6" t="n">
        <f aca="false">O33*(1+E33)</f>
        <v>346822.541812554</v>
      </c>
      <c r="Z33" s="6" t="n">
        <f aca="false">P33*(1+F33)</f>
        <v>320814.404195417</v>
      </c>
      <c r="AA33" s="6" t="n">
        <f aca="false">Q33*(1+G33)</f>
        <v>290247.612937492</v>
      </c>
      <c r="AB33" s="6" t="n">
        <f aca="false">R33*(1+H33)</f>
        <v>242642.007368241</v>
      </c>
      <c r="AC33" s="6" t="n">
        <f aca="false">S33*(1+I33)</f>
        <v>211362.721345859</v>
      </c>
      <c r="AD33" s="6" t="n">
        <f aca="false">T33*(1+J33)</f>
        <v>172560.241901696</v>
      </c>
      <c r="AE33" s="6" t="n">
        <f aca="false">U33*(1+K33)</f>
        <v>126933.963766687</v>
      </c>
      <c r="AF33" s="6" t="n">
        <f aca="false">V33*(1+L33)</f>
        <v>80842.0414423916</v>
      </c>
      <c r="AG33" s="6" t="n">
        <f aca="false">MIN(M33:V33)</f>
        <v>76933.9637666875</v>
      </c>
      <c r="AH33" s="19" t="n">
        <f aca="false">IF(AG33&gt;=0,1,0)</f>
        <v>1</v>
      </c>
    </row>
    <row r="34" customFormat="false" ht="15" hidden="false" customHeight="false" outlineLevel="0" collapsed="false">
      <c r="A34" s="0" t="n">
        <f aca="false">ROW()-1</f>
        <v>33</v>
      </c>
      <c r="B34" s="6" t="n">
        <f aca="false">Assumptions!$B$35</f>
        <v>441263.996662504</v>
      </c>
      <c r="C34" s="8" t="n">
        <f aca="true">NORMINV(RAND(),Assumptions!$B$14,Assumptions!$B$15)</f>
        <v>0.0932502740254389</v>
      </c>
      <c r="D34" s="8" t="n">
        <f aca="true">NORMINV(RAND(),Assumptions!$B$14,Assumptions!$B$15)</f>
        <v>0.0272172251653822</v>
      </c>
      <c r="E34" s="8" t="n">
        <f aca="true">NORMINV(RAND(),Assumptions!$B$14,Assumptions!$B$15)</f>
        <v>0.0151361289357381</v>
      </c>
      <c r="F34" s="8" t="n">
        <f aca="true">NORMINV(RAND(),Assumptions!$B$14,Assumptions!$B$15)</f>
        <v>0.027859077667399</v>
      </c>
      <c r="G34" s="8" t="n">
        <f aca="true">NORMINV(RAND(),Assumptions!$B$14,Assumptions!$B$15)</f>
        <v>0.016569865254881</v>
      </c>
      <c r="H34" s="8" t="n">
        <f aca="true">NORMINV(RAND(),Assumptions!$B$14,Assumptions!$B$15)</f>
        <v>0.0349779385259641</v>
      </c>
      <c r="I34" s="8" t="n">
        <f aca="true">NORMINV(RAND(),Assumptions!$B$14,Assumptions!$B$15)</f>
        <v>0.0523320287190569</v>
      </c>
      <c r="J34" s="8" t="n">
        <f aca="true">NORMINV(RAND(),Assumptions!$B$14,Assumptions!$B$15)</f>
        <v>0.0744915812749783</v>
      </c>
      <c r="K34" s="8" t="n">
        <f aca="true">NORMINV(RAND(),Assumptions!$B$14,Assumptions!$B$15)</f>
        <v>0.0670674503199442</v>
      </c>
      <c r="L34" s="8" t="n">
        <f aca="true">NORMINV(RAND(),Assumptions!$B$14,Assumptions!$B$15)</f>
        <v>0.0427270754484416</v>
      </c>
      <c r="M34" s="6" t="n">
        <f aca="false">B34-Assumptions!$B$29</f>
        <v>391263.996662504</v>
      </c>
      <c r="N34" s="6" t="n">
        <f aca="false">W34-Assumptions!$B$29</f>
        <v>377749.47156757</v>
      </c>
      <c r="O34" s="6" t="n">
        <f aca="false">X34-Assumptions!$B$29</f>
        <v>338030.763991329</v>
      </c>
      <c r="P34" s="6" t="n">
        <f aca="false">Y34-Assumptions!$B$29</f>
        <v>293147.241219348</v>
      </c>
      <c r="Q34" s="6" t="n">
        <f aca="false">Z34-Assumptions!$B$29</f>
        <v>251314.052980461</v>
      </c>
      <c r="R34" s="6" t="n">
        <f aca="false">AA34-Assumptions!$B$29</f>
        <v>205478.292975006</v>
      </c>
      <c r="S34" s="6" t="n">
        <f aca="false">AB34-Assumptions!$B$29</f>
        <v>162665.500075106</v>
      </c>
      <c r="T34" s="6" t="n">
        <f aca="false">AC34-Assumptions!$B$29</f>
        <v>121178.115696636</v>
      </c>
      <c r="U34" s="6" t="n">
        <f aca="false">AD34-Assumptions!$B$29</f>
        <v>80204.8651508004</v>
      </c>
      <c r="V34" s="6" t="n">
        <f aca="false">AE34-Assumptions!$B$29</f>
        <v>35584.0009597195</v>
      </c>
      <c r="W34" s="6" t="n">
        <f aca="false">M34*(1+C34)</f>
        <v>427749.47156757</v>
      </c>
      <c r="X34" s="6" t="n">
        <f aca="false">N34*(1+D34)</f>
        <v>388030.763991329</v>
      </c>
      <c r="Y34" s="6" t="n">
        <f aca="false">O34*(1+E34)</f>
        <v>343147.241219348</v>
      </c>
      <c r="Z34" s="6" t="n">
        <f aca="false">P34*(1+F34)</f>
        <v>301314.052980461</v>
      </c>
      <c r="AA34" s="6" t="n">
        <f aca="false">Q34*(1+G34)</f>
        <v>255478.292975006</v>
      </c>
      <c r="AB34" s="6" t="n">
        <f aca="false">R34*(1+H34)</f>
        <v>212665.500075106</v>
      </c>
      <c r="AC34" s="6" t="n">
        <f aca="false">S34*(1+I34)</f>
        <v>171178.115696636</v>
      </c>
      <c r="AD34" s="6" t="n">
        <f aca="false">T34*(1+J34)</f>
        <v>130204.8651508</v>
      </c>
      <c r="AE34" s="6" t="n">
        <f aca="false">U34*(1+K34)</f>
        <v>85584.0009597195</v>
      </c>
      <c r="AF34" s="6" t="n">
        <f aca="false">V34*(1+L34)</f>
        <v>37104.4012534829</v>
      </c>
      <c r="AG34" s="6" t="n">
        <f aca="false">MIN(M34:V34)</f>
        <v>35584.0009597195</v>
      </c>
      <c r="AH34" s="19" t="n">
        <f aca="false">IF(AG34&gt;=0,1,0)</f>
        <v>1</v>
      </c>
    </row>
    <row r="35" customFormat="false" ht="15" hidden="false" customHeight="false" outlineLevel="0" collapsed="false">
      <c r="A35" s="0" t="n">
        <f aca="false">ROW()-1</f>
        <v>34</v>
      </c>
      <c r="B35" s="6" t="n">
        <f aca="false">Assumptions!$B$35</f>
        <v>441263.996662504</v>
      </c>
      <c r="C35" s="8" t="n">
        <f aca="true">NORMINV(RAND(),Assumptions!$B$14,Assumptions!$B$15)</f>
        <v>0.0487482598793576</v>
      </c>
      <c r="D35" s="8" t="n">
        <f aca="true">NORMINV(RAND(),Assumptions!$B$14,Assumptions!$B$15)</f>
        <v>0.0447954562022339</v>
      </c>
      <c r="E35" s="8" t="n">
        <f aca="true">NORMINV(RAND(),Assumptions!$B$14,Assumptions!$B$15)</f>
        <v>0.0135643018953386</v>
      </c>
      <c r="F35" s="8" t="n">
        <f aca="true">NORMINV(RAND(),Assumptions!$B$14,Assumptions!$B$15)</f>
        <v>0.0590616826595248</v>
      </c>
      <c r="G35" s="8" t="n">
        <f aca="true">NORMINV(RAND(),Assumptions!$B$14,Assumptions!$B$15)</f>
        <v>0.0083507711260862</v>
      </c>
      <c r="H35" s="8" t="n">
        <f aca="true">NORMINV(RAND(),Assumptions!$B$14,Assumptions!$B$15)</f>
        <v>0.067438881044549</v>
      </c>
      <c r="I35" s="8" t="n">
        <f aca="true">NORMINV(RAND(),Assumptions!$B$14,Assumptions!$B$15)</f>
        <v>0.0473482708287555</v>
      </c>
      <c r="J35" s="8" t="n">
        <f aca="true">NORMINV(RAND(),Assumptions!$B$14,Assumptions!$B$15)</f>
        <v>0.022580675416868</v>
      </c>
      <c r="K35" s="8" t="n">
        <f aca="true">NORMINV(RAND(),Assumptions!$B$14,Assumptions!$B$15)</f>
        <v>0.0568570551528249</v>
      </c>
      <c r="L35" s="8" t="n">
        <f aca="true">NORMINV(RAND(),Assumptions!$B$14,Assumptions!$B$15)</f>
        <v>0.054127610360197</v>
      </c>
      <c r="M35" s="6" t="n">
        <f aca="false">B35-Assumptions!$B$29</f>
        <v>391263.996662504</v>
      </c>
      <c r="N35" s="6" t="n">
        <f aca="false">W35-Assumptions!$B$29</f>
        <v>360337.435653243</v>
      </c>
      <c r="O35" s="6" t="n">
        <f aca="false">X35-Assumptions!$B$29</f>
        <v>326478.915470073</v>
      </c>
      <c r="P35" s="6" t="n">
        <f aca="false">Y35-Assumptions!$B$29</f>
        <v>280907.374041972</v>
      </c>
      <c r="Q35" s="6" t="n">
        <f aca="false">Z35-Assumptions!$B$29</f>
        <v>247498.23622436</v>
      </c>
      <c r="R35" s="6" t="n">
        <f aca="false">AA35-Assumptions!$B$29</f>
        <v>199565.037349179</v>
      </c>
      <c r="S35" s="6" t="n">
        <f aca="false">AB35-Assumptions!$B$29</f>
        <v>163023.480163622</v>
      </c>
      <c r="T35" s="6" t="n">
        <f aca="false">AC35-Assumptions!$B$29</f>
        <v>120742.360053855</v>
      </c>
      <c r="U35" s="6" t="n">
        <f aca="false">AD35-Assumptions!$B$29</f>
        <v>73468.8040952977</v>
      </c>
      <c r="V35" s="6" t="n">
        <f aca="false">AE35-Assumptions!$B$29</f>
        <v>27646.0239417561</v>
      </c>
      <c r="W35" s="6" t="n">
        <f aca="false">M35*(1+C35)</f>
        <v>410337.435653243</v>
      </c>
      <c r="X35" s="6" t="n">
        <f aca="false">N35*(1+D35)</f>
        <v>376478.915470073</v>
      </c>
      <c r="Y35" s="6" t="n">
        <f aca="false">O35*(1+E35)</f>
        <v>330907.374041972</v>
      </c>
      <c r="Z35" s="6" t="n">
        <f aca="false">P35*(1+F35)</f>
        <v>297498.23622436</v>
      </c>
      <c r="AA35" s="6" t="n">
        <f aca="false">Q35*(1+G35)</f>
        <v>249565.037349179</v>
      </c>
      <c r="AB35" s="6" t="n">
        <f aca="false">R35*(1+H35)</f>
        <v>213023.480163622</v>
      </c>
      <c r="AC35" s="6" t="n">
        <f aca="false">S35*(1+I35)</f>
        <v>170742.360053855</v>
      </c>
      <c r="AD35" s="6" t="n">
        <f aca="false">T35*(1+J35)</f>
        <v>123468.804095298</v>
      </c>
      <c r="AE35" s="6" t="n">
        <f aca="false">U35*(1+K35)</f>
        <v>77646.0239417561</v>
      </c>
      <c r="AF35" s="6" t="n">
        <f aca="false">V35*(1+L35)</f>
        <v>29142.4371536842</v>
      </c>
      <c r="AG35" s="6" t="n">
        <f aca="false">MIN(M35:V35)</f>
        <v>27646.0239417561</v>
      </c>
      <c r="AH35" s="19" t="n">
        <f aca="false">IF(AG35&gt;=0,1,0)</f>
        <v>1</v>
      </c>
    </row>
    <row r="36" customFormat="false" ht="15" hidden="false" customHeight="false" outlineLevel="0" collapsed="false">
      <c r="A36" s="0" t="n">
        <f aca="false">ROW()-1</f>
        <v>35</v>
      </c>
      <c r="B36" s="6" t="n">
        <f aca="false">Assumptions!$B$35</f>
        <v>441263.996662504</v>
      </c>
      <c r="C36" s="8" t="n">
        <f aca="true">NORMINV(RAND(),Assumptions!$B$14,Assumptions!$B$15)</f>
        <v>0.0271834023286695</v>
      </c>
      <c r="D36" s="8" t="n">
        <f aca="true">NORMINV(RAND(),Assumptions!$B$14,Assumptions!$B$15)</f>
        <v>0.0443010114874661</v>
      </c>
      <c r="E36" s="8" t="n">
        <f aca="true">NORMINV(RAND(),Assumptions!$B$14,Assumptions!$B$15)</f>
        <v>0.0712304492598108</v>
      </c>
      <c r="F36" s="8" t="n">
        <f aca="true">NORMINV(RAND(),Assumptions!$B$14,Assumptions!$B$15)</f>
        <v>0.0241185498747875</v>
      </c>
      <c r="G36" s="8" t="n">
        <f aca="true">NORMINV(RAND(),Assumptions!$B$14,Assumptions!$B$15)</f>
        <v>0.105985556881773</v>
      </c>
      <c r="H36" s="8" t="n">
        <f aca="true">NORMINV(RAND(),Assumptions!$B$14,Assumptions!$B$15)</f>
        <v>0.0238896502182569</v>
      </c>
      <c r="I36" s="8" t="n">
        <f aca="true">NORMINV(RAND(),Assumptions!$B$14,Assumptions!$B$15)</f>
        <v>0.0394842191186623</v>
      </c>
      <c r="J36" s="8" t="n">
        <f aca="true">NORMINV(RAND(),Assumptions!$B$14,Assumptions!$B$15)</f>
        <v>0.0956739102154015</v>
      </c>
      <c r="K36" s="8" t="n">
        <f aca="true">NORMINV(RAND(),Assumptions!$B$14,Assumptions!$B$15)</f>
        <v>0.0693640232600946</v>
      </c>
      <c r="L36" s="8" t="n">
        <f aca="true">NORMINV(RAND(),Assumptions!$B$14,Assumptions!$B$15)</f>
        <v>0.0700698076559324</v>
      </c>
      <c r="M36" s="6" t="n">
        <f aca="false">B36-Assumptions!$B$29</f>
        <v>391263.996662504</v>
      </c>
      <c r="N36" s="6" t="n">
        <f aca="false">W36-Assumptions!$B$29</f>
        <v>351899.883300504</v>
      </c>
      <c r="O36" s="6" t="n">
        <f aca="false">X36-Assumptions!$B$29</f>
        <v>317489.404073037</v>
      </c>
      <c r="P36" s="6" t="n">
        <f aca="false">Y36-Assumptions!$B$29</f>
        <v>290104.316960389</v>
      </c>
      <c r="Q36" s="6" t="n">
        <f aca="false">Z36-Assumptions!$B$29</f>
        <v>247101.212397889</v>
      </c>
      <c r="R36" s="6" t="n">
        <f aca="false">AA36-Assumptions!$B$29</f>
        <v>223290.372000041</v>
      </c>
      <c r="S36" s="6" t="n">
        <f aca="false">AB36-Assumptions!$B$29</f>
        <v>178624.700884227</v>
      </c>
      <c r="T36" s="6" t="n">
        <f aca="false">AC36-Assumptions!$B$29</f>
        <v>135677.557713945</v>
      </c>
      <c r="U36" s="6" t="n">
        <f aca="false">AD36-Assumptions!$B$29</f>
        <v>98658.3601889137</v>
      </c>
      <c r="V36" s="6" t="n">
        <f aca="false">AE36-Assumptions!$B$29</f>
        <v>55501.7009798603</v>
      </c>
      <c r="W36" s="6" t="n">
        <f aca="false">M36*(1+C36)</f>
        <v>401899.883300504</v>
      </c>
      <c r="X36" s="6" t="n">
        <f aca="false">N36*(1+D36)</f>
        <v>367489.404073037</v>
      </c>
      <c r="Y36" s="6" t="n">
        <f aca="false">O36*(1+E36)</f>
        <v>340104.316960389</v>
      </c>
      <c r="Z36" s="6" t="n">
        <f aca="false">P36*(1+F36)</f>
        <v>297101.212397889</v>
      </c>
      <c r="AA36" s="6" t="n">
        <f aca="false">Q36*(1+G36)</f>
        <v>273290.372000041</v>
      </c>
      <c r="AB36" s="6" t="n">
        <f aca="false">R36*(1+H36)</f>
        <v>228624.700884227</v>
      </c>
      <c r="AC36" s="6" t="n">
        <f aca="false">S36*(1+I36)</f>
        <v>185677.557713945</v>
      </c>
      <c r="AD36" s="6" t="n">
        <f aca="false">T36*(1+J36)</f>
        <v>148658.360188914</v>
      </c>
      <c r="AE36" s="6" t="n">
        <f aca="false">U36*(1+K36)</f>
        <v>105501.70097986</v>
      </c>
      <c r="AF36" s="6" t="n">
        <f aca="false">V36*(1+L36)</f>
        <v>59390.6944920962</v>
      </c>
      <c r="AG36" s="6" t="n">
        <f aca="false">MIN(M36:V36)</f>
        <v>55501.7009798603</v>
      </c>
      <c r="AH36" s="19" t="n">
        <f aca="false">IF(AG36&gt;=0,1,0)</f>
        <v>1</v>
      </c>
    </row>
    <row r="37" customFormat="false" ht="15" hidden="false" customHeight="false" outlineLevel="0" collapsed="false">
      <c r="A37" s="0" t="n">
        <f aca="false">ROW()-1</f>
        <v>36</v>
      </c>
      <c r="B37" s="6" t="n">
        <f aca="false">Assumptions!$B$35</f>
        <v>441263.996662504</v>
      </c>
      <c r="C37" s="8" t="n">
        <f aca="true">NORMINV(RAND(),Assumptions!$B$14,Assumptions!$B$15)</f>
        <v>0.0603588135076074</v>
      </c>
      <c r="D37" s="8" t="n">
        <f aca="true">NORMINV(RAND(),Assumptions!$B$14,Assumptions!$B$15)</f>
        <v>0.0366553229401018</v>
      </c>
      <c r="E37" s="8" t="n">
        <f aca="true">NORMINV(RAND(),Assumptions!$B$14,Assumptions!$B$15)</f>
        <v>0.028797138722599</v>
      </c>
      <c r="F37" s="8" t="n">
        <f aca="true">NORMINV(RAND(),Assumptions!$B$14,Assumptions!$B$15)</f>
        <v>0.0823892758358285</v>
      </c>
      <c r="G37" s="8" t="n">
        <f aca="true">NORMINV(RAND(),Assumptions!$B$14,Assumptions!$B$15)</f>
        <v>0.0754341428429771</v>
      </c>
      <c r="H37" s="8" t="n">
        <f aca="true">NORMINV(RAND(),Assumptions!$B$14,Assumptions!$B$15)</f>
        <v>-0.00759252878736095</v>
      </c>
      <c r="I37" s="8" t="n">
        <f aca="true">NORMINV(RAND(),Assumptions!$B$14,Assumptions!$B$15)</f>
        <v>0.0311983888866469</v>
      </c>
      <c r="J37" s="8" t="n">
        <f aca="true">NORMINV(RAND(),Assumptions!$B$14,Assumptions!$B$15)</f>
        <v>0.0500887405517818</v>
      </c>
      <c r="K37" s="8" t="n">
        <f aca="true">NORMINV(RAND(),Assumptions!$B$14,Assumptions!$B$15)</f>
        <v>0.0204217280875374</v>
      </c>
      <c r="L37" s="8" t="n">
        <f aca="true">NORMINV(RAND(),Assumptions!$B$14,Assumptions!$B$15)</f>
        <v>0.00551473927711408</v>
      </c>
      <c r="M37" s="6" t="n">
        <f aca="false">B37-Assumptions!$B$29</f>
        <v>391263.996662504</v>
      </c>
      <c r="N37" s="6" t="n">
        <f aca="false">W37-Assumptions!$B$29</f>
        <v>364880.227269297</v>
      </c>
      <c r="O37" s="6" t="n">
        <f aca="false">X37-Assumptions!$B$29</f>
        <v>328255.02983431</v>
      </c>
      <c r="P37" s="6" t="n">
        <f aca="false">Y37-Assumptions!$B$29</f>
        <v>287707.83546484</v>
      </c>
      <c r="Q37" s="6" t="n">
        <f aca="false">Z37-Assumptions!$B$29</f>
        <v>261411.875681082</v>
      </c>
      <c r="R37" s="6" t="n">
        <f aca="false">AA37-Assumptions!$B$29</f>
        <v>231131.256452059</v>
      </c>
      <c r="S37" s="6" t="n">
        <f aca="false">AB37-Assumptions!$B$29</f>
        <v>179376.385733788</v>
      </c>
      <c r="T37" s="6" t="n">
        <f aca="false">AC37-Assumptions!$B$29</f>
        <v>134972.639972992</v>
      </c>
      <c r="U37" s="6" t="n">
        <f aca="false">AD37-Assumptions!$B$29</f>
        <v>91733.2495181881</v>
      </c>
      <c r="V37" s="6" t="n">
        <f aca="false">AE37-Assumptions!$B$29</f>
        <v>43606.6009964347</v>
      </c>
      <c r="W37" s="6" t="n">
        <f aca="false">M37*(1+C37)</f>
        <v>414880.227269297</v>
      </c>
      <c r="X37" s="6" t="n">
        <f aca="false">N37*(1+D37)</f>
        <v>378255.02983431</v>
      </c>
      <c r="Y37" s="6" t="n">
        <f aca="false">O37*(1+E37)</f>
        <v>337707.83546484</v>
      </c>
      <c r="Z37" s="6" t="n">
        <f aca="false">P37*(1+F37)</f>
        <v>311411.875681082</v>
      </c>
      <c r="AA37" s="6" t="n">
        <f aca="false">Q37*(1+G37)</f>
        <v>281131.256452059</v>
      </c>
      <c r="AB37" s="6" t="n">
        <f aca="false">R37*(1+H37)</f>
        <v>229376.385733788</v>
      </c>
      <c r="AC37" s="6" t="n">
        <f aca="false">S37*(1+I37)</f>
        <v>184972.639972992</v>
      </c>
      <c r="AD37" s="6" t="n">
        <f aca="false">T37*(1+J37)</f>
        <v>141733.249518188</v>
      </c>
      <c r="AE37" s="6" t="n">
        <f aca="false">U37*(1+K37)</f>
        <v>93606.6009964347</v>
      </c>
      <c r="AF37" s="6" t="n">
        <f aca="false">V37*(1+L37)</f>
        <v>43847.0800316912</v>
      </c>
      <c r="AG37" s="6" t="n">
        <f aca="false">MIN(M37:V37)</f>
        <v>43606.6009964347</v>
      </c>
      <c r="AH37" s="19" t="n">
        <f aca="false">IF(AG37&gt;=0,1,0)</f>
        <v>1</v>
      </c>
    </row>
    <row r="38" customFormat="false" ht="15" hidden="false" customHeight="false" outlineLevel="0" collapsed="false">
      <c r="A38" s="0" t="n">
        <f aca="false">ROW()-1</f>
        <v>37</v>
      </c>
      <c r="B38" s="6" t="n">
        <f aca="false">Assumptions!$B$35</f>
        <v>441263.996662504</v>
      </c>
      <c r="C38" s="8" t="n">
        <f aca="true">NORMINV(RAND(),Assumptions!$B$14,Assumptions!$B$15)</f>
        <v>0.0345380739230685</v>
      </c>
      <c r="D38" s="8" t="n">
        <f aca="true">NORMINV(RAND(),Assumptions!$B$14,Assumptions!$B$15)</f>
        <v>0.0292529911782478</v>
      </c>
      <c r="E38" s="8" t="n">
        <f aca="true">NORMINV(RAND(),Assumptions!$B$14,Assumptions!$B$15)</f>
        <v>0.0421254984324753</v>
      </c>
      <c r="F38" s="8" t="n">
        <f aca="true">NORMINV(RAND(),Assumptions!$B$14,Assumptions!$B$15)</f>
        <v>0.0503782620762442</v>
      </c>
      <c r="G38" s="8" t="n">
        <f aca="true">NORMINV(RAND(),Assumptions!$B$14,Assumptions!$B$15)</f>
        <v>0.0719784829597672</v>
      </c>
      <c r="H38" s="8" t="n">
        <f aca="true">NORMINV(RAND(),Assumptions!$B$14,Assumptions!$B$15)</f>
        <v>0.109376699115446</v>
      </c>
      <c r="I38" s="8" t="n">
        <f aca="true">NORMINV(RAND(),Assumptions!$B$14,Assumptions!$B$15)</f>
        <v>0.0392892010921293</v>
      </c>
      <c r="J38" s="8" t="n">
        <f aca="true">NORMINV(RAND(),Assumptions!$B$14,Assumptions!$B$15)</f>
        <v>0.0645102316021876</v>
      </c>
      <c r="K38" s="8" t="n">
        <f aca="true">NORMINV(RAND(),Assumptions!$B$14,Assumptions!$B$15)</f>
        <v>0.0373044452955637</v>
      </c>
      <c r="L38" s="8" t="n">
        <f aca="true">NORMINV(RAND(),Assumptions!$B$14,Assumptions!$B$15)</f>
        <v>0.0348304636349621</v>
      </c>
      <c r="M38" s="6" t="n">
        <f aca="false">B38-Assumptions!$B$29</f>
        <v>391263.996662504</v>
      </c>
      <c r="N38" s="6" t="n">
        <f aca="false">W38-Assumptions!$B$29</f>
        <v>354777.501502668</v>
      </c>
      <c r="O38" s="6" t="n">
        <f aca="false">X38-Assumptions!$B$29</f>
        <v>315155.804624367</v>
      </c>
      <c r="P38" s="6" t="n">
        <f aca="false">Y38-Assumptions!$B$29</f>
        <v>278431.899978056</v>
      </c>
      <c r="Q38" s="6" t="n">
        <f aca="false">Z38-Assumptions!$B$29</f>
        <v>242458.815205537</v>
      </c>
      <c r="R38" s="6" t="n">
        <f aca="false">AA38-Assumptions!$B$29</f>
        <v>209910.632904254</v>
      </c>
      <c r="S38" s="6" t="n">
        <f aca="false">AB38-Assumptions!$B$29</f>
        <v>182869.965040556</v>
      </c>
      <c r="T38" s="6" t="n">
        <f aca="false">AC38-Assumptions!$B$29</f>
        <v>140054.779870745</v>
      </c>
      <c r="U38" s="6" t="n">
        <f aca="false">AD38-Assumptions!$B$29</f>
        <v>99089.7461571997</v>
      </c>
      <c r="V38" s="6" t="n">
        <f aca="false">AE38-Assumptions!$B$29</f>
        <v>52786.2341720722</v>
      </c>
      <c r="W38" s="6" t="n">
        <f aca="false">M38*(1+C38)</f>
        <v>404777.501502668</v>
      </c>
      <c r="X38" s="6" t="n">
        <f aca="false">N38*(1+D38)</f>
        <v>365155.804624367</v>
      </c>
      <c r="Y38" s="6" t="n">
        <f aca="false">O38*(1+E38)</f>
        <v>328431.899978056</v>
      </c>
      <c r="Z38" s="6" t="n">
        <f aca="false">P38*(1+F38)</f>
        <v>292458.815205537</v>
      </c>
      <c r="AA38" s="6" t="n">
        <f aca="false">Q38*(1+G38)</f>
        <v>259910.632904254</v>
      </c>
      <c r="AB38" s="6" t="n">
        <f aca="false">R38*(1+H38)</f>
        <v>232869.965040556</v>
      </c>
      <c r="AC38" s="6" t="n">
        <f aca="false">S38*(1+I38)</f>
        <v>190054.779870745</v>
      </c>
      <c r="AD38" s="6" t="n">
        <f aca="false">T38*(1+J38)</f>
        <v>149089.7461572</v>
      </c>
      <c r="AE38" s="6" t="n">
        <f aca="false">U38*(1+K38)</f>
        <v>102786.234172072</v>
      </c>
      <c r="AF38" s="6" t="n">
        <f aca="false">V38*(1+L38)</f>
        <v>54624.8031818292</v>
      </c>
      <c r="AG38" s="6" t="n">
        <f aca="false">MIN(M38:V38)</f>
        <v>52786.2341720722</v>
      </c>
      <c r="AH38" s="19" t="n">
        <f aca="false">IF(AG38&gt;=0,1,0)</f>
        <v>1</v>
      </c>
    </row>
    <row r="39" customFormat="false" ht="15" hidden="false" customHeight="false" outlineLevel="0" collapsed="false">
      <c r="A39" s="0" t="n">
        <f aca="false">ROW()-1</f>
        <v>38</v>
      </c>
      <c r="B39" s="6" t="n">
        <f aca="false">Assumptions!$B$35</f>
        <v>441263.996662504</v>
      </c>
      <c r="C39" s="8" t="n">
        <f aca="true">NORMINV(RAND(),Assumptions!$B$14,Assumptions!$B$15)</f>
        <v>0.068382042224808</v>
      </c>
      <c r="D39" s="8" t="n">
        <f aca="true">NORMINV(RAND(),Assumptions!$B$14,Assumptions!$B$15)</f>
        <v>0.0335014595051939</v>
      </c>
      <c r="E39" s="8" t="n">
        <f aca="true">NORMINV(RAND(),Assumptions!$B$14,Assumptions!$B$15)</f>
        <v>0.0329982790994919</v>
      </c>
      <c r="F39" s="8" t="n">
        <f aca="true">NORMINV(RAND(),Assumptions!$B$14,Assumptions!$B$15)</f>
        <v>0.114068192081246</v>
      </c>
      <c r="G39" s="8" t="n">
        <f aca="true">NORMINV(RAND(),Assumptions!$B$14,Assumptions!$B$15)</f>
        <v>0.0652636341790673</v>
      </c>
      <c r="H39" s="8" t="n">
        <f aca="true">NORMINV(RAND(),Assumptions!$B$14,Assumptions!$B$15)</f>
        <v>0.0440741569209026</v>
      </c>
      <c r="I39" s="8" t="n">
        <f aca="true">NORMINV(RAND(),Assumptions!$B$14,Assumptions!$B$15)</f>
        <v>0.0371946571897167</v>
      </c>
      <c r="J39" s="8" t="n">
        <f aca="true">NORMINV(RAND(),Assumptions!$B$14,Assumptions!$B$15)</f>
        <v>0.0465800135004931</v>
      </c>
      <c r="K39" s="8" t="n">
        <f aca="true">NORMINV(RAND(),Assumptions!$B$14,Assumptions!$B$15)</f>
        <v>0.053727992561277</v>
      </c>
      <c r="L39" s="8" t="n">
        <f aca="true">NORMINV(RAND(),Assumptions!$B$14,Assumptions!$B$15)</f>
        <v>0.077600716788418</v>
      </c>
      <c r="M39" s="6" t="n">
        <f aca="false">B39-Assumptions!$B$29</f>
        <v>391263.996662504</v>
      </c>
      <c r="N39" s="6" t="n">
        <f aca="false">W39-Assumptions!$B$29</f>
        <v>368019.427803326</v>
      </c>
      <c r="O39" s="6" t="n">
        <f aca="false">X39-Assumptions!$B$29</f>
        <v>330348.615761004</v>
      </c>
      <c r="P39" s="6" t="n">
        <f aca="false">Y39-Assumptions!$B$29</f>
        <v>291249.551584016</v>
      </c>
      <c r="Q39" s="6" t="n">
        <f aca="false">Z39-Assumptions!$B$29</f>
        <v>274471.861377678</v>
      </c>
      <c r="R39" s="6" t="n">
        <f aca="false">AA39-Assumptions!$B$29</f>
        <v>242384.892531079</v>
      </c>
      <c r="S39" s="6" t="n">
        <f aca="false">AB39-Assumptions!$B$29</f>
        <v>203067.80231975</v>
      </c>
      <c r="T39" s="6" t="n">
        <f aca="false">AC39-Assumptions!$B$29</f>
        <v>160620.839613302</v>
      </c>
      <c r="U39" s="6" t="n">
        <f aca="false">AD39-Assumptions!$B$29</f>
        <v>118102.56049095</v>
      </c>
      <c r="V39" s="6" t="n">
        <f aca="false">AE39-Assumptions!$B$29</f>
        <v>74447.9739824758</v>
      </c>
      <c r="W39" s="6" t="n">
        <f aca="false">M39*(1+C39)</f>
        <v>418019.427803326</v>
      </c>
      <c r="X39" s="6" t="n">
        <f aca="false">N39*(1+D39)</f>
        <v>380348.615761004</v>
      </c>
      <c r="Y39" s="6" t="n">
        <f aca="false">O39*(1+E39)</f>
        <v>341249.551584016</v>
      </c>
      <c r="Z39" s="6" t="n">
        <f aca="false">P39*(1+F39)</f>
        <v>324471.861377678</v>
      </c>
      <c r="AA39" s="6" t="n">
        <f aca="false">Q39*(1+G39)</f>
        <v>292384.892531079</v>
      </c>
      <c r="AB39" s="6" t="n">
        <f aca="false">R39*(1+H39)</f>
        <v>253067.80231975</v>
      </c>
      <c r="AC39" s="6" t="n">
        <f aca="false">S39*(1+I39)</f>
        <v>210620.839613302</v>
      </c>
      <c r="AD39" s="6" t="n">
        <f aca="false">T39*(1+J39)</f>
        <v>168102.56049095</v>
      </c>
      <c r="AE39" s="6" t="n">
        <f aca="false">U39*(1+K39)</f>
        <v>124447.973982476</v>
      </c>
      <c r="AF39" s="6" t="n">
        <f aca="false">V39*(1+L39)</f>
        <v>80225.1901269614</v>
      </c>
      <c r="AG39" s="6" t="n">
        <f aca="false">MIN(M39:V39)</f>
        <v>74447.9739824758</v>
      </c>
      <c r="AH39" s="19" t="n">
        <f aca="false">IF(AG39&gt;=0,1,0)</f>
        <v>1</v>
      </c>
    </row>
    <row r="40" customFormat="false" ht="15" hidden="false" customHeight="false" outlineLevel="0" collapsed="false">
      <c r="A40" s="0" t="n">
        <f aca="false">ROW()-1</f>
        <v>39</v>
      </c>
      <c r="B40" s="6" t="n">
        <f aca="false">Assumptions!$B$35</f>
        <v>441263.996662504</v>
      </c>
      <c r="C40" s="8" t="n">
        <f aca="true">NORMINV(RAND(),Assumptions!$B$14,Assumptions!$B$15)</f>
        <v>0.0170229417313028</v>
      </c>
      <c r="D40" s="8" t="n">
        <f aca="true">NORMINV(RAND(),Assumptions!$B$14,Assumptions!$B$15)</f>
        <v>0.0455741670954882</v>
      </c>
      <c r="E40" s="8" t="n">
        <f aca="true">NORMINV(RAND(),Assumptions!$B$14,Assumptions!$B$15)</f>
        <v>0.0799394747506363</v>
      </c>
      <c r="F40" s="8" t="n">
        <f aca="true">NORMINV(RAND(),Assumptions!$B$14,Assumptions!$B$15)</f>
        <v>0.0211453696609563</v>
      </c>
      <c r="G40" s="8" t="n">
        <f aca="true">NORMINV(RAND(),Assumptions!$B$14,Assumptions!$B$15)</f>
        <v>0.0510143601104192</v>
      </c>
      <c r="H40" s="8" t="n">
        <f aca="true">NORMINV(RAND(),Assumptions!$B$14,Assumptions!$B$15)</f>
        <v>0.0241699366376084</v>
      </c>
      <c r="I40" s="8" t="n">
        <f aca="true">NORMINV(RAND(),Assumptions!$B$14,Assumptions!$B$15)</f>
        <v>0.0172661686825658</v>
      </c>
      <c r="J40" s="8" t="n">
        <f aca="true">NORMINV(RAND(),Assumptions!$B$14,Assumptions!$B$15)</f>
        <v>-0.0309322946030417</v>
      </c>
      <c r="K40" s="8" t="n">
        <f aca="true">NORMINV(RAND(),Assumptions!$B$14,Assumptions!$B$15)</f>
        <v>0.122973704464801</v>
      </c>
      <c r="L40" s="8" t="n">
        <f aca="true">NORMINV(RAND(),Assumptions!$B$14,Assumptions!$B$15)</f>
        <v>0.0686274049650992</v>
      </c>
      <c r="M40" s="6" t="n">
        <f aca="false">B40-Assumptions!$B$29</f>
        <v>391263.996662504</v>
      </c>
      <c r="N40" s="6" t="n">
        <f aca="false">W40-Assumptions!$B$29</f>
        <v>347924.460879246</v>
      </c>
      <c r="O40" s="6" t="n">
        <f aca="false">X40-Assumptions!$B$29</f>
        <v>313780.828395964</v>
      </c>
      <c r="P40" s="6" t="n">
        <f aca="false">Y40-Assumptions!$B$29</f>
        <v>288864.303004757</v>
      </c>
      <c r="Q40" s="6" t="n">
        <f aca="false">Z40-Assumptions!$B$29</f>
        <v>244972.445473647</v>
      </c>
      <c r="R40" s="6" t="n">
        <f aca="false">AA40-Assumptions!$B$29</f>
        <v>207469.55802417</v>
      </c>
      <c r="S40" s="6" t="n">
        <f aca="false">AB40-Assumptions!$B$29</f>
        <v>162484.084095847</v>
      </c>
      <c r="T40" s="6" t="n">
        <f aca="false">AC40-Assumptions!$B$29</f>
        <v>115289.561700078</v>
      </c>
      <c r="U40" s="6" t="n">
        <f aca="false">AD40-Assumptions!$B$29</f>
        <v>61723.3910129155</v>
      </c>
      <c r="V40" s="6" t="n">
        <f aca="false">AE40-Assumptions!$B$29</f>
        <v>19313.7450579031</v>
      </c>
      <c r="W40" s="6" t="n">
        <f aca="false">M40*(1+C40)</f>
        <v>397924.460879246</v>
      </c>
      <c r="X40" s="6" t="n">
        <f aca="false">N40*(1+D40)</f>
        <v>363780.828395964</v>
      </c>
      <c r="Y40" s="6" t="n">
        <f aca="false">O40*(1+E40)</f>
        <v>338864.303004757</v>
      </c>
      <c r="Z40" s="6" t="n">
        <f aca="false">P40*(1+F40)</f>
        <v>294972.445473647</v>
      </c>
      <c r="AA40" s="6" t="n">
        <f aca="false">Q40*(1+G40)</f>
        <v>257469.55802417</v>
      </c>
      <c r="AB40" s="6" t="n">
        <f aca="false">R40*(1+H40)</f>
        <v>212484.084095847</v>
      </c>
      <c r="AC40" s="6" t="n">
        <f aca="false">S40*(1+I40)</f>
        <v>165289.561700078</v>
      </c>
      <c r="AD40" s="6" t="n">
        <f aca="false">T40*(1+J40)</f>
        <v>111723.391012916</v>
      </c>
      <c r="AE40" s="6" t="n">
        <f aca="false">U40*(1+K40)</f>
        <v>69313.7450579031</v>
      </c>
      <c r="AF40" s="6" t="n">
        <f aca="false">V40*(1+L40)</f>
        <v>20639.1972613845</v>
      </c>
      <c r="AG40" s="6" t="n">
        <f aca="false">MIN(M40:V40)</f>
        <v>19313.7450579031</v>
      </c>
      <c r="AH40" s="19" t="n">
        <f aca="false">IF(AG40&gt;=0,1,0)</f>
        <v>1</v>
      </c>
    </row>
    <row r="41" customFormat="false" ht="15" hidden="false" customHeight="false" outlineLevel="0" collapsed="false">
      <c r="A41" s="0" t="n">
        <f aca="false">ROW()-1</f>
        <v>40</v>
      </c>
      <c r="B41" s="6" t="n">
        <f aca="false">Assumptions!$B$35</f>
        <v>441263.996662504</v>
      </c>
      <c r="C41" s="8" t="n">
        <f aca="true">NORMINV(RAND(),Assumptions!$B$14,Assumptions!$B$15)</f>
        <v>0.104327253153594</v>
      </c>
      <c r="D41" s="8" t="n">
        <f aca="true">NORMINV(RAND(),Assumptions!$B$14,Assumptions!$B$15)</f>
        <v>0.0538043790748438</v>
      </c>
      <c r="E41" s="8" t="n">
        <f aca="true">NORMINV(RAND(),Assumptions!$B$14,Assumptions!$B$15)</f>
        <v>0.102385440011877</v>
      </c>
      <c r="F41" s="8" t="n">
        <f aca="true">NORMINV(RAND(),Assumptions!$B$14,Assumptions!$B$15)</f>
        <v>0.0383703050790873</v>
      </c>
      <c r="G41" s="8" t="n">
        <f aca="true">NORMINV(RAND(),Assumptions!$B$14,Assumptions!$B$15)</f>
        <v>0.0236678193725398</v>
      </c>
      <c r="H41" s="8" t="n">
        <f aca="true">NORMINV(RAND(),Assumptions!$B$14,Assumptions!$B$15)</f>
        <v>0.0811019709113889</v>
      </c>
      <c r="I41" s="8" t="n">
        <f aca="true">NORMINV(RAND(),Assumptions!$B$14,Assumptions!$B$15)</f>
        <v>0.0443758157402481</v>
      </c>
      <c r="J41" s="8" t="n">
        <f aca="true">NORMINV(RAND(),Assumptions!$B$14,Assumptions!$B$15)</f>
        <v>0.0478259965456373</v>
      </c>
      <c r="K41" s="8" t="n">
        <f aca="true">NORMINV(RAND(),Assumptions!$B$14,Assumptions!$B$15)</f>
        <v>0.0745130489451973</v>
      </c>
      <c r="L41" s="8" t="n">
        <f aca="true">NORMINV(RAND(),Assumptions!$B$14,Assumptions!$B$15)</f>
        <v>0.0189359352026885</v>
      </c>
      <c r="M41" s="6" t="n">
        <f aca="false">B41-Assumptions!$B$29</f>
        <v>391263.996662504</v>
      </c>
      <c r="N41" s="6" t="n">
        <f aca="false">W41-Assumptions!$B$29</f>
        <v>382083.494692199</v>
      </c>
      <c r="O41" s="6" t="n">
        <f aca="false">X41-Assumptions!$B$29</f>
        <v>352641.259878859</v>
      </c>
      <c r="P41" s="6" t="n">
        <f aca="false">Y41-Assumptions!$B$29</f>
        <v>338746.590437899</v>
      </c>
      <c r="Q41" s="6" t="n">
        <f aca="false">Z41-Assumptions!$B$29</f>
        <v>301744.400457502</v>
      </c>
      <c r="R41" s="6" t="n">
        <f aca="false">AA41-Assumptions!$B$29</f>
        <v>258886.032424205</v>
      </c>
      <c r="S41" s="6" t="n">
        <f aca="false">AB41-Assumptions!$B$29</f>
        <v>229882.199895238</v>
      </c>
      <c r="T41" s="6" t="n">
        <f aca="false">AC41-Assumptions!$B$29</f>
        <v>190083.410039752</v>
      </c>
      <c r="U41" s="6" t="n">
        <f aca="false">AD41-Assumptions!$B$29</f>
        <v>149174.338551696</v>
      </c>
      <c r="V41" s="6" t="n">
        <f aca="false">AE41-Assumptions!$B$29</f>
        <v>110289.773341566</v>
      </c>
      <c r="W41" s="6" t="n">
        <f aca="false">M41*(1+C41)</f>
        <v>432083.494692199</v>
      </c>
      <c r="X41" s="6" t="n">
        <f aca="false">N41*(1+D41)</f>
        <v>402641.259878859</v>
      </c>
      <c r="Y41" s="6" t="n">
        <f aca="false">O41*(1+E41)</f>
        <v>388746.590437899</v>
      </c>
      <c r="Z41" s="6" t="n">
        <f aca="false">P41*(1+F41)</f>
        <v>351744.400457502</v>
      </c>
      <c r="AA41" s="6" t="n">
        <f aca="false">Q41*(1+G41)</f>
        <v>308886.032424205</v>
      </c>
      <c r="AB41" s="6" t="n">
        <f aca="false">R41*(1+H41)</f>
        <v>279882.199895238</v>
      </c>
      <c r="AC41" s="6" t="n">
        <f aca="false">S41*(1+I41)</f>
        <v>240083.410039752</v>
      </c>
      <c r="AD41" s="6" t="n">
        <f aca="false">T41*(1+J41)</f>
        <v>199174.338551696</v>
      </c>
      <c r="AE41" s="6" t="n">
        <f aca="false">U41*(1+K41)</f>
        <v>160289.773341566</v>
      </c>
      <c r="AF41" s="6" t="n">
        <f aca="false">V41*(1+L41)</f>
        <v>112378.213343081</v>
      </c>
      <c r="AG41" s="6" t="n">
        <f aca="false">MIN(M41:V41)</f>
        <v>110289.773341566</v>
      </c>
      <c r="AH41" s="19" t="n">
        <f aca="false">IF(AG41&gt;=0,1,0)</f>
        <v>1</v>
      </c>
    </row>
    <row r="42" customFormat="false" ht="15" hidden="false" customHeight="false" outlineLevel="0" collapsed="false">
      <c r="A42" s="0" t="n">
        <f aca="false">ROW()-1</f>
        <v>41</v>
      </c>
      <c r="B42" s="6" t="n">
        <f aca="false">Assumptions!$B$35</f>
        <v>441263.996662504</v>
      </c>
      <c r="C42" s="8" t="n">
        <f aca="true">NORMINV(RAND(),Assumptions!$B$14,Assumptions!$B$15)</f>
        <v>0.101115158836451</v>
      </c>
      <c r="D42" s="8" t="n">
        <f aca="true">NORMINV(RAND(),Assumptions!$B$14,Assumptions!$B$15)</f>
        <v>0.0844799193123572</v>
      </c>
      <c r="E42" s="8" t="n">
        <f aca="true">NORMINV(RAND(),Assumptions!$B$14,Assumptions!$B$15)</f>
        <v>0.0171349289093284</v>
      </c>
      <c r="F42" s="8" t="n">
        <f aca="true">NORMINV(RAND(),Assumptions!$B$14,Assumptions!$B$15)</f>
        <v>0.0699086108570583</v>
      </c>
      <c r="G42" s="8" t="n">
        <f aca="true">NORMINV(RAND(),Assumptions!$B$14,Assumptions!$B$15)</f>
        <v>0.0670287483061737</v>
      </c>
      <c r="H42" s="8" t="n">
        <f aca="true">NORMINV(RAND(),Assumptions!$B$14,Assumptions!$B$15)</f>
        <v>0.0706531815052043</v>
      </c>
      <c r="I42" s="8" t="n">
        <f aca="true">NORMINV(RAND(),Assumptions!$B$14,Assumptions!$B$15)</f>
        <v>0.0559554390582348</v>
      </c>
      <c r="J42" s="8" t="n">
        <f aca="true">NORMINV(RAND(),Assumptions!$B$14,Assumptions!$B$15)</f>
        <v>0.0773040829290502</v>
      </c>
      <c r="K42" s="8" t="n">
        <f aca="true">NORMINV(RAND(),Assumptions!$B$14,Assumptions!$B$15)</f>
        <v>0.0431970505114467</v>
      </c>
      <c r="L42" s="8" t="n">
        <f aca="true">NORMINV(RAND(),Assumptions!$B$14,Assumptions!$B$15)</f>
        <v>0.0602570724598376</v>
      </c>
      <c r="M42" s="6" t="n">
        <f aca="false">B42-Assumptions!$B$29</f>
        <v>391263.996662504</v>
      </c>
      <c r="N42" s="6" t="n">
        <f aca="false">W42-Assumptions!$B$29</f>
        <v>380826.717832017</v>
      </c>
      <c r="O42" s="6" t="n">
        <f aca="false">X42-Assumptions!$B$29</f>
        <v>362998.928226456</v>
      </c>
      <c r="P42" s="6" t="n">
        <f aca="false">Y42-Assumptions!$B$29</f>
        <v>319218.889055779</v>
      </c>
      <c r="Q42" s="6" t="n">
        <f aca="false">Z42-Assumptions!$B$29</f>
        <v>291535.038149002</v>
      </c>
      <c r="R42" s="6" t="n">
        <f aca="false">AA42-Assumptions!$B$29</f>
        <v>261076.266843522</v>
      </c>
      <c r="S42" s="6" t="n">
        <f aca="false">AB42-Assumptions!$B$29</f>
        <v>229522.135711518</v>
      </c>
      <c r="T42" s="6" t="n">
        <f aca="false">AC42-Assumptions!$B$29</f>
        <v>192365.14758884</v>
      </c>
      <c r="U42" s="6" t="n">
        <f aca="false">AD42-Assumptions!$B$29</f>
        <v>157235.758910707</v>
      </c>
      <c r="V42" s="6" t="n">
        <f aca="false">AE42-Assumptions!$B$29</f>
        <v>114027.879930578</v>
      </c>
      <c r="W42" s="6" t="n">
        <f aca="false">M42*(1+C42)</f>
        <v>430826.717832017</v>
      </c>
      <c r="X42" s="6" t="n">
        <f aca="false">N42*(1+D42)</f>
        <v>412998.928226456</v>
      </c>
      <c r="Y42" s="6" t="n">
        <f aca="false">O42*(1+E42)</f>
        <v>369218.889055779</v>
      </c>
      <c r="Z42" s="6" t="n">
        <f aca="false">P42*(1+F42)</f>
        <v>341535.038149002</v>
      </c>
      <c r="AA42" s="6" t="n">
        <f aca="false">Q42*(1+G42)</f>
        <v>311076.266843522</v>
      </c>
      <c r="AB42" s="6" t="n">
        <f aca="false">R42*(1+H42)</f>
        <v>279522.135711518</v>
      </c>
      <c r="AC42" s="6" t="n">
        <f aca="false">S42*(1+I42)</f>
        <v>242365.14758884</v>
      </c>
      <c r="AD42" s="6" t="n">
        <f aca="false">T42*(1+J42)</f>
        <v>207235.758910707</v>
      </c>
      <c r="AE42" s="6" t="n">
        <f aca="false">U42*(1+K42)</f>
        <v>164027.879930578</v>
      </c>
      <c r="AF42" s="6" t="n">
        <f aca="false">V42*(1+L42)</f>
        <v>120898.866153997</v>
      </c>
      <c r="AG42" s="6" t="n">
        <f aca="false">MIN(M42:V42)</f>
        <v>114027.879930578</v>
      </c>
      <c r="AH42" s="19" t="n">
        <f aca="false">IF(AG42&gt;=0,1,0)</f>
        <v>1</v>
      </c>
    </row>
    <row r="43" customFormat="false" ht="15" hidden="false" customHeight="false" outlineLevel="0" collapsed="false">
      <c r="A43" s="0" t="n">
        <f aca="false">ROW()-1</f>
        <v>42</v>
      </c>
      <c r="B43" s="6" t="n">
        <f aca="false">Assumptions!$B$35</f>
        <v>441263.996662504</v>
      </c>
      <c r="C43" s="8" t="n">
        <f aca="true">NORMINV(RAND(),Assumptions!$B$14,Assumptions!$B$15)</f>
        <v>0.0579683767371127</v>
      </c>
      <c r="D43" s="8" t="n">
        <f aca="true">NORMINV(RAND(),Assumptions!$B$14,Assumptions!$B$15)</f>
        <v>0.0255115197678128</v>
      </c>
      <c r="E43" s="8" t="n">
        <f aca="true">NORMINV(RAND(),Assumptions!$B$14,Assumptions!$B$15)</f>
        <v>0.0581235403202662</v>
      </c>
      <c r="F43" s="8" t="n">
        <f aca="true">NORMINV(RAND(),Assumptions!$B$14,Assumptions!$B$15)</f>
        <v>0.0149362413131152</v>
      </c>
      <c r="G43" s="8" t="n">
        <f aca="true">NORMINV(RAND(),Assumptions!$B$14,Assumptions!$B$15)</f>
        <v>0.00162977232948669</v>
      </c>
      <c r="H43" s="8" t="n">
        <f aca="true">NORMINV(RAND(),Assumptions!$B$14,Assumptions!$B$15)</f>
        <v>0.044018331714606</v>
      </c>
      <c r="I43" s="8" t="n">
        <f aca="true">NORMINV(RAND(),Assumptions!$B$14,Assumptions!$B$15)</f>
        <v>-0.0370290969891842</v>
      </c>
      <c r="J43" s="8" t="n">
        <f aca="true">NORMINV(RAND(),Assumptions!$B$14,Assumptions!$B$15)</f>
        <v>-0.00983740780644941</v>
      </c>
      <c r="K43" s="8" t="n">
        <f aca="true">NORMINV(RAND(),Assumptions!$B$14,Assumptions!$B$15)</f>
        <v>0.0525924715814978</v>
      </c>
      <c r="L43" s="8" t="n">
        <f aca="true">NORMINV(RAND(),Assumptions!$B$14,Assumptions!$B$15)</f>
        <v>0.0405242401204403</v>
      </c>
      <c r="M43" s="6" t="n">
        <f aca="false">B43-Assumptions!$B$29</f>
        <v>391263.996662504</v>
      </c>
      <c r="N43" s="6" t="n">
        <f aca="false">W43-Assumptions!$B$29</f>
        <v>363944.935424704</v>
      </c>
      <c r="O43" s="6" t="n">
        <f aca="false">X43-Assumptions!$B$29</f>
        <v>323229.723839187</v>
      </c>
      <c r="P43" s="6" t="n">
        <f aca="false">Y43-Assumptions!$B$29</f>
        <v>292016.979725462</v>
      </c>
      <c r="Q43" s="6" t="n">
        <f aca="false">Z43-Assumptions!$B$29</f>
        <v>246378.615802169</v>
      </c>
      <c r="R43" s="6" t="n">
        <f aca="false">AA43-Assumptions!$B$29</f>
        <v>196780.15685278</v>
      </c>
      <c r="S43" s="6" t="n">
        <f aca="false">AB43-Assumptions!$B$29</f>
        <v>155442.091071978</v>
      </c>
      <c r="T43" s="6" t="n">
        <f aca="false">AC43-Assumptions!$B$29</f>
        <v>99686.2108054723</v>
      </c>
      <c r="U43" s="6" t="n">
        <f aca="false">AD43-Assumptions!$B$29</f>
        <v>48705.5568970992</v>
      </c>
      <c r="V43" s="6" t="n">
        <f aca="false">AE43-Assumptions!$B$29</f>
        <v>1267.10251407089</v>
      </c>
      <c r="W43" s="6" t="n">
        <f aca="false">M43*(1+C43)</f>
        <v>413944.935424704</v>
      </c>
      <c r="X43" s="6" t="n">
        <f aca="false">N43*(1+D43)</f>
        <v>373229.723839187</v>
      </c>
      <c r="Y43" s="6" t="n">
        <f aca="false">O43*(1+E43)</f>
        <v>342016.979725462</v>
      </c>
      <c r="Z43" s="6" t="n">
        <f aca="false">P43*(1+F43)</f>
        <v>296378.615802169</v>
      </c>
      <c r="AA43" s="6" t="n">
        <f aca="false">Q43*(1+G43)</f>
        <v>246780.15685278</v>
      </c>
      <c r="AB43" s="6" t="n">
        <f aca="false">R43*(1+H43)</f>
        <v>205442.091071978</v>
      </c>
      <c r="AC43" s="6" t="n">
        <f aca="false">S43*(1+I43)</f>
        <v>149686.210805472</v>
      </c>
      <c r="AD43" s="6" t="n">
        <f aca="false">T43*(1+J43)</f>
        <v>98705.5568970992</v>
      </c>
      <c r="AE43" s="6" t="n">
        <f aca="false">U43*(1+K43)</f>
        <v>51267.1025140709</v>
      </c>
      <c r="AF43" s="6" t="n">
        <f aca="false">V43*(1+L43)</f>
        <v>1318.45088060831</v>
      </c>
      <c r="AG43" s="6" t="n">
        <f aca="false">MIN(M43:V43)</f>
        <v>1267.10251407089</v>
      </c>
      <c r="AH43" s="19" t="n">
        <f aca="false">IF(AG43&gt;=0,1,0)</f>
        <v>1</v>
      </c>
    </row>
    <row r="44" customFormat="false" ht="15" hidden="false" customHeight="false" outlineLevel="0" collapsed="false">
      <c r="A44" s="0" t="n">
        <f aca="false">ROW()-1</f>
        <v>43</v>
      </c>
      <c r="B44" s="6" t="n">
        <f aca="false">Assumptions!$B$35</f>
        <v>441263.996662504</v>
      </c>
      <c r="C44" s="8" t="n">
        <f aca="true">NORMINV(RAND(),Assumptions!$B$14,Assumptions!$B$15)</f>
        <v>0.024084189851648</v>
      </c>
      <c r="D44" s="8" t="n">
        <f aca="true">NORMINV(RAND(),Assumptions!$B$14,Assumptions!$B$15)</f>
        <v>0.0404599564932662</v>
      </c>
      <c r="E44" s="8" t="n">
        <f aca="true">NORMINV(RAND(),Assumptions!$B$14,Assumptions!$B$15)</f>
        <v>0.00178147169601501</v>
      </c>
      <c r="F44" s="8" t="n">
        <f aca="true">NORMINV(RAND(),Assumptions!$B$14,Assumptions!$B$15)</f>
        <v>0.0639940829102082</v>
      </c>
      <c r="G44" s="8" t="n">
        <f aca="true">NORMINV(RAND(),Assumptions!$B$14,Assumptions!$B$15)</f>
        <v>0.0522942646212573</v>
      </c>
      <c r="H44" s="8" t="n">
        <f aca="true">NORMINV(RAND(),Assumptions!$B$14,Assumptions!$B$15)</f>
        <v>0.0397567067140758</v>
      </c>
      <c r="I44" s="8" t="n">
        <f aca="true">NORMINV(RAND(),Assumptions!$B$14,Assumptions!$B$15)</f>
        <v>0.0605804981464578</v>
      </c>
      <c r="J44" s="8" t="n">
        <f aca="true">NORMINV(RAND(),Assumptions!$B$14,Assumptions!$B$15)</f>
        <v>0.0955394511155311</v>
      </c>
      <c r="K44" s="8" t="n">
        <f aca="true">NORMINV(RAND(),Assumptions!$B$14,Assumptions!$B$15)</f>
        <v>0.0491486628502905</v>
      </c>
      <c r="L44" s="8" t="n">
        <f aca="true">NORMINV(RAND(),Assumptions!$B$14,Assumptions!$B$15)</f>
        <v>0.0272874815195063</v>
      </c>
      <c r="M44" s="6" t="n">
        <f aca="false">B44-Assumptions!$B$29</f>
        <v>391263.996662504</v>
      </c>
      <c r="N44" s="6" t="n">
        <f aca="false">W44-Assumptions!$B$29</f>
        <v>350687.273040238</v>
      </c>
      <c r="O44" s="6" t="n">
        <f aca="false">X44-Assumptions!$B$29</f>
        <v>314876.064850188</v>
      </c>
      <c r="P44" s="6" t="n">
        <f aca="false">Y44-Assumptions!$B$29</f>
        <v>265437.007647471</v>
      </c>
      <c r="Q44" s="6" t="n">
        <f aca="false">Z44-Assumptions!$B$29</f>
        <v>232423.405522301</v>
      </c>
      <c r="R44" s="6" t="n">
        <f aca="false">AA44-Assumptions!$B$29</f>
        <v>194577.816594858</v>
      </c>
      <c r="S44" s="6" t="n">
        <f aca="false">AB44-Assumptions!$B$29</f>
        <v>152313.589782285</v>
      </c>
      <c r="T44" s="6" t="n">
        <f aca="false">AC44-Assumptions!$B$29</f>
        <v>111540.822925771</v>
      </c>
      <c r="U44" s="6" t="n">
        <f aca="false">AD44-Assumptions!$B$29</f>
        <v>72197.3719250738</v>
      </c>
      <c r="V44" s="6" t="n">
        <f aca="false">AE44-Assumptions!$B$29</f>
        <v>25745.7762164963</v>
      </c>
      <c r="W44" s="6" t="n">
        <f aca="false">M44*(1+C44)</f>
        <v>400687.273040238</v>
      </c>
      <c r="X44" s="6" t="n">
        <f aca="false">N44*(1+D44)</f>
        <v>364876.064850188</v>
      </c>
      <c r="Y44" s="6" t="n">
        <f aca="false">O44*(1+E44)</f>
        <v>315437.007647471</v>
      </c>
      <c r="Z44" s="6" t="n">
        <f aca="false">P44*(1+F44)</f>
        <v>282423.405522301</v>
      </c>
      <c r="AA44" s="6" t="n">
        <f aca="false">Q44*(1+G44)</f>
        <v>244577.816594858</v>
      </c>
      <c r="AB44" s="6" t="n">
        <f aca="false">R44*(1+H44)</f>
        <v>202313.589782285</v>
      </c>
      <c r="AC44" s="6" t="n">
        <f aca="false">S44*(1+I44)</f>
        <v>161540.822925771</v>
      </c>
      <c r="AD44" s="6" t="n">
        <f aca="false">T44*(1+J44)</f>
        <v>122197.371925074</v>
      </c>
      <c r="AE44" s="6" t="n">
        <f aca="false">U44*(1+K44)</f>
        <v>75745.7762164963</v>
      </c>
      <c r="AF44" s="6" t="n">
        <f aca="false">V44*(1+L44)</f>
        <v>26448.3136092093</v>
      </c>
      <c r="AG44" s="6" t="n">
        <f aca="false">MIN(M44:V44)</f>
        <v>25745.7762164963</v>
      </c>
      <c r="AH44" s="19" t="n">
        <f aca="false">IF(AG44&gt;=0,1,0)</f>
        <v>1</v>
      </c>
    </row>
    <row r="45" customFormat="false" ht="15" hidden="false" customHeight="false" outlineLevel="0" collapsed="false">
      <c r="A45" s="0" t="n">
        <f aca="false">ROW()-1</f>
        <v>44</v>
      </c>
      <c r="B45" s="6" t="n">
        <f aca="false">Assumptions!$B$35</f>
        <v>441263.996662504</v>
      </c>
      <c r="C45" s="8" t="n">
        <f aca="true">NORMINV(RAND(),Assumptions!$B$14,Assumptions!$B$15)</f>
        <v>0.0528744861944941</v>
      </c>
      <c r="D45" s="8" t="n">
        <f aca="true">NORMINV(RAND(),Assumptions!$B$14,Assumptions!$B$15)</f>
        <v>0.0528431142271659</v>
      </c>
      <c r="E45" s="8" t="n">
        <f aca="true">NORMINV(RAND(),Assumptions!$B$14,Assumptions!$B$15)</f>
        <v>0.0445538068006827</v>
      </c>
      <c r="F45" s="8" t="n">
        <f aca="true">NORMINV(RAND(),Assumptions!$B$14,Assumptions!$B$15)</f>
        <v>0.0543338248973177</v>
      </c>
      <c r="G45" s="8" t="n">
        <f aca="true">NORMINV(RAND(),Assumptions!$B$14,Assumptions!$B$15)</f>
        <v>0.0811310459552179</v>
      </c>
      <c r="H45" s="8" t="n">
        <f aca="true">NORMINV(RAND(),Assumptions!$B$14,Assumptions!$B$15)</f>
        <v>0.052015603854096</v>
      </c>
      <c r="I45" s="8" t="n">
        <f aca="true">NORMINV(RAND(),Assumptions!$B$14,Assumptions!$B$15)</f>
        <v>0.030070992254919</v>
      </c>
      <c r="J45" s="8" t="n">
        <f aca="true">NORMINV(RAND(),Assumptions!$B$14,Assumptions!$B$15)</f>
        <v>0.0135368003493687</v>
      </c>
      <c r="K45" s="8" t="n">
        <f aca="true">NORMINV(RAND(),Assumptions!$B$14,Assumptions!$B$15)</f>
        <v>0.0355219988266787</v>
      </c>
      <c r="L45" s="8" t="n">
        <f aca="true">NORMINV(RAND(),Assumptions!$B$14,Assumptions!$B$15)</f>
        <v>0.0638830511953861</v>
      </c>
      <c r="M45" s="6" t="n">
        <f aca="false">B45-Assumptions!$B$29</f>
        <v>391263.996662504</v>
      </c>
      <c r="N45" s="6" t="n">
        <f aca="false">W45-Assumptions!$B$29</f>
        <v>361951.879452438</v>
      </c>
      <c r="O45" s="6" t="n">
        <f aca="false">X45-Assumptions!$B$29</f>
        <v>331078.54396308</v>
      </c>
      <c r="P45" s="6" t="n">
        <f aca="false">Y45-Assumptions!$B$29</f>
        <v>295829.353446663</v>
      </c>
      <c r="Q45" s="6" t="n">
        <f aca="false">Z45-Assumptions!$B$29</f>
        <v>261902.89373632</v>
      </c>
      <c r="R45" s="6" t="n">
        <f aca="false">AA45-Assumptions!$B$29</f>
        <v>233151.349443846</v>
      </c>
      <c r="S45" s="6" t="n">
        <f aca="false">AB45-Assumptions!$B$29</f>
        <v>195278.857674565</v>
      </c>
      <c r="T45" s="6" t="n">
        <f aca="false">AC45-Assumptions!$B$29</f>
        <v>151151.086691247</v>
      </c>
      <c r="U45" s="6" t="n">
        <f aca="false">AD45-Assumptions!$B$29</f>
        <v>103197.188774376</v>
      </c>
      <c r="V45" s="6" t="n">
        <f aca="false">AE45-Assumptions!$B$29</f>
        <v>56862.959192936</v>
      </c>
      <c r="W45" s="6" t="n">
        <f aca="false">M45*(1+C45)</f>
        <v>411951.879452438</v>
      </c>
      <c r="X45" s="6" t="n">
        <f aca="false">N45*(1+D45)</f>
        <v>381078.54396308</v>
      </c>
      <c r="Y45" s="6" t="n">
        <f aca="false">O45*(1+E45)</f>
        <v>345829.353446663</v>
      </c>
      <c r="Z45" s="6" t="n">
        <f aca="false">P45*(1+F45)</f>
        <v>311902.89373632</v>
      </c>
      <c r="AA45" s="6" t="n">
        <f aca="false">Q45*(1+G45)</f>
        <v>283151.349443846</v>
      </c>
      <c r="AB45" s="6" t="n">
        <f aca="false">R45*(1+H45)</f>
        <v>245278.857674565</v>
      </c>
      <c r="AC45" s="6" t="n">
        <f aca="false">S45*(1+I45)</f>
        <v>201151.086691247</v>
      </c>
      <c r="AD45" s="6" t="n">
        <f aca="false">T45*(1+J45)</f>
        <v>153197.188774376</v>
      </c>
      <c r="AE45" s="6" t="n">
        <f aca="false">U45*(1+K45)</f>
        <v>106862.959192936</v>
      </c>
      <c r="AF45" s="6" t="n">
        <f aca="false">V45*(1+L45)</f>
        <v>60495.5385261795</v>
      </c>
      <c r="AG45" s="6" t="n">
        <f aca="false">MIN(M45:V45)</f>
        <v>56862.959192936</v>
      </c>
      <c r="AH45" s="19" t="n">
        <f aca="false">IF(AG45&gt;=0,1,0)</f>
        <v>1</v>
      </c>
    </row>
    <row r="46" customFormat="false" ht="15" hidden="false" customHeight="false" outlineLevel="0" collapsed="false">
      <c r="A46" s="0" t="n">
        <f aca="false">ROW()-1</f>
        <v>45</v>
      </c>
      <c r="B46" s="6" t="n">
        <f aca="false">Assumptions!$B$35</f>
        <v>441263.996662504</v>
      </c>
      <c r="C46" s="8" t="n">
        <f aca="true">NORMINV(RAND(),Assumptions!$B$14,Assumptions!$B$15)</f>
        <v>0.111307951646141</v>
      </c>
      <c r="D46" s="8" t="n">
        <f aca="true">NORMINV(RAND(),Assumptions!$B$14,Assumptions!$B$15)</f>
        <v>0.0634436576885062</v>
      </c>
      <c r="E46" s="8" t="n">
        <f aca="true">NORMINV(RAND(),Assumptions!$B$14,Assumptions!$B$15)</f>
        <v>0.0922382346860368</v>
      </c>
      <c r="F46" s="8" t="n">
        <f aca="true">NORMINV(RAND(),Assumptions!$B$14,Assumptions!$B$15)</f>
        <v>0.0440906295595186</v>
      </c>
      <c r="G46" s="8" t="n">
        <f aca="true">NORMINV(RAND(),Assumptions!$B$14,Assumptions!$B$15)</f>
        <v>0.03107019899976</v>
      </c>
      <c r="H46" s="8" t="n">
        <f aca="true">NORMINV(RAND(),Assumptions!$B$14,Assumptions!$B$15)</f>
        <v>0.0298366060597962</v>
      </c>
      <c r="I46" s="8" t="n">
        <f aca="true">NORMINV(RAND(),Assumptions!$B$14,Assumptions!$B$15)</f>
        <v>0.0094601671274392</v>
      </c>
      <c r="J46" s="8" t="n">
        <f aca="true">NORMINV(RAND(),Assumptions!$B$14,Assumptions!$B$15)</f>
        <v>0.0144871998698146</v>
      </c>
      <c r="K46" s="8" t="n">
        <f aca="true">NORMINV(RAND(),Assumptions!$B$14,Assumptions!$B$15)</f>
        <v>0.0119941901907479</v>
      </c>
      <c r="L46" s="8" t="n">
        <f aca="true">NORMINV(RAND(),Assumptions!$B$14,Assumptions!$B$15)</f>
        <v>0.00247482032905937</v>
      </c>
      <c r="M46" s="6" t="n">
        <f aca="false">B46-Assumptions!$B$29</f>
        <v>391263.996662504</v>
      </c>
      <c r="N46" s="6" t="n">
        <f aca="false">W46-Assumptions!$B$29</f>
        <v>384814.790683889</v>
      </c>
      <c r="O46" s="6" t="n">
        <f aca="false">X46-Assumptions!$B$29</f>
        <v>359228.848537512</v>
      </c>
      <c r="P46" s="6" t="n">
        <f aca="false">Y46-Assumptions!$B$29</f>
        <v>342363.48337491</v>
      </c>
      <c r="Q46" s="6" t="n">
        <f aca="false">Z46-Assumptions!$B$29</f>
        <v>307458.504895099</v>
      </c>
      <c r="R46" s="6" t="n">
        <f aca="false">AA46-Assumptions!$B$29</f>
        <v>267011.301826359</v>
      </c>
      <c r="S46" s="6" t="n">
        <f aca="false">AB46-Assumptions!$B$29</f>
        <v>224978.012852465</v>
      </c>
      <c r="T46" s="6" t="n">
        <f aca="false">AC46-Assumptions!$B$29</f>
        <v>177106.342454049</v>
      </c>
      <c r="U46" s="6" t="n">
        <f aca="false">AD46-Assumptions!$B$29</f>
        <v>129672.117435392</v>
      </c>
      <c r="V46" s="6" t="n">
        <f aca="false">AE46-Assumptions!$B$29</f>
        <v>81227.4294743494</v>
      </c>
      <c r="W46" s="6" t="n">
        <f aca="false">M46*(1+C46)</f>
        <v>434814.790683889</v>
      </c>
      <c r="X46" s="6" t="n">
        <f aca="false">N46*(1+D46)</f>
        <v>409228.848537512</v>
      </c>
      <c r="Y46" s="6" t="n">
        <f aca="false">O46*(1+E46)</f>
        <v>392363.48337491</v>
      </c>
      <c r="Z46" s="6" t="n">
        <f aca="false">P46*(1+F46)</f>
        <v>357458.504895099</v>
      </c>
      <c r="AA46" s="6" t="n">
        <f aca="false">Q46*(1+G46)</f>
        <v>317011.301826359</v>
      </c>
      <c r="AB46" s="6" t="n">
        <f aca="false">R46*(1+H46)</f>
        <v>274978.012852465</v>
      </c>
      <c r="AC46" s="6" t="n">
        <f aca="false">S46*(1+I46)</f>
        <v>227106.342454049</v>
      </c>
      <c r="AD46" s="6" t="n">
        <f aca="false">T46*(1+J46)</f>
        <v>179672.117435392</v>
      </c>
      <c r="AE46" s="6" t="n">
        <f aca="false">U46*(1+K46)</f>
        <v>131227.429474349</v>
      </c>
      <c r="AF46" s="6" t="n">
        <f aca="false">V46*(1+L46)</f>
        <v>81428.4527680898</v>
      </c>
      <c r="AG46" s="6" t="n">
        <f aca="false">MIN(M46:V46)</f>
        <v>81227.4294743494</v>
      </c>
      <c r="AH46" s="19" t="n">
        <f aca="false">IF(AG46&gt;=0,1,0)</f>
        <v>1</v>
      </c>
    </row>
    <row r="47" customFormat="false" ht="15" hidden="false" customHeight="false" outlineLevel="0" collapsed="false">
      <c r="A47" s="0" t="n">
        <f aca="false">ROW()-1</f>
        <v>46</v>
      </c>
      <c r="B47" s="6" t="n">
        <f aca="false">Assumptions!$B$35</f>
        <v>441263.996662504</v>
      </c>
      <c r="C47" s="8" t="n">
        <f aca="true">NORMINV(RAND(),Assumptions!$B$14,Assumptions!$B$15)</f>
        <v>0.0538311319268544</v>
      </c>
      <c r="D47" s="8" t="n">
        <f aca="true">NORMINV(RAND(),Assumptions!$B$14,Assumptions!$B$15)</f>
        <v>0.0402358101515325</v>
      </c>
      <c r="E47" s="8" t="n">
        <f aca="true">NORMINV(RAND(),Assumptions!$B$14,Assumptions!$B$15)</f>
        <v>0.05956297219805</v>
      </c>
      <c r="F47" s="8" t="n">
        <f aca="true">NORMINV(RAND(),Assumptions!$B$14,Assumptions!$B$15)</f>
        <v>0.0654742391648923</v>
      </c>
      <c r="G47" s="8" t="n">
        <f aca="true">NORMINV(RAND(),Assumptions!$B$14,Assumptions!$B$15)</f>
        <v>0.101548365534267</v>
      </c>
      <c r="H47" s="8" t="n">
        <f aca="true">NORMINV(RAND(),Assumptions!$B$14,Assumptions!$B$15)</f>
        <v>0.0144150996231468</v>
      </c>
      <c r="I47" s="8" t="n">
        <f aca="true">NORMINV(RAND(),Assumptions!$B$14,Assumptions!$B$15)</f>
        <v>0.0677477737890851</v>
      </c>
      <c r="J47" s="8" t="n">
        <f aca="true">NORMINV(RAND(),Assumptions!$B$14,Assumptions!$B$15)</f>
        <v>0.0810314233033798</v>
      </c>
      <c r="K47" s="8" t="n">
        <f aca="true">NORMINV(RAND(),Assumptions!$B$14,Assumptions!$B$15)</f>
        <v>0.0393877174780586</v>
      </c>
      <c r="L47" s="8" t="n">
        <f aca="true">NORMINV(RAND(),Assumptions!$B$14,Assumptions!$B$15)</f>
        <v>-0.0159657217942156</v>
      </c>
      <c r="M47" s="6" t="n">
        <f aca="false">B47-Assumptions!$B$29</f>
        <v>391263.996662504</v>
      </c>
      <c r="N47" s="6" t="n">
        <f aca="false">W47-Assumptions!$B$29</f>
        <v>362326.180485071</v>
      </c>
      <c r="O47" s="6" t="n">
        <f aca="false">X47-Assumptions!$B$29</f>
        <v>326904.667895998</v>
      </c>
      <c r="P47" s="6" t="n">
        <f aca="false">Y47-Assumptions!$B$29</f>
        <v>296376.0815413</v>
      </c>
      <c r="Q47" s="6" t="n">
        <f aca="false">Z47-Assumptions!$B$29</f>
        <v>265781.079986889</v>
      </c>
      <c r="R47" s="6" t="n">
        <f aca="false">AA47-Assumptions!$B$29</f>
        <v>242770.71424949</v>
      </c>
      <c r="S47" s="6" t="n">
        <f aca="false">AB47-Assumptions!$B$29</f>
        <v>196270.278280979</v>
      </c>
      <c r="T47" s="6" t="n">
        <f aca="false">AC47-Assumptions!$B$29</f>
        <v>159567.152695479</v>
      </c>
      <c r="U47" s="6" t="n">
        <f aca="false">AD47-Assumptions!$B$29</f>
        <v>122497.106190862</v>
      </c>
      <c r="V47" s="6" t="n">
        <f aca="false">AE47-Assumptions!$B$29</f>
        <v>77321.9876013873</v>
      </c>
      <c r="W47" s="6" t="n">
        <f aca="false">M47*(1+C47)</f>
        <v>412326.180485071</v>
      </c>
      <c r="X47" s="6" t="n">
        <f aca="false">N47*(1+D47)</f>
        <v>376904.667895998</v>
      </c>
      <c r="Y47" s="6" t="n">
        <f aca="false">O47*(1+E47)</f>
        <v>346376.0815413</v>
      </c>
      <c r="Z47" s="6" t="n">
        <f aca="false">P47*(1+F47)</f>
        <v>315781.079986889</v>
      </c>
      <c r="AA47" s="6" t="n">
        <f aca="false">Q47*(1+G47)</f>
        <v>292770.71424949</v>
      </c>
      <c r="AB47" s="6" t="n">
        <f aca="false">R47*(1+H47)</f>
        <v>246270.278280979</v>
      </c>
      <c r="AC47" s="6" t="n">
        <f aca="false">S47*(1+I47)</f>
        <v>209567.152695479</v>
      </c>
      <c r="AD47" s="6" t="n">
        <f aca="false">T47*(1+J47)</f>
        <v>172497.106190862</v>
      </c>
      <c r="AE47" s="6" t="n">
        <f aca="false">U47*(1+K47)</f>
        <v>127321.987601387</v>
      </c>
      <c r="AF47" s="6" t="n">
        <f aca="false">V47*(1+L47)</f>
        <v>76087.4862587678</v>
      </c>
      <c r="AG47" s="6" t="n">
        <f aca="false">MIN(M47:V47)</f>
        <v>77321.9876013873</v>
      </c>
      <c r="AH47" s="19" t="n">
        <f aca="false">IF(AG47&gt;=0,1,0)</f>
        <v>1</v>
      </c>
    </row>
    <row r="48" customFormat="false" ht="15" hidden="false" customHeight="false" outlineLevel="0" collapsed="false">
      <c r="A48" s="0" t="n">
        <f aca="false">ROW()-1</f>
        <v>47</v>
      </c>
      <c r="B48" s="6" t="n">
        <f aca="false">Assumptions!$B$35</f>
        <v>441263.996662504</v>
      </c>
      <c r="C48" s="8" t="n">
        <f aca="true">NORMINV(RAND(),Assumptions!$B$14,Assumptions!$B$15)</f>
        <v>0.0615938474486821</v>
      </c>
      <c r="D48" s="8" t="n">
        <f aca="true">NORMINV(RAND(),Assumptions!$B$14,Assumptions!$B$15)</f>
        <v>0.0658933959184446</v>
      </c>
      <c r="E48" s="8" t="n">
        <f aca="true">NORMINV(RAND(),Assumptions!$B$14,Assumptions!$B$15)</f>
        <v>0.086313771692933</v>
      </c>
      <c r="F48" s="8" t="n">
        <f aca="true">NORMINV(RAND(),Assumptions!$B$14,Assumptions!$B$15)</f>
        <v>0.0597940425073224</v>
      </c>
      <c r="G48" s="8" t="n">
        <f aca="true">NORMINV(RAND(),Assumptions!$B$14,Assumptions!$B$15)</f>
        <v>0.0481411926575859</v>
      </c>
      <c r="H48" s="8" t="n">
        <f aca="true">NORMINV(RAND(),Assumptions!$B$14,Assumptions!$B$15)</f>
        <v>0.0818969289860941</v>
      </c>
      <c r="I48" s="8" t="n">
        <f aca="true">NORMINV(RAND(),Assumptions!$B$14,Assumptions!$B$15)</f>
        <v>0.0874748518743841</v>
      </c>
      <c r="J48" s="8" t="n">
        <f aca="true">NORMINV(RAND(),Assumptions!$B$14,Assumptions!$B$15)</f>
        <v>0.0393967151052625</v>
      </c>
      <c r="K48" s="8" t="n">
        <f aca="true">NORMINV(RAND(),Assumptions!$B$14,Assumptions!$B$15)</f>
        <v>0.0129235722135005</v>
      </c>
      <c r="L48" s="8" t="n">
        <f aca="true">NORMINV(RAND(),Assumptions!$B$14,Assumptions!$B$15)</f>
        <v>0.0235626844934897</v>
      </c>
      <c r="M48" s="6" t="n">
        <f aca="false">B48-Assumptions!$B$29</f>
        <v>391263.996662504</v>
      </c>
      <c r="N48" s="6" t="n">
        <f aca="false">W48-Assumptions!$B$29</f>
        <v>365363.451585095</v>
      </c>
      <c r="O48" s="6" t="n">
        <f aca="false">X48-Assumptions!$B$29</f>
        <v>339438.490154522</v>
      </c>
      <c r="P48" s="6" t="n">
        <f aca="false">Y48-Assumptions!$B$29</f>
        <v>318736.706497513</v>
      </c>
      <c r="Q48" s="6" t="n">
        <f aca="false">Z48-Assumptions!$B$29</f>
        <v>287795.262674469</v>
      </c>
      <c r="R48" s="6" t="n">
        <f aca="false">AA48-Assumptions!$B$29</f>
        <v>251650.069860821</v>
      </c>
      <c r="S48" s="6" t="n">
        <f aca="false">AB48-Assumptions!$B$29</f>
        <v>222259.437761559</v>
      </c>
      <c r="T48" s="6" t="n">
        <f aca="false">AC48-Assumptions!$B$29</f>
        <v>191701.549157435</v>
      </c>
      <c r="U48" s="6" t="n">
        <f aca="false">AD48-Assumptions!$B$29</f>
        <v>149253.960474828</v>
      </c>
      <c r="V48" s="6" t="n">
        <f aca="false">AE48-Assumptions!$B$29</f>
        <v>101182.854811175</v>
      </c>
      <c r="W48" s="6" t="n">
        <f aca="false">M48*(1+C48)</f>
        <v>415363.451585095</v>
      </c>
      <c r="X48" s="6" t="n">
        <f aca="false">N48*(1+D48)</f>
        <v>389438.490154522</v>
      </c>
      <c r="Y48" s="6" t="n">
        <f aca="false">O48*(1+E48)</f>
        <v>368736.706497513</v>
      </c>
      <c r="Z48" s="6" t="n">
        <f aca="false">P48*(1+F48)</f>
        <v>337795.262674469</v>
      </c>
      <c r="AA48" s="6" t="n">
        <f aca="false">Q48*(1+G48)</f>
        <v>301650.069860821</v>
      </c>
      <c r="AB48" s="6" t="n">
        <f aca="false">R48*(1+H48)</f>
        <v>272259.437761559</v>
      </c>
      <c r="AC48" s="6" t="n">
        <f aca="false">S48*(1+I48)</f>
        <v>241701.549157435</v>
      </c>
      <c r="AD48" s="6" t="n">
        <f aca="false">T48*(1+J48)</f>
        <v>199253.960474828</v>
      </c>
      <c r="AE48" s="6" t="n">
        <f aca="false">U48*(1+K48)</f>
        <v>151182.854811175</v>
      </c>
      <c r="AF48" s="6" t="n">
        <f aca="false">V48*(1+L48)</f>
        <v>103566.994495241</v>
      </c>
      <c r="AG48" s="6" t="n">
        <f aca="false">MIN(M48:V48)</f>
        <v>101182.854811175</v>
      </c>
      <c r="AH48" s="19" t="n">
        <f aca="false">IF(AG48&gt;=0,1,0)</f>
        <v>1</v>
      </c>
    </row>
    <row r="49" customFormat="false" ht="15" hidden="false" customHeight="false" outlineLevel="0" collapsed="false">
      <c r="A49" s="0" t="n">
        <f aca="false">ROW()-1</f>
        <v>48</v>
      </c>
      <c r="B49" s="6" t="n">
        <f aca="false">Assumptions!$B$35</f>
        <v>441263.996662504</v>
      </c>
      <c r="C49" s="8" t="n">
        <f aca="true">NORMINV(RAND(),Assumptions!$B$14,Assumptions!$B$15)</f>
        <v>0.0838659561087578</v>
      </c>
      <c r="D49" s="8" t="n">
        <f aca="true">NORMINV(RAND(),Assumptions!$B$14,Assumptions!$B$15)</f>
        <v>0.0474124227004581</v>
      </c>
      <c r="E49" s="8" t="n">
        <f aca="true">NORMINV(RAND(),Assumptions!$B$14,Assumptions!$B$15)</f>
        <v>0.0599783999729406</v>
      </c>
      <c r="F49" s="8" t="n">
        <f aca="true">NORMINV(RAND(),Assumptions!$B$14,Assumptions!$B$15)</f>
        <v>-0.0103690415859584</v>
      </c>
      <c r="G49" s="8" t="n">
        <f aca="true">NORMINV(RAND(),Assumptions!$B$14,Assumptions!$B$15)</f>
        <v>0.0645449824039959</v>
      </c>
      <c r="H49" s="8" t="n">
        <f aca="true">NORMINV(RAND(),Assumptions!$B$14,Assumptions!$B$15)</f>
        <v>0.0172708289899162</v>
      </c>
      <c r="I49" s="8" t="n">
        <f aca="true">NORMINV(RAND(),Assumptions!$B$14,Assumptions!$B$15)</f>
        <v>0.0524302489136829</v>
      </c>
      <c r="J49" s="8" t="n">
        <f aca="true">NORMINV(RAND(),Assumptions!$B$14,Assumptions!$B$15)</f>
        <v>-0.00638103286634269</v>
      </c>
      <c r="K49" s="8" t="n">
        <f aca="true">NORMINV(RAND(),Assumptions!$B$14,Assumptions!$B$15)</f>
        <v>0.00816460180436521</v>
      </c>
      <c r="L49" s="8" t="n">
        <f aca="true">NORMINV(RAND(),Assumptions!$B$14,Assumptions!$B$15)</f>
        <v>0.0229356134323415</v>
      </c>
      <c r="M49" s="6" t="n">
        <f aca="false">B49-Assumptions!$B$29</f>
        <v>391263.996662504</v>
      </c>
      <c r="N49" s="6" t="n">
        <f aca="false">W49-Assumptions!$B$29</f>
        <v>374077.725833538</v>
      </c>
      <c r="O49" s="6" t="n">
        <f aca="false">X49-Assumptions!$B$29</f>
        <v>341813.657093584</v>
      </c>
      <c r="P49" s="6" t="n">
        <f aca="false">Y49-Assumptions!$B$29</f>
        <v>312315.093334957</v>
      </c>
      <c r="Q49" s="6" t="n">
        <f aca="false">Z49-Assumptions!$B$29</f>
        <v>259076.685144244</v>
      </c>
      <c r="R49" s="6" t="n">
        <f aca="false">AA49-Assumptions!$B$29</f>
        <v>225798.785228165</v>
      </c>
      <c r="S49" s="6" t="n">
        <f aca="false">AB49-Assumptions!$B$29</f>
        <v>179698.517433971</v>
      </c>
      <c r="T49" s="6" t="n">
        <f aca="false">AC49-Assumptions!$B$29</f>
        <v>139120.155432454</v>
      </c>
      <c r="U49" s="6" t="n">
        <f aca="false">AD49-Assumptions!$B$29</f>
        <v>88232.425148269</v>
      </c>
      <c r="V49" s="6" t="n">
        <f aca="false">AE49-Assumptions!$B$29</f>
        <v>38952.807765838</v>
      </c>
      <c r="W49" s="6" t="n">
        <f aca="false">M49*(1+C49)</f>
        <v>424077.725833538</v>
      </c>
      <c r="X49" s="6" t="n">
        <f aca="false">N49*(1+D49)</f>
        <v>391813.657093584</v>
      </c>
      <c r="Y49" s="6" t="n">
        <f aca="false">O49*(1+E49)</f>
        <v>362315.093334957</v>
      </c>
      <c r="Z49" s="6" t="n">
        <f aca="false">P49*(1+F49)</f>
        <v>309076.685144244</v>
      </c>
      <c r="AA49" s="6" t="n">
        <f aca="false">Q49*(1+G49)</f>
        <v>275798.785228165</v>
      </c>
      <c r="AB49" s="6" t="n">
        <f aca="false">R49*(1+H49)</f>
        <v>229698.517433971</v>
      </c>
      <c r="AC49" s="6" t="n">
        <f aca="false">S49*(1+I49)</f>
        <v>189120.155432454</v>
      </c>
      <c r="AD49" s="6" t="n">
        <f aca="false">T49*(1+J49)</f>
        <v>138232.425148269</v>
      </c>
      <c r="AE49" s="6" t="n">
        <f aca="false">U49*(1+K49)</f>
        <v>88952.807765838</v>
      </c>
      <c r="AF49" s="6" t="n">
        <f aca="false">V49*(1+L49)</f>
        <v>39846.2143068596</v>
      </c>
      <c r="AG49" s="6" t="n">
        <f aca="false">MIN(M49:V49)</f>
        <v>38952.807765838</v>
      </c>
      <c r="AH49" s="19" t="n">
        <f aca="false">IF(AG49&gt;=0,1,0)</f>
        <v>1</v>
      </c>
    </row>
    <row r="50" customFormat="false" ht="15" hidden="false" customHeight="false" outlineLevel="0" collapsed="false">
      <c r="A50" s="0" t="n">
        <f aca="false">ROW()-1</f>
        <v>49</v>
      </c>
      <c r="B50" s="6" t="n">
        <f aca="false">Assumptions!$B$35</f>
        <v>441263.996662504</v>
      </c>
      <c r="C50" s="8" t="n">
        <f aca="true">NORMINV(RAND(),Assumptions!$B$14,Assumptions!$B$15)</f>
        <v>0.0783555015587288</v>
      </c>
      <c r="D50" s="8" t="n">
        <f aca="true">NORMINV(RAND(),Assumptions!$B$14,Assumptions!$B$15)</f>
        <v>0.060524218847299</v>
      </c>
      <c r="E50" s="8" t="n">
        <f aca="true">NORMINV(RAND(),Assumptions!$B$14,Assumptions!$B$15)</f>
        <v>0.0440878606598221</v>
      </c>
      <c r="F50" s="8" t="n">
        <f aca="true">NORMINV(RAND(),Assumptions!$B$14,Assumptions!$B$15)</f>
        <v>0.0504204318581666</v>
      </c>
      <c r="G50" s="8" t="n">
        <f aca="true">NORMINV(RAND(),Assumptions!$B$14,Assumptions!$B$15)</f>
        <v>0.0491553049027246</v>
      </c>
      <c r="H50" s="8" t="n">
        <f aca="true">NORMINV(RAND(),Assumptions!$B$14,Assumptions!$B$15)</f>
        <v>0.0197465741123834</v>
      </c>
      <c r="I50" s="8" t="n">
        <f aca="true">NORMINV(RAND(),Assumptions!$B$14,Assumptions!$B$15)</f>
        <v>0.0670749570887311</v>
      </c>
      <c r="J50" s="8" t="n">
        <f aca="true">NORMINV(RAND(),Assumptions!$B$14,Assumptions!$B$15)</f>
        <v>0.064859505406131</v>
      </c>
      <c r="K50" s="8" t="n">
        <f aca="true">NORMINV(RAND(),Assumptions!$B$14,Assumptions!$B$15)</f>
        <v>0.0591579468408839</v>
      </c>
      <c r="L50" s="8" t="n">
        <f aca="true">NORMINV(RAND(),Assumptions!$B$14,Assumptions!$B$15)</f>
        <v>0.0849070828293363</v>
      </c>
      <c r="M50" s="6" t="n">
        <f aca="false">B50-Assumptions!$B$29</f>
        <v>391263.996662504</v>
      </c>
      <c r="N50" s="6" t="n">
        <f aca="false">W50-Assumptions!$B$29</f>
        <v>371921.683362867</v>
      </c>
      <c r="O50" s="6" t="n">
        <f aca="false">X50-Assumptions!$B$29</f>
        <v>344431.952720777</v>
      </c>
      <c r="P50" s="6" t="n">
        <f aca="false">Y50-Assumptions!$B$29</f>
        <v>309617.220659121</v>
      </c>
      <c r="Q50" s="6" t="n">
        <f aca="false">Z50-Assumptions!$B$29</f>
        <v>275228.254635479</v>
      </c>
      <c r="R50" s="6" t="n">
        <f aca="false">AA50-Assumptions!$B$29</f>
        <v>238757.183409931</v>
      </c>
      <c r="S50" s="6" t="n">
        <f aca="false">AB50-Assumptions!$B$29</f>
        <v>193471.819826999</v>
      </c>
      <c r="T50" s="6" t="n">
        <f aca="false">AC50-Assumptions!$B$29</f>
        <v>156448.933839773</v>
      </c>
      <c r="U50" s="6" t="n">
        <f aca="false">AD50-Assumptions!$B$29</f>
        <v>116596.134309938</v>
      </c>
      <c r="V50" s="6" t="n">
        <f aca="false">AE50-Assumptions!$B$29</f>
        <v>73493.7222252975</v>
      </c>
      <c r="W50" s="6" t="n">
        <f aca="false">M50*(1+C50)</f>
        <v>421921.683362867</v>
      </c>
      <c r="X50" s="6" t="n">
        <f aca="false">N50*(1+D50)</f>
        <v>394431.952720777</v>
      </c>
      <c r="Y50" s="6" t="n">
        <f aca="false">O50*(1+E50)</f>
        <v>359617.220659121</v>
      </c>
      <c r="Z50" s="6" t="n">
        <f aca="false">P50*(1+F50)</f>
        <v>325228.254635479</v>
      </c>
      <c r="AA50" s="6" t="n">
        <f aca="false">Q50*(1+G50)</f>
        <v>288757.183409931</v>
      </c>
      <c r="AB50" s="6" t="n">
        <f aca="false">R50*(1+H50)</f>
        <v>243471.819826999</v>
      </c>
      <c r="AC50" s="6" t="n">
        <f aca="false">S50*(1+I50)</f>
        <v>206448.933839773</v>
      </c>
      <c r="AD50" s="6" t="n">
        <f aca="false">T50*(1+J50)</f>
        <v>166596.134309938</v>
      </c>
      <c r="AE50" s="6" t="n">
        <f aca="false">U50*(1+K50)</f>
        <v>123493.722225297</v>
      </c>
      <c r="AF50" s="6" t="n">
        <f aca="false">V50*(1+L50)</f>
        <v>79733.8597857171</v>
      </c>
      <c r="AG50" s="6" t="n">
        <f aca="false">MIN(M50:V50)</f>
        <v>73493.7222252975</v>
      </c>
      <c r="AH50" s="19" t="n">
        <f aca="false">IF(AG50&gt;=0,1,0)</f>
        <v>1</v>
      </c>
    </row>
    <row r="51" customFormat="false" ht="15" hidden="false" customHeight="false" outlineLevel="0" collapsed="false">
      <c r="A51" s="0" t="n">
        <f aca="false">ROW()-1</f>
        <v>50</v>
      </c>
      <c r="B51" s="6" t="n">
        <f aca="false">Assumptions!$B$35</f>
        <v>441263.996662504</v>
      </c>
      <c r="C51" s="8" t="n">
        <f aca="true">NORMINV(RAND(),Assumptions!$B$14,Assumptions!$B$15)</f>
        <v>0.0311142332588709</v>
      </c>
      <c r="D51" s="8" t="n">
        <f aca="true">NORMINV(RAND(),Assumptions!$B$14,Assumptions!$B$15)</f>
        <v>0.100375705735251</v>
      </c>
      <c r="E51" s="8" t="n">
        <f aca="true">NORMINV(RAND(),Assumptions!$B$14,Assumptions!$B$15)</f>
        <v>0.0123618614400412</v>
      </c>
      <c r="F51" s="8" t="n">
        <f aca="true">NORMINV(RAND(),Assumptions!$B$14,Assumptions!$B$15)</f>
        <v>0.0972753563632237</v>
      </c>
      <c r="G51" s="8" t="n">
        <f aca="true">NORMINV(RAND(),Assumptions!$B$14,Assumptions!$B$15)</f>
        <v>0.0751007891972155</v>
      </c>
      <c r="H51" s="8" t="n">
        <f aca="true">NORMINV(RAND(),Assumptions!$B$14,Assumptions!$B$15)</f>
        <v>0.00394325137864135</v>
      </c>
      <c r="I51" s="8" t="n">
        <f aca="true">NORMINV(RAND(),Assumptions!$B$14,Assumptions!$B$15)</f>
        <v>0.0265734832573671</v>
      </c>
      <c r="J51" s="8" t="n">
        <f aca="true">NORMINV(RAND(),Assumptions!$B$14,Assumptions!$B$15)</f>
        <v>0.00347625260290794</v>
      </c>
      <c r="K51" s="8" t="n">
        <f aca="true">NORMINV(RAND(),Assumptions!$B$14,Assumptions!$B$15)</f>
        <v>0.041599339588283</v>
      </c>
      <c r="L51" s="8" t="n">
        <f aca="true">NORMINV(RAND(),Assumptions!$B$14,Assumptions!$B$15)</f>
        <v>0.0306550922452842</v>
      </c>
      <c r="M51" s="6" t="n">
        <f aca="false">B51-Assumptions!$B$29</f>
        <v>391263.996662504</v>
      </c>
      <c r="N51" s="6" t="n">
        <f aca="false">W51-Assumptions!$B$29</f>
        <v>353437.875920459</v>
      </c>
      <c r="O51" s="6" t="n">
        <f aca="false">X51-Assumptions!$B$29</f>
        <v>338914.452149543</v>
      </c>
      <c r="P51" s="6" t="n">
        <f aca="false">Y51-Assumptions!$B$29</f>
        <v>293104.065647043</v>
      </c>
      <c r="Q51" s="6" t="n">
        <f aca="false">Z51-Assumptions!$B$29</f>
        <v>271615.868084369</v>
      </c>
      <c r="R51" s="6" t="n">
        <f aca="false">AA51-Assumptions!$B$29</f>
        <v>242014.434135992</v>
      </c>
      <c r="S51" s="6" t="n">
        <f aca="false">AB51-Assumptions!$B$29</f>
        <v>192968.75788705</v>
      </c>
      <c r="T51" s="6" t="n">
        <f aca="false">AC51-Assumptions!$B$29</f>
        <v>148096.609943956</v>
      </c>
      <c r="U51" s="6" t="n">
        <f aca="false">AD51-Assumptions!$B$29</f>
        <v>98611.4311697557</v>
      </c>
      <c r="V51" s="6" t="n">
        <f aca="false">AE51-Assumptions!$B$29</f>
        <v>52713.601582273</v>
      </c>
      <c r="W51" s="6" t="n">
        <f aca="false">M51*(1+C51)</f>
        <v>403437.875920459</v>
      </c>
      <c r="X51" s="6" t="n">
        <f aca="false">N51*(1+D51)</f>
        <v>388914.452149543</v>
      </c>
      <c r="Y51" s="6" t="n">
        <f aca="false">O51*(1+E51)</f>
        <v>343104.065647043</v>
      </c>
      <c r="Z51" s="6" t="n">
        <f aca="false">P51*(1+F51)</f>
        <v>321615.868084369</v>
      </c>
      <c r="AA51" s="6" t="n">
        <f aca="false">Q51*(1+G51)</f>
        <v>292014.434135992</v>
      </c>
      <c r="AB51" s="6" t="n">
        <f aca="false">R51*(1+H51)</f>
        <v>242968.75788705</v>
      </c>
      <c r="AC51" s="6" t="n">
        <f aca="false">S51*(1+I51)</f>
        <v>198096.609943956</v>
      </c>
      <c r="AD51" s="6" t="n">
        <f aca="false">T51*(1+J51)</f>
        <v>148611.431169756</v>
      </c>
      <c r="AE51" s="6" t="n">
        <f aca="false">U51*(1+K51)</f>
        <v>102713.601582273</v>
      </c>
      <c r="AF51" s="6" t="n">
        <f aca="false">V51*(1+L51)</f>
        <v>54329.5419013587</v>
      </c>
      <c r="AG51" s="6" t="n">
        <f aca="false">MIN(M51:V51)</f>
        <v>52713.601582273</v>
      </c>
      <c r="AH51" s="19" t="n">
        <f aca="false">IF(AG51&gt;=0,1,0)</f>
        <v>1</v>
      </c>
    </row>
    <row r="52" customFormat="false" ht="15" hidden="false" customHeight="false" outlineLevel="0" collapsed="false">
      <c r="A52" s="0" t="n">
        <f aca="false">ROW()-1</f>
        <v>51</v>
      </c>
      <c r="B52" s="6" t="n">
        <f aca="false">Assumptions!$B$35</f>
        <v>441263.996662504</v>
      </c>
      <c r="C52" s="8" t="n">
        <f aca="true">NORMINV(RAND(),Assumptions!$B$14,Assumptions!$B$15)</f>
        <v>0.0352605694290552</v>
      </c>
      <c r="D52" s="8" t="n">
        <f aca="true">NORMINV(RAND(),Assumptions!$B$14,Assumptions!$B$15)</f>
        <v>0.0505002563654615</v>
      </c>
      <c r="E52" s="8" t="n">
        <f aca="true">NORMINV(RAND(),Assumptions!$B$14,Assumptions!$B$15)</f>
        <v>0.0140666101267974</v>
      </c>
      <c r="F52" s="8" t="n">
        <f aca="true">NORMINV(RAND(),Assumptions!$B$14,Assumptions!$B$15)</f>
        <v>0.0564857220451395</v>
      </c>
      <c r="G52" s="8" t="n">
        <f aca="true">NORMINV(RAND(),Assumptions!$B$14,Assumptions!$B$15)</f>
        <v>0.0298374764854761</v>
      </c>
      <c r="H52" s="8" t="n">
        <f aca="true">NORMINV(RAND(),Assumptions!$B$14,Assumptions!$B$15)</f>
        <v>0.0516582794796199</v>
      </c>
      <c r="I52" s="8" t="n">
        <f aca="true">NORMINV(RAND(),Assumptions!$B$14,Assumptions!$B$15)</f>
        <v>0.0709847631774805</v>
      </c>
      <c r="J52" s="8" t="n">
        <f aca="true">NORMINV(RAND(),Assumptions!$B$14,Assumptions!$B$15)</f>
        <v>0.0279870146782862</v>
      </c>
      <c r="K52" s="8" t="n">
        <f aca="true">NORMINV(RAND(),Assumptions!$B$14,Assumptions!$B$15)</f>
        <v>0.0113239903908213</v>
      </c>
      <c r="L52" s="8" t="n">
        <f aca="true">NORMINV(RAND(),Assumptions!$B$14,Assumptions!$B$15)</f>
        <v>0.0686480479933995</v>
      </c>
      <c r="M52" s="6" t="n">
        <f aca="false">B52-Assumptions!$B$29</f>
        <v>391263.996662504</v>
      </c>
      <c r="N52" s="6" t="n">
        <f aca="false">W52-Assumptions!$B$29</f>
        <v>355060.187981911</v>
      </c>
      <c r="O52" s="6" t="n">
        <f aca="false">X52-Assumptions!$B$29</f>
        <v>322990.818500167</v>
      </c>
      <c r="P52" s="6" t="n">
        <f aca="false">Y52-Assumptions!$B$29</f>
        <v>277534.204418544</v>
      </c>
      <c r="Q52" s="6" t="n">
        <f aca="false">Z52-Assumptions!$B$29</f>
        <v>243210.924347349</v>
      </c>
      <c r="R52" s="6" t="n">
        <f aca="false">AA52-Assumptions!$B$29</f>
        <v>200467.724583574</v>
      </c>
      <c r="S52" s="6" t="n">
        <f aca="false">AB52-Assumptions!$B$29</f>
        <v>160823.542326755</v>
      </c>
      <c r="T52" s="6" t="n">
        <f aca="false">AC52-Assumptions!$B$29</f>
        <v>122239.563392184</v>
      </c>
      <c r="U52" s="6" t="n">
        <f aca="false">AD52-Assumptions!$B$29</f>
        <v>75660.683847108</v>
      </c>
      <c r="V52" s="6" t="n">
        <f aca="false">AE52-Assumptions!$B$29</f>
        <v>26517.4647039556</v>
      </c>
      <c r="W52" s="6" t="n">
        <f aca="false">M52*(1+C52)</f>
        <v>405060.187981911</v>
      </c>
      <c r="X52" s="6" t="n">
        <f aca="false">N52*(1+D52)</f>
        <v>372990.818500167</v>
      </c>
      <c r="Y52" s="6" t="n">
        <f aca="false">O52*(1+E52)</f>
        <v>327534.204418544</v>
      </c>
      <c r="Z52" s="6" t="n">
        <f aca="false">P52*(1+F52)</f>
        <v>293210.924347349</v>
      </c>
      <c r="AA52" s="6" t="n">
        <f aca="false">Q52*(1+G52)</f>
        <v>250467.724583574</v>
      </c>
      <c r="AB52" s="6" t="n">
        <f aca="false">R52*(1+H52)</f>
        <v>210823.542326755</v>
      </c>
      <c r="AC52" s="6" t="n">
        <f aca="false">S52*(1+I52)</f>
        <v>172239.563392184</v>
      </c>
      <c r="AD52" s="6" t="n">
        <f aca="false">T52*(1+J52)</f>
        <v>125660.683847108</v>
      </c>
      <c r="AE52" s="6" t="n">
        <f aca="false">U52*(1+K52)</f>
        <v>76517.4647039556</v>
      </c>
      <c r="AF52" s="6" t="n">
        <f aca="false">V52*(1+L52)</f>
        <v>28337.836893616</v>
      </c>
      <c r="AG52" s="6" t="n">
        <f aca="false">MIN(M52:V52)</f>
        <v>26517.4647039556</v>
      </c>
      <c r="AH52" s="19" t="n">
        <f aca="false">IF(AG52&gt;=0,1,0)</f>
        <v>1</v>
      </c>
    </row>
    <row r="53" customFormat="false" ht="15" hidden="false" customHeight="false" outlineLevel="0" collapsed="false">
      <c r="A53" s="0" t="n">
        <f aca="false">ROW()-1</f>
        <v>52</v>
      </c>
      <c r="B53" s="6" t="n">
        <f aca="false">Assumptions!$B$35</f>
        <v>441263.996662504</v>
      </c>
      <c r="C53" s="8" t="n">
        <f aca="true">NORMINV(RAND(),Assumptions!$B$14,Assumptions!$B$15)</f>
        <v>0.0340035973843053</v>
      </c>
      <c r="D53" s="8" t="n">
        <f aca="true">NORMINV(RAND(),Assumptions!$B$14,Assumptions!$B$15)</f>
        <v>0.0259216851514191</v>
      </c>
      <c r="E53" s="8" t="n">
        <f aca="true">NORMINV(RAND(),Assumptions!$B$14,Assumptions!$B$15)</f>
        <v>0.0712659474254124</v>
      </c>
      <c r="F53" s="8" t="n">
        <f aca="true">NORMINV(RAND(),Assumptions!$B$14,Assumptions!$B$15)</f>
        <v>0.0211945190803008</v>
      </c>
      <c r="G53" s="8" t="n">
        <f aca="true">NORMINV(RAND(),Assumptions!$B$14,Assumptions!$B$15)</f>
        <v>0.052202263421264</v>
      </c>
      <c r="H53" s="8" t="n">
        <f aca="true">NORMINV(RAND(),Assumptions!$B$14,Assumptions!$B$15)</f>
        <v>0.0711827627394064</v>
      </c>
      <c r="I53" s="8" t="n">
        <f aca="true">NORMINV(RAND(),Assumptions!$B$14,Assumptions!$B$15)</f>
        <v>0.038418743059897</v>
      </c>
      <c r="J53" s="8" t="n">
        <f aca="true">NORMINV(RAND(),Assumptions!$B$14,Assumptions!$B$15)</f>
        <v>0.0926558717274799</v>
      </c>
      <c r="K53" s="8" t="n">
        <f aca="true">NORMINV(RAND(),Assumptions!$B$14,Assumptions!$B$15)</f>
        <v>0.0853291753750937</v>
      </c>
      <c r="L53" s="8" t="n">
        <f aca="true">NORMINV(RAND(),Assumptions!$B$14,Assumptions!$B$15)</f>
        <v>0.0611232764646497</v>
      </c>
      <c r="M53" s="6" t="n">
        <f aca="false">B53-Assumptions!$B$29</f>
        <v>391263.996662504</v>
      </c>
      <c r="N53" s="6" t="n">
        <f aca="false">W53-Assumptions!$B$29</f>
        <v>354568.380075989</v>
      </c>
      <c r="O53" s="6" t="n">
        <f aca="false">X53-Assumptions!$B$29</f>
        <v>313759.389988968</v>
      </c>
      <c r="P53" s="6" t="n">
        <f aca="false">Y53-Assumptions!$B$29</f>
        <v>286119.750180151</v>
      </c>
      <c r="Q53" s="6" t="n">
        <f aca="false">Z53-Assumptions!$B$29</f>
        <v>242183.920684595</v>
      </c>
      <c r="R53" s="6" t="n">
        <f aca="false">AA53-Assumptions!$B$29</f>
        <v>204826.469508567</v>
      </c>
      <c r="S53" s="6" t="n">
        <f aca="false">AB53-Assumptions!$B$29</f>
        <v>169406.583490346</v>
      </c>
      <c r="T53" s="6" t="n">
        <f aca="false">AC53-Assumptions!$B$29</f>
        <v>125914.971494116</v>
      </c>
      <c r="U53" s="6" t="n">
        <f aca="false">AD53-Assumptions!$B$29</f>
        <v>87581.7329414444</v>
      </c>
      <c r="V53" s="6" t="n">
        <f aca="false">AE53-Assumptions!$B$29</f>
        <v>45055.0099912596</v>
      </c>
      <c r="W53" s="6" t="n">
        <f aca="false">M53*(1+C53)</f>
        <v>404568.380075989</v>
      </c>
      <c r="X53" s="6" t="n">
        <f aca="false">N53*(1+D53)</f>
        <v>363759.389988968</v>
      </c>
      <c r="Y53" s="6" t="n">
        <f aca="false">O53*(1+E53)</f>
        <v>336119.750180151</v>
      </c>
      <c r="Z53" s="6" t="n">
        <f aca="false">P53*(1+F53)</f>
        <v>292183.920684595</v>
      </c>
      <c r="AA53" s="6" t="n">
        <f aca="false">Q53*(1+G53)</f>
        <v>254826.469508567</v>
      </c>
      <c r="AB53" s="6" t="n">
        <f aca="false">R53*(1+H53)</f>
        <v>219406.583490346</v>
      </c>
      <c r="AC53" s="6" t="n">
        <f aca="false">S53*(1+I53)</f>
        <v>175914.971494116</v>
      </c>
      <c r="AD53" s="6" t="n">
        <f aca="false">T53*(1+J53)</f>
        <v>137581.732941444</v>
      </c>
      <c r="AE53" s="6" t="n">
        <f aca="false">U53*(1+K53)</f>
        <v>95055.0099912596</v>
      </c>
      <c r="AF53" s="6" t="n">
        <f aca="false">V53*(1+L53)</f>
        <v>47808.9198230729</v>
      </c>
      <c r="AG53" s="6" t="n">
        <f aca="false">MIN(M53:V53)</f>
        <v>45055.0099912596</v>
      </c>
      <c r="AH53" s="19" t="n">
        <f aca="false">IF(AG53&gt;=0,1,0)</f>
        <v>1</v>
      </c>
    </row>
    <row r="54" customFormat="false" ht="15" hidden="false" customHeight="false" outlineLevel="0" collapsed="false">
      <c r="A54" s="0" t="n">
        <f aca="false">ROW()-1</f>
        <v>53</v>
      </c>
      <c r="B54" s="6" t="n">
        <f aca="false">Assumptions!$B$35</f>
        <v>441263.996662504</v>
      </c>
      <c r="C54" s="8" t="n">
        <f aca="true">NORMINV(RAND(),Assumptions!$B$14,Assumptions!$B$15)</f>
        <v>0.0582167494970454</v>
      </c>
      <c r="D54" s="8" t="n">
        <f aca="true">NORMINV(RAND(),Assumptions!$B$14,Assumptions!$B$15)</f>
        <v>0.00188396813171318</v>
      </c>
      <c r="E54" s="8" t="n">
        <f aca="true">NORMINV(RAND(),Assumptions!$B$14,Assumptions!$B$15)</f>
        <v>0.000481912752172083</v>
      </c>
      <c r="F54" s="8" t="n">
        <f aca="true">NORMINV(RAND(),Assumptions!$B$14,Assumptions!$B$15)</f>
        <v>0.0613955436013605</v>
      </c>
      <c r="G54" s="8" t="n">
        <f aca="true">NORMINV(RAND(),Assumptions!$B$14,Assumptions!$B$15)</f>
        <v>0.0780554467043516</v>
      </c>
      <c r="H54" s="8" t="n">
        <f aca="true">NORMINV(RAND(),Assumptions!$B$14,Assumptions!$B$15)</f>
        <v>0.00126065773082095</v>
      </c>
      <c r="I54" s="8" t="n">
        <f aca="true">NORMINV(RAND(),Assumptions!$B$14,Assumptions!$B$15)</f>
        <v>0.0685459392991454</v>
      </c>
      <c r="J54" s="8" t="n">
        <f aca="true">NORMINV(RAND(),Assumptions!$B$14,Assumptions!$B$15)</f>
        <v>0.0628748913285943</v>
      </c>
      <c r="K54" s="8" t="n">
        <f aca="true">NORMINV(RAND(),Assumptions!$B$14,Assumptions!$B$15)</f>
        <v>0.075233958115535</v>
      </c>
      <c r="L54" s="8" t="n">
        <f aca="true">NORMINV(RAND(),Assumptions!$B$14,Assumptions!$B$15)</f>
        <v>0.0494783143976146</v>
      </c>
      <c r="M54" s="6" t="n">
        <f aca="false">B54-Assumptions!$B$29</f>
        <v>391263.996662504</v>
      </c>
      <c r="N54" s="6" t="n">
        <f aca="false">W54-Assumptions!$B$29</f>
        <v>364042.114743417</v>
      </c>
      <c r="O54" s="6" t="n">
        <f aca="false">X54-Assumptions!$B$29</f>
        <v>314727.958486195</v>
      </c>
      <c r="P54" s="6" t="n">
        <f aca="false">Y54-Assumptions!$B$29</f>
        <v>264879.629902855</v>
      </c>
      <c r="Q54" s="6" t="n">
        <f aca="false">Z54-Assumptions!$B$29</f>
        <v>231142.058769668</v>
      </c>
      <c r="R54" s="6" t="n">
        <f aca="false">AA54-Assumptions!$B$29</f>
        <v>199183.955419098</v>
      </c>
      <c r="S54" s="6" t="n">
        <f aca="false">AB54-Assumptions!$B$29</f>
        <v>149435.058212352</v>
      </c>
      <c r="T54" s="6" t="n">
        <f aca="false">AC54-Assumptions!$B$29</f>
        <v>109678.224641741</v>
      </c>
      <c r="U54" s="6" t="n">
        <f aca="false">AD54-Assumptions!$B$29</f>
        <v>66574.2310972032</v>
      </c>
      <c r="V54" s="6" t="n">
        <f aca="false">AE54-Assumptions!$B$29</f>
        <v>21582.8740111441</v>
      </c>
      <c r="W54" s="6" t="n">
        <f aca="false">M54*(1+C54)</f>
        <v>414042.114743417</v>
      </c>
      <c r="X54" s="6" t="n">
        <f aca="false">N54*(1+D54)</f>
        <v>364727.958486195</v>
      </c>
      <c r="Y54" s="6" t="n">
        <f aca="false">O54*(1+E54)</f>
        <v>314879.629902855</v>
      </c>
      <c r="Z54" s="6" t="n">
        <f aca="false">P54*(1+F54)</f>
        <v>281142.058769668</v>
      </c>
      <c r="AA54" s="6" t="n">
        <f aca="false">Q54*(1+G54)</f>
        <v>249183.955419098</v>
      </c>
      <c r="AB54" s="6" t="n">
        <f aca="false">R54*(1+H54)</f>
        <v>199435.058212352</v>
      </c>
      <c r="AC54" s="6" t="n">
        <f aca="false">S54*(1+I54)</f>
        <v>159678.224641741</v>
      </c>
      <c r="AD54" s="6" t="n">
        <f aca="false">T54*(1+J54)</f>
        <v>116574.231097203</v>
      </c>
      <c r="AE54" s="6" t="n">
        <f aca="false">U54*(1+K54)</f>
        <v>71582.8740111441</v>
      </c>
      <c r="AF54" s="6" t="n">
        <f aca="false">V54*(1+L54)</f>
        <v>22650.7582370716</v>
      </c>
      <c r="AG54" s="6" t="n">
        <f aca="false">MIN(M54:V54)</f>
        <v>21582.8740111441</v>
      </c>
      <c r="AH54" s="19" t="n">
        <f aca="false">IF(AG54&gt;=0,1,0)</f>
        <v>1</v>
      </c>
    </row>
    <row r="55" customFormat="false" ht="15" hidden="false" customHeight="false" outlineLevel="0" collapsed="false">
      <c r="A55" s="0" t="n">
        <f aca="false">ROW()-1</f>
        <v>54</v>
      </c>
      <c r="B55" s="6" t="n">
        <f aca="false">Assumptions!$B$35</f>
        <v>441263.996662504</v>
      </c>
      <c r="C55" s="8" t="n">
        <f aca="true">NORMINV(RAND(),Assumptions!$B$14,Assumptions!$B$15)</f>
        <v>0.0437567365531897</v>
      </c>
      <c r="D55" s="8" t="n">
        <f aca="true">NORMINV(RAND(),Assumptions!$B$14,Assumptions!$B$15)</f>
        <v>0.0454474574435795</v>
      </c>
      <c r="E55" s="8" t="n">
        <f aca="true">NORMINV(RAND(),Assumptions!$B$14,Assumptions!$B$15)</f>
        <v>0.0145449870312523</v>
      </c>
      <c r="F55" s="8" t="n">
        <f aca="true">NORMINV(RAND(),Assumptions!$B$14,Assumptions!$B$15)</f>
        <v>0.075925937764111</v>
      </c>
      <c r="G55" s="8" t="n">
        <f aca="true">NORMINV(RAND(),Assumptions!$B$14,Assumptions!$B$15)</f>
        <v>0.0878272500721612</v>
      </c>
      <c r="H55" s="8" t="n">
        <f aca="true">NORMINV(RAND(),Assumptions!$B$14,Assumptions!$B$15)</f>
        <v>0.0437414077530953</v>
      </c>
      <c r="I55" s="8" t="n">
        <f aca="true">NORMINV(RAND(),Assumptions!$B$14,Assumptions!$B$15)</f>
        <v>0.0166966218082072</v>
      </c>
      <c r="J55" s="8" t="n">
        <f aca="true">NORMINV(RAND(),Assumptions!$B$14,Assumptions!$B$15)</f>
        <v>0.0327551724007203</v>
      </c>
      <c r="K55" s="8" t="n">
        <f aca="true">NORMINV(RAND(),Assumptions!$B$14,Assumptions!$B$15)</f>
        <v>0.0240241256425847</v>
      </c>
      <c r="L55" s="8" t="n">
        <f aca="true">NORMINV(RAND(),Assumptions!$B$14,Assumptions!$B$15)</f>
        <v>0.0413560378273247</v>
      </c>
      <c r="M55" s="6" t="n">
        <f aca="false">B55-Assumptions!$B$29</f>
        <v>391263.996662504</v>
      </c>
      <c r="N55" s="6" t="n">
        <f aca="false">W55-Assumptions!$B$29</f>
        <v>358384.432287213</v>
      </c>
      <c r="O55" s="6" t="n">
        <f aca="false">X55-Assumptions!$B$29</f>
        <v>324672.093522027</v>
      </c>
      <c r="P55" s="6" t="n">
        <f aca="false">Y55-Assumptions!$B$29</f>
        <v>279394.444911715</v>
      </c>
      <c r="Q55" s="6" t="n">
        <f aca="false">Z55-Assumptions!$B$29</f>
        <v>250607.73014772</v>
      </c>
      <c r="R55" s="6" t="n">
        <f aca="false">AA55-Assumptions!$B$29</f>
        <v>222617.91793342</v>
      </c>
      <c r="S55" s="6" t="n">
        <f aca="false">AB55-Assumptions!$B$29</f>
        <v>182355.539054891</v>
      </c>
      <c r="T55" s="6" t="n">
        <f aca="false">AC55-Assumptions!$B$29</f>
        <v>135400.260525122</v>
      </c>
      <c r="U55" s="6" t="n">
        <f aca="false">AD55-Assumptions!$B$29</f>
        <v>89835.3194017253</v>
      </c>
      <c r="V55" s="6" t="n">
        <f aca="false">AE55-Assumptions!$B$29</f>
        <v>41993.5344021741</v>
      </c>
      <c r="W55" s="6" t="n">
        <f aca="false">M55*(1+C55)</f>
        <v>408384.432287213</v>
      </c>
      <c r="X55" s="6" t="n">
        <f aca="false">N55*(1+D55)</f>
        <v>374672.093522027</v>
      </c>
      <c r="Y55" s="6" t="n">
        <f aca="false">O55*(1+E55)</f>
        <v>329394.444911715</v>
      </c>
      <c r="Z55" s="6" t="n">
        <f aca="false">P55*(1+F55)</f>
        <v>300607.73014772</v>
      </c>
      <c r="AA55" s="6" t="n">
        <f aca="false">Q55*(1+G55)</f>
        <v>272617.91793342</v>
      </c>
      <c r="AB55" s="6" t="n">
        <f aca="false">R55*(1+H55)</f>
        <v>232355.539054891</v>
      </c>
      <c r="AC55" s="6" t="n">
        <f aca="false">S55*(1+I55)</f>
        <v>185400.260525122</v>
      </c>
      <c r="AD55" s="6" t="n">
        <f aca="false">T55*(1+J55)</f>
        <v>139835.319401725</v>
      </c>
      <c r="AE55" s="6" t="n">
        <f aca="false">U55*(1+K55)</f>
        <v>91993.5344021741</v>
      </c>
      <c r="AF55" s="6" t="n">
        <f aca="false">V55*(1+L55)</f>
        <v>43730.2205994135</v>
      </c>
      <c r="AG55" s="6" t="n">
        <f aca="false">MIN(M55:V55)</f>
        <v>41993.5344021741</v>
      </c>
      <c r="AH55" s="19" t="n">
        <f aca="false">IF(AG55&gt;=0,1,0)</f>
        <v>1</v>
      </c>
    </row>
    <row r="56" customFormat="false" ht="15" hidden="false" customHeight="false" outlineLevel="0" collapsed="false">
      <c r="A56" s="0" t="n">
        <f aca="false">ROW()-1</f>
        <v>55</v>
      </c>
      <c r="B56" s="6" t="n">
        <f aca="false">Assumptions!$B$35</f>
        <v>441263.996662504</v>
      </c>
      <c r="C56" s="8" t="n">
        <f aca="true">NORMINV(RAND(),Assumptions!$B$14,Assumptions!$B$15)</f>
        <v>0.0746897955913784</v>
      </c>
      <c r="D56" s="8" t="n">
        <f aca="true">NORMINV(RAND(),Assumptions!$B$14,Assumptions!$B$15)</f>
        <v>0.0371225084512087</v>
      </c>
      <c r="E56" s="8" t="n">
        <f aca="true">NORMINV(RAND(),Assumptions!$B$14,Assumptions!$B$15)</f>
        <v>0.0276095322316557</v>
      </c>
      <c r="F56" s="8" t="n">
        <f aca="true">NORMINV(RAND(),Assumptions!$B$14,Assumptions!$B$15)</f>
        <v>0.0386590211633115</v>
      </c>
      <c r="G56" s="8" t="n">
        <f aca="true">NORMINV(RAND(),Assumptions!$B$14,Assumptions!$B$15)</f>
        <v>0.00437357772492992</v>
      </c>
      <c r="H56" s="8" t="n">
        <f aca="true">NORMINV(RAND(),Assumptions!$B$14,Assumptions!$B$15)</f>
        <v>0.0399881309896017</v>
      </c>
      <c r="I56" s="8" t="n">
        <f aca="true">NORMINV(RAND(),Assumptions!$B$14,Assumptions!$B$15)</f>
        <v>0.0589517569415943</v>
      </c>
      <c r="J56" s="8" t="n">
        <f aca="true">NORMINV(RAND(),Assumptions!$B$14,Assumptions!$B$15)</f>
        <v>0.00141933527660319</v>
      </c>
      <c r="K56" s="8" t="n">
        <f aca="true">NORMINV(RAND(),Assumptions!$B$14,Assumptions!$B$15)</f>
        <v>0.0546703728788545</v>
      </c>
      <c r="L56" s="8" t="n">
        <f aca="true">NORMINV(RAND(),Assumptions!$B$14,Assumptions!$B$15)</f>
        <v>0.0716665589437458</v>
      </c>
      <c r="M56" s="6" t="n">
        <f aca="false">B56-Assumptions!$B$29</f>
        <v>391263.996662504</v>
      </c>
      <c r="N56" s="6" t="n">
        <f aca="false">W56-Assumptions!$B$29</f>
        <v>370487.424595492</v>
      </c>
      <c r="O56" s="6" t="n">
        <f aca="false">X56-Assumptions!$B$29</f>
        <v>334240.847146104</v>
      </c>
      <c r="P56" s="6" t="n">
        <f aca="false">Y56-Assumptions!$B$29</f>
        <v>293469.080588521</v>
      </c>
      <c r="Q56" s="6" t="n">
        <f aca="false">Z56-Assumptions!$B$29</f>
        <v>254814.30798577</v>
      </c>
      <c r="R56" s="6" t="n">
        <f aca="false">AA56-Assumptions!$B$29</f>
        <v>205928.75816717</v>
      </c>
      <c r="S56" s="6" t="n">
        <f aca="false">AB56-Assumptions!$B$29</f>
        <v>164163.464323285</v>
      </c>
      <c r="T56" s="6" t="n">
        <f aca="false">AC56-Assumptions!$B$29</f>
        <v>123841.188970761</v>
      </c>
      <c r="U56" s="6" t="n">
        <f aca="false">AD56-Assumptions!$B$29</f>
        <v>74016.9611389636</v>
      </c>
      <c r="V56" s="6" t="n">
        <f aca="false">AE56-Assumptions!$B$29</f>
        <v>28063.4960037904</v>
      </c>
      <c r="W56" s="6" t="n">
        <f aca="false">M56*(1+C56)</f>
        <v>420487.424595492</v>
      </c>
      <c r="X56" s="6" t="n">
        <f aca="false">N56*(1+D56)</f>
        <v>384240.847146104</v>
      </c>
      <c r="Y56" s="6" t="n">
        <f aca="false">O56*(1+E56)</f>
        <v>343469.080588521</v>
      </c>
      <c r="Z56" s="6" t="n">
        <f aca="false">P56*(1+F56)</f>
        <v>304814.30798577</v>
      </c>
      <c r="AA56" s="6" t="n">
        <f aca="false">Q56*(1+G56)</f>
        <v>255928.75816717</v>
      </c>
      <c r="AB56" s="6" t="n">
        <f aca="false">R56*(1+H56)</f>
        <v>214163.464323285</v>
      </c>
      <c r="AC56" s="6" t="n">
        <f aca="false">S56*(1+I56)</f>
        <v>173841.188970761</v>
      </c>
      <c r="AD56" s="6" t="n">
        <f aca="false">T56*(1+J56)</f>
        <v>124016.961138964</v>
      </c>
      <c r="AE56" s="6" t="n">
        <f aca="false">U56*(1+K56)</f>
        <v>78063.4960037904</v>
      </c>
      <c r="AF56" s="6" t="n">
        <f aca="false">V56*(1+L56)</f>
        <v>30074.7101943136</v>
      </c>
      <c r="AG56" s="6" t="n">
        <f aca="false">MIN(M56:V56)</f>
        <v>28063.4960037904</v>
      </c>
      <c r="AH56" s="19" t="n">
        <f aca="false">IF(AG56&gt;=0,1,0)</f>
        <v>1</v>
      </c>
    </row>
    <row r="57" customFormat="false" ht="15" hidden="false" customHeight="false" outlineLevel="0" collapsed="false">
      <c r="A57" s="0" t="n">
        <f aca="false">ROW()-1</f>
        <v>56</v>
      </c>
      <c r="B57" s="6" t="n">
        <f aca="false">Assumptions!$B$35</f>
        <v>441263.996662504</v>
      </c>
      <c r="C57" s="8" t="n">
        <f aca="true">NORMINV(RAND(),Assumptions!$B$14,Assumptions!$B$15)</f>
        <v>0.0389946752830335</v>
      </c>
      <c r="D57" s="8" t="n">
        <f aca="true">NORMINV(RAND(),Assumptions!$B$14,Assumptions!$B$15)</f>
        <v>0.0545974847568926</v>
      </c>
      <c r="E57" s="8" t="n">
        <f aca="true">NORMINV(RAND(),Assumptions!$B$14,Assumptions!$B$15)</f>
        <v>0.207860429102008</v>
      </c>
      <c r="F57" s="8" t="n">
        <f aca="true">NORMINV(RAND(),Assumptions!$B$14,Assumptions!$B$15)</f>
        <v>0.0258975886917769</v>
      </c>
      <c r="G57" s="8" t="n">
        <f aca="true">NORMINV(RAND(),Assumptions!$B$14,Assumptions!$B$15)</f>
        <v>0.0671318603511537</v>
      </c>
      <c r="H57" s="8" t="n">
        <f aca="true">NORMINV(RAND(),Assumptions!$B$14,Assumptions!$B$15)</f>
        <v>0.0785621630606457</v>
      </c>
      <c r="I57" s="8" t="n">
        <f aca="true">NORMINV(RAND(),Assumptions!$B$14,Assumptions!$B$15)</f>
        <v>0.0634422873965939</v>
      </c>
      <c r="J57" s="8" t="n">
        <f aca="true">NORMINV(RAND(),Assumptions!$B$14,Assumptions!$B$15)</f>
        <v>0.0793923870281608</v>
      </c>
      <c r="K57" s="8" t="n">
        <f aca="true">NORMINV(RAND(),Assumptions!$B$14,Assumptions!$B$15)</f>
        <v>0.0806964982649532</v>
      </c>
      <c r="L57" s="8" t="n">
        <f aca="true">NORMINV(RAND(),Assumptions!$B$14,Assumptions!$B$15)</f>
        <v>0.0588236365002745</v>
      </c>
      <c r="M57" s="6" t="n">
        <f aca="false">B57-Assumptions!$B$29</f>
        <v>391263.996662504</v>
      </c>
      <c r="N57" s="6" t="n">
        <f aca="false">W57-Assumptions!$B$29</f>
        <v>356521.2091623</v>
      </c>
      <c r="O57" s="6" t="n">
        <f aca="false">X57-Assumptions!$B$29</f>
        <v>325986.370445047</v>
      </c>
      <c r="P57" s="6" t="n">
        <f aca="false">Y57-Assumptions!$B$29</f>
        <v>343746.037287161</v>
      </c>
      <c r="Q57" s="6" t="n">
        <f aca="false">Z57-Assumptions!$B$29</f>
        <v>302648.230775252</v>
      </c>
      <c r="R57" s="6" t="n">
        <f aca="false">AA57-Assumptions!$B$29</f>
        <v>272965.56953918</v>
      </c>
      <c r="S57" s="6" t="n">
        <f aca="false">AB57-Assumptions!$B$29</f>
        <v>244410.335123259</v>
      </c>
      <c r="T57" s="6" t="n">
        <f aca="false">AC57-Assumptions!$B$29</f>
        <v>209916.285846847</v>
      </c>
      <c r="U57" s="6" t="n">
        <f aca="false">AD57-Assumptions!$B$29</f>
        <v>176582.040856314</v>
      </c>
      <c r="V57" s="6" t="n">
        <f aca="false">AE57-Assumptions!$B$29</f>
        <v>140831.593209897</v>
      </c>
      <c r="W57" s="6" t="n">
        <f aca="false">M57*(1+C57)</f>
        <v>406521.2091623</v>
      </c>
      <c r="X57" s="6" t="n">
        <f aca="false">N57*(1+D57)</f>
        <v>375986.370445047</v>
      </c>
      <c r="Y57" s="6" t="n">
        <f aca="false">O57*(1+E57)</f>
        <v>393746.037287161</v>
      </c>
      <c r="Z57" s="6" t="n">
        <f aca="false">P57*(1+F57)</f>
        <v>352648.230775252</v>
      </c>
      <c r="AA57" s="6" t="n">
        <f aca="false">Q57*(1+G57)</f>
        <v>322965.56953918</v>
      </c>
      <c r="AB57" s="6" t="n">
        <f aca="false">R57*(1+H57)</f>
        <v>294410.335123259</v>
      </c>
      <c r="AC57" s="6" t="n">
        <f aca="false">S57*(1+I57)</f>
        <v>259916.285846847</v>
      </c>
      <c r="AD57" s="6" t="n">
        <f aca="false">T57*(1+J57)</f>
        <v>226582.040856314</v>
      </c>
      <c r="AE57" s="6" t="n">
        <f aca="false">U57*(1+K57)</f>
        <v>190831.593209897</v>
      </c>
      <c r="AF57" s="6" t="n">
        <f aca="false">V57*(1+L57)</f>
        <v>149115.81965663</v>
      </c>
      <c r="AG57" s="6" t="n">
        <f aca="false">MIN(M57:V57)</f>
        <v>140831.593209897</v>
      </c>
      <c r="AH57" s="19" t="n">
        <f aca="false">IF(AG57&gt;=0,1,0)</f>
        <v>1</v>
      </c>
    </row>
    <row r="58" customFormat="false" ht="15" hidden="false" customHeight="false" outlineLevel="0" collapsed="false">
      <c r="A58" s="0" t="n">
        <f aca="false">ROW()-1</f>
        <v>57</v>
      </c>
      <c r="B58" s="6" t="n">
        <f aca="false">Assumptions!$B$35</f>
        <v>441263.996662504</v>
      </c>
      <c r="C58" s="8" t="n">
        <f aca="true">NORMINV(RAND(),Assumptions!$B$14,Assumptions!$B$15)</f>
        <v>0.0452401033827895</v>
      </c>
      <c r="D58" s="8" t="n">
        <f aca="true">NORMINV(RAND(),Assumptions!$B$14,Assumptions!$B$15)</f>
        <v>-0.0222754316858542</v>
      </c>
      <c r="E58" s="8" t="n">
        <f aca="true">NORMINV(RAND(),Assumptions!$B$14,Assumptions!$B$15)</f>
        <v>0.0750667432074038</v>
      </c>
      <c r="F58" s="8" t="n">
        <f aca="true">NORMINV(RAND(),Assumptions!$B$14,Assumptions!$B$15)</f>
        <v>0.0777456397928978</v>
      </c>
      <c r="G58" s="8" t="n">
        <f aca="true">NORMINV(RAND(),Assumptions!$B$14,Assumptions!$B$15)</f>
        <v>0.0171792494997369</v>
      </c>
      <c r="H58" s="8" t="n">
        <f aca="true">NORMINV(RAND(),Assumptions!$B$14,Assumptions!$B$15)</f>
        <v>0.0286229854795744</v>
      </c>
      <c r="I58" s="8" t="n">
        <f aca="true">NORMINV(RAND(),Assumptions!$B$14,Assumptions!$B$15)</f>
        <v>0.0375805503706519</v>
      </c>
      <c r="J58" s="8" t="n">
        <f aca="true">NORMINV(RAND(),Assumptions!$B$14,Assumptions!$B$15)</f>
        <v>0.0228300024452112</v>
      </c>
      <c r="K58" s="8" t="n">
        <f aca="true">NORMINV(RAND(),Assumptions!$B$14,Assumptions!$B$15)</f>
        <v>0.0811996849888752</v>
      </c>
      <c r="L58" s="8" t="n">
        <f aca="true">NORMINV(RAND(),Assumptions!$B$14,Assumptions!$B$15)</f>
        <v>-0.0113946623359436</v>
      </c>
      <c r="M58" s="6" t="n">
        <f aca="false">B58-Assumptions!$B$29</f>
        <v>391263.996662504</v>
      </c>
      <c r="N58" s="6" t="n">
        <f aca="false">W58-Assumptions!$B$29</f>
        <v>358964.820321479</v>
      </c>
      <c r="O58" s="6" t="n">
        <f aca="false">X58-Assumptions!$B$29</f>
        <v>300968.723988783</v>
      </c>
      <c r="P58" s="6" t="n">
        <f aca="false">Y58-Assumptions!$B$29</f>
        <v>273561.465905909</v>
      </c>
      <c r="Q58" s="6" t="n">
        <f aca="false">Z58-Assumptions!$B$29</f>
        <v>244829.677095446</v>
      </c>
      <c r="R58" s="6" t="n">
        <f aca="false">AA58-Assumptions!$B$29</f>
        <v>199035.667203209</v>
      </c>
      <c r="S58" s="6" t="n">
        <f aca="false">AB58-Assumptions!$B$29</f>
        <v>154732.662215484</v>
      </c>
      <c r="T58" s="6" t="n">
        <f aca="false">AC58-Assumptions!$B$29</f>
        <v>110547.600821858</v>
      </c>
      <c r="U58" s="6" t="n">
        <f aca="false">AD58-Assumptions!$B$29</f>
        <v>63071.4028189332</v>
      </c>
      <c r="V58" s="6" t="n">
        <f aca="false">AE58-Assumptions!$B$29</f>
        <v>18192.780859637</v>
      </c>
      <c r="W58" s="6" t="n">
        <f aca="false">M58*(1+C58)</f>
        <v>408964.820321479</v>
      </c>
      <c r="X58" s="6" t="n">
        <f aca="false">N58*(1+D58)</f>
        <v>350968.723988783</v>
      </c>
      <c r="Y58" s="6" t="n">
        <f aca="false">O58*(1+E58)</f>
        <v>323561.465905909</v>
      </c>
      <c r="Z58" s="6" t="n">
        <f aca="false">P58*(1+F58)</f>
        <v>294829.677095446</v>
      </c>
      <c r="AA58" s="6" t="n">
        <f aca="false">Q58*(1+G58)</f>
        <v>249035.667203209</v>
      </c>
      <c r="AB58" s="6" t="n">
        <f aca="false">R58*(1+H58)</f>
        <v>204732.662215484</v>
      </c>
      <c r="AC58" s="6" t="n">
        <f aca="false">S58*(1+I58)</f>
        <v>160547.600821858</v>
      </c>
      <c r="AD58" s="6" t="n">
        <f aca="false">T58*(1+J58)</f>
        <v>113071.402818933</v>
      </c>
      <c r="AE58" s="6" t="n">
        <f aca="false">U58*(1+K58)</f>
        <v>68192.780859637</v>
      </c>
      <c r="AF58" s="6" t="n">
        <f aca="false">V58*(1+L58)</f>
        <v>17985.4802647896</v>
      </c>
      <c r="AG58" s="6" t="n">
        <f aca="false">MIN(M58:V58)</f>
        <v>18192.780859637</v>
      </c>
      <c r="AH58" s="19" t="n">
        <f aca="false">IF(AG58&gt;=0,1,0)</f>
        <v>1</v>
      </c>
    </row>
    <row r="59" customFormat="false" ht="15" hidden="false" customHeight="false" outlineLevel="0" collapsed="false">
      <c r="A59" s="0" t="n">
        <f aca="false">ROW()-1</f>
        <v>58</v>
      </c>
      <c r="B59" s="6" t="n">
        <f aca="false">Assumptions!$B$35</f>
        <v>441263.996662504</v>
      </c>
      <c r="C59" s="8" t="n">
        <f aca="true">NORMINV(RAND(),Assumptions!$B$14,Assumptions!$B$15)</f>
        <v>0.0297192740354509</v>
      </c>
      <c r="D59" s="8" t="n">
        <f aca="true">NORMINV(RAND(),Assumptions!$B$14,Assumptions!$B$15)</f>
        <v>0.0644563398129832</v>
      </c>
      <c r="E59" s="8" t="n">
        <f aca="true">NORMINV(RAND(),Assumptions!$B$14,Assumptions!$B$15)</f>
        <v>-0.0178742967189207</v>
      </c>
      <c r="F59" s="8" t="n">
        <f aca="true">NORMINV(RAND(),Assumptions!$B$14,Assumptions!$B$15)</f>
        <v>0.090212694875227</v>
      </c>
      <c r="G59" s="8" t="n">
        <f aca="true">NORMINV(RAND(),Assumptions!$B$14,Assumptions!$B$15)</f>
        <v>0.038008468504661</v>
      </c>
      <c r="H59" s="8" t="n">
        <f aca="true">NORMINV(RAND(),Assumptions!$B$14,Assumptions!$B$15)</f>
        <v>0.0779527980910029</v>
      </c>
      <c r="I59" s="8" t="n">
        <f aca="true">NORMINV(RAND(),Assumptions!$B$14,Assumptions!$B$15)</f>
        <v>0.100814781170857</v>
      </c>
      <c r="J59" s="8" t="n">
        <f aca="true">NORMINV(RAND(),Assumptions!$B$14,Assumptions!$B$15)</f>
        <v>0.0475974264914032</v>
      </c>
      <c r="K59" s="8" t="n">
        <f aca="true">NORMINV(RAND(),Assumptions!$B$14,Assumptions!$B$15)</f>
        <v>0.0128813123306172</v>
      </c>
      <c r="L59" s="8" t="n">
        <f aca="true">NORMINV(RAND(),Assumptions!$B$14,Assumptions!$B$15)</f>
        <v>0.0578211122988284</v>
      </c>
      <c r="M59" s="6" t="n">
        <f aca="false">B59-Assumptions!$B$29</f>
        <v>391263.996662504</v>
      </c>
      <c r="N59" s="6" t="n">
        <f aca="false">W59-Assumptions!$B$29</f>
        <v>352892.078599522</v>
      </c>
      <c r="O59" s="6" t="n">
        <f aca="false">X59-Assumptions!$B$29</f>
        <v>325638.210335043</v>
      </c>
      <c r="P59" s="6" t="n">
        <f aca="false">Y59-Assumptions!$B$29</f>
        <v>269817.656340496</v>
      </c>
      <c r="Q59" s="6" t="n">
        <f aca="false">Z59-Assumptions!$B$29</f>
        <v>244158.63424389</v>
      </c>
      <c r="R59" s="6" t="n">
        <f aca="false">AA59-Assumptions!$B$29</f>
        <v>203438.73000369</v>
      </c>
      <c r="S59" s="6" t="n">
        <f aca="false">AB59-Assumptions!$B$29</f>
        <v>169297.348247558</v>
      </c>
      <c r="T59" s="6" t="n">
        <f aca="false">AC59-Assumptions!$B$29</f>
        <v>136365.023363942</v>
      </c>
      <c r="U59" s="6" t="n">
        <f aca="false">AD59-Assumptions!$B$29</f>
        <v>92855.6475395053</v>
      </c>
      <c r="V59" s="6" t="n">
        <f aca="false">AE59-Assumptions!$B$29</f>
        <v>44051.7501371234</v>
      </c>
      <c r="W59" s="6" t="n">
        <f aca="false">M59*(1+C59)</f>
        <v>402892.078599522</v>
      </c>
      <c r="X59" s="6" t="n">
        <f aca="false">N59*(1+D59)</f>
        <v>375638.210335043</v>
      </c>
      <c r="Y59" s="6" t="n">
        <f aca="false">O59*(1+E59)</f>
        <v>319817.656340496</v>
      </c>
      <c r="Z59" s="6" t="n">
        <f aca="false">P59*(1+F59)</f>
        <v>294158.63424389</v>
      </c>
      <c r="AA59" s="6" t="n">
        <f aca="false">Q59*(1+G59)</f>
        <v>253438.73000369</v>
      </c>
      <c r="AB59" s="6" t="n">
        <f aca="false">R59*(1+H59)</f>
        <v>219297.348247558</v>
      </c>
      <c r="AC59" s="6" t="n">
        <f aca="false">S59*(1+I59)</f>
        <v>186365.023363942</v>
      </c>
      <c r="AD59" s="6" t="n">
        <f aca="false">T59*(1+J59)</f>
        <v>142855.647539505</v>
      </c>
      <c r="AE59" s="6" t="n">
        <f aca="false">U59*(1+K59)</f>
        <v>94051.7501371234</v>
      </c>
      <c r="AF59" s="6" t="n">
        <f aca="false">V59*(1+L59)</f>
        <v>46598.871328762</v>
      </c>
      <c r="AG59" s="6" t="n">
        <f aca="false">MIN(M59:V59)</f>
        <v>44051.7501371234</v>
      </c>
      <c r="AH59" s="19" t="n">
        <f aca="false">IF(AG59&gt;=0,1,0)</f>
        <v>1</v>
      </c>
    </row>
    <row r="60" customFormat="false" ht="15" hidden="false" customHeight="false" outlineLevel="0" collapsed="false">
      <c r="A60" s="0" t="n">
        <f aca="false">ROW()-1</f>
        <v>59</v>
      </c>
      <c r="B60" s="6" t="n">
        <f aca="false">Assumptions!$B$35</f>
        <v>441263.996662504</v>
      </c>
      <c r="C60" s="8" t="n">
        <f aca="true">NORMINV(RAND(),Assumptions!$B$14,Assumptions!$B$15)</f>
        <v>0.0366817448556706</v>
      </c>
      <c r="D60" s="8" t="n">
        <f aca="true">NORMINV(RAND(),Assumptions!$B$14,Assumptions!$B$15)</f>
        <v>0.0294128657379334</v>
      </c>
      <c r="E60" s="8" t="n">
        <f aca="true">NORMINV(RAND(),Assumptions!$B$14,Assumptions!$B$15)</f>
        <v>0.0493759747849353</v>
      </c>
      <c r="F60" s="8" t="n">
        <f aca="true">NORMINV(RAND(),Assumptions!$B$14,Assumptions!$B$15)</f>
        <v>0.0592590142989552</v>
      </c>
      <c r="G60" s="8" t="n">
        <f aca="true">NORMINV(RAND(),Assumptions!$B$14,Assumptions!$B$15)</f>
        <v>0.038537469084391</v>
      </c>
      <c r="H60" s="8" t="n">
        <f aca="true">NORMINV(RAND(),Assumptions!$B$14,Assumptions!$B$15)</f>
        <v>0.0572319223738102</v>
      </c>
      <c r="I60" s="8" t="n">
        <f aca="true">NORMINV(RAND(),Assumptions!$B$14,Assumptions!$B$15)</f>
        <v>0.0293608248555576</v>
      </c>
      <c r="J60" s="8" t="n">
        <f aca="true">NORMINV(RAND(),Assumptions!$B$14,Assumptions!$B$15)</f>
        <v>0.0710945856603959</v>
      </c>
      <c r="K60" s="8" t="n">
        <f aca="true">NORMINV(RAND(),Assumptions!$B$14,Assumptions!$B$15)</f>
        <v>0.0185030794907542</v>
      </c>
      <c r="L60" s="8" t="n">
        <f aca="true">NORMINV(RAND(),Assumptions!$B$14,Assumptions!$B$15)</f>
        <v>0.029045897166645</v>
      </c>
      <c r="M60" s="6" t="n">
        <f aca="false">B60-Assumptions!$B$29</f>
        <v>391263.996662504</v>
      </c>
      <c r="N60" s="6" t="n">
        <f aca="false">W60-Assumptions!$B$29</f>
        <v>355616.242759288</v>
      </c>
      <c r="O60" s="6" t="n">
        <f aca="false">X60-Assumptions!$B$29</f>
        <v>316075.935561795</v>
      </c>
      <c r="P60" s="6" t="n">
        <f aca="false">Y60-Assumptions!$B$29</f>
        <v>281682.492986219</v>
      </c>
      <c r="Q60" s="6" t="n">
        <f aca="false">Z60-Assumptions!$B$29</f>
        <v>248374.719865854</v>
      </c>
      <c r="R60" s="6" t="n">
        <f aca="false">AA60-Assumptions!$B$29</f>
        <v>207946.452954029</v>
      </c>
      <c r="S60" s="6" t="n">
        <f aca="false">AB60-Assumptions!$B$29</f>
        <v>169847.628207403</v>
      </c>
      <c r="T60" s="6" t="n">
        <f aca="false">AC60-Assumptions!$B$29</f>
        <v>124834.494671333</v>
      </c>
      <c r="U60" s="6" t="n">
        <f aca="false">AD60-Assumptions!$B$29</f>
        <v>83709.551346116</v>
      </c>
      <c r="V60" s="6" t="n">
        <f aca="false">AE60-Assumptions!$B$29</f>
        <v>35258.4358288086</v>
      </c>
      <c r="W60" s="6" t="n">
        <f aca="false">M60*(1+C60)</f>
        <v>405616.242759288</v>
      </c>
      <c r="X60" s="6" t="n">
        <f aca="false">N60*(1+D60)</f>
        <v>366075.935561795</v>
      </c>
      <c r="Y60" s="6" t="n">
        <f aca="false">O60*(1+E60)</f>
        <v>331682.492986219</v>
      </c>
      <c r="Z60" s="6" t="n">
        <f aca="false">P60*(1+F60)</f>
        <v>298374.719865854</v>
      </c>
      <c r="AA60" s="6" t="n">
        <f aca="false">Q60*(1+G60)</f>
        <v>257946.452954029</v>
      </c>
      <c r="AB60" s="6" t="n">
        <f aca="false">R60*(1+H60)</f>
        <v>219847.628207403</v>
      </c>
      <c r="AC60" s="6" t="n">
        <f aca="false">S60*(1+I60)</f>
        <v>174834.494671333</v>
      </c>
      <c r="AD60" s="6" t="n">
        <f aca="false">T60*(1+J60)</f>
        <v>133709.551346116</v>
      </c>
      <c r="AE60" s="6" t="n">
        <f aca="false">U60*(1+K60)</f>
        <v>85258.4358288086</v>
      </c>
      <c r="AF60" s="6" t="n">
        <f aca="false">V60*(1+L60)</f>
        <v>36282.5487301489</v>
      </c>
      <c r="AG60" s="6" t="n">
        <f aca="false">MIN(M60:V60)</f>
        <v>35258.4358288086</v>
      </c>
      <c r="AH60" s="19" t="n">
        <f aca="false">IF(AG60&gt;=0,1,0)</f>
        <v>1</v>
      </c>
    </row>
    <row r="61" customFormat="false" ht="15" hidden="false" customHeight="false" outlineLevel="0" collapsed="false">
      <c r="A61" s="0" t="n">
        <f aca="false">ROW()-1</f>
        <v>60</v>
      </c>
      <c r="B61" s="6" t="n">
        <f aca="false">Assumptions!$B$35</f>
        <v>441263.996662504</v>
      </c>
      <c r="C61" s="8" t="n">
        <f aca="true">NORMINV(RAND(),Assumptions!$B$14,Assumptions!$B$15)</f>
        <v>0.0323336901397539</v>
      </c>
      <c r="D61" s="8" t="n">
        <f aca="true">NORMINV(RAND(),Assumptions!$B$14,Assumptions!$B$15)</f>
        <v>0.00838754606308136</v>
      </c>
      <c r="E61" s="8" t="n">
        <f aca="true">NORMINV(RAND(),Assumptions!$B$14,Assumptions!$B$15)</f>
        <v>0.0535502439648905</v>
      </c>
      <c r="F61" s="8" t="n">
        <f aca="true">NORMINV(RAND(),Assumptions!$B$14,Assumptions!$B$15)</f>
        <v>0.0802999691458379</v>
      </c>
      <c r="G61" s="8" t="n">
        <f aca="true">NORMINV(RAND(),Assumptions!$B$14,Assumptions!$B$15)</f>
        <v>0.0892528974832408</v>
      </c>
      <c r="H61" s="8" t="n">
        <f aca="true">NORMINV(RAND(),Assumptions!$B$14,Assumptions!$B$15)</f>
        <v>0.0861804488137655</v>
      </c>
      <c r="I61" s="8" t="n">
        <f aca="true">NORMINV(RAND(),Assumptions!$B$14,Assumptions!$B$15)</f>
        <v>0.0340715655171444</v>
      </c>
      <c r="J61" s="8" t="n">
        <f aca="true">NORMINV(RAND(),Assumptions!$B$14,Assumptions!$B$15)</f>
        <v>0.0796180977456898</v>
      </c>
      <c r="K61" s="8" t="n">
        <f aca="true">NORMINV(RAND(),Assumptions!$B$14,Assumptions!$B$15)</f>
        <v>0.0470789770999998</v>
      </c>
      <c r="L61" s="8" t="n">
        <f aca="true">NORMINV(RAND(),Assumptions!$B$14,Assumptions!$B$15)</f>
        <v>0.0745983589427379</v>
      </c>
      <c r="M61" s="6" t="n">
        <f aca="false">B61-Assumptions!$B$29</f>
        <v>391263.996662504</v>
      </c>
      <c r="N61" s="6" t="n">
        <f aca="false">W61-Assumptions!$B$29</f>
        <v>353915.005493431</v>
      </c>
      <c r="O61" s="6" t="n">
        <f aca="false">X61-Assumptions!$B$29</f>
        <v>306883.483904423</v>
      </c>
      <c r="P61" s="6" t="n">
        <f aca="false">Y61-Assumptions!$B$29</f>
        <v>273317.1693363</v>
      </c>
      <c r="Q61" s="6" t="n">
        <f aca="false">Z61-Assumptions!$B$29</f>
        <v>245264.529601033</v>
      </c>
      <c r="R61" s="6" t="n">
        <f aca="false">AA61-Assumptions!$B$29</f>
        <v>217155.099517789</v>
      </c>
      <c r="S61" s="6" t="n">
        <f aca="false">AB61-Assumptions!$B$29</f>
        <v>185869.62345643</v>
      </c>
      <c r="T61" s="6" t="n">
        <f aca="false">AC61-Assumptions!$B$29</f>
        <v>142202.492509672</v>
      </c>
      <c r="U61" s="6" t="n">
        <f aca="false">AD61-Assumptions!$B$29</f>
        <v>103524.384457988</v>
      </c>
      <c r="V61" s="6" t="n">
        <f aca="false">AE61-Assumptions!$B$29</f>
        <v>58398.2065831774</v>
      </c>
      <c r="W61" s="6" t="n">
        <f aca="false">M61*(1+C61)</f>
        <v>403915.005493431</v>
      </c>
      <c r="X61" s="6" t="n">
        <f aca="false">N61*(1+D61)</f>
        <v>356883.483904423</v>
      </c>
      <c r="Y61" s="6" t="n">
        <f aca="false">O61*(1+E61)</f>
        <v>323317.1693363</v>
      </c>
      <c r="Z61" s="6" t="n">
        <f aca="false">P61*(1+F61)</f>
        <v>295264.529601033</v>
      </c>
      <c r="AA61" s="6" t="n">
        <f aca="false">Q61*(1+G61)</f>
        <v>267155.099517789</v>
      </c>
      <c r="AB61" s="6" t="n">
        <f aca="false">R61*(1+H61)</f>
        <v>235869.62345643</v>
      </c>
      <c r="AC61" s="6" t="n">
        <f aca="false">S61*(1+I61)</f>
        <v>192202.492509672</v>
      </c>
      <c r="AD61" s="6" t="n">
        <f aca="false">T61*(1+J61)</f>
        <v>153524.384457988</v>
      </c>
      <c r="AE61" s="6" t="n">
        <f aca="false">U61*(1+K61)</f>
        <v>108398.206583177</v>
      </c>
      <c r="AF61" s="6" t="n">
        <f aca="false">V61*(1+L61)</f>
        <v>62754.6169594814</v>
      </c>
      <c r="AG61" s="6" t="n">
        <f aca="false">MIN(M61:V61)</f>
        <v>58398.2065831774</v>
      </c>
      <c r="AH61" s="19" t="n">
        <f aca="false">IF(AG61&gt;=0,1,0)</f>
        <v>1</v>
      </c>
    </row>
    <row r="62" customFormat="false" ht="15" hidden="false" customHeight="false" outlineLevel="0" collapsed="false">
      <c r="A62" s="0" t="n">
        <f aca="false">ROW()-1</f>
        <v>61</v>
      </c>
      <c r="B62" s="6" t="n">
        <f aca="false">Assumptions!$B$35</f>
        <v>441263.996662504</v>
      </c>
      <c r="C62" s="8" t="n">
        <f aca="true">NORMINV(RAND(),Assumptions!$B$14,Assumptions!$B$15)</f>
        <v>0.0395423416340853</v>
      </c>
      <c r="D62" s="8" t="n">
        <f aca="true">NORMINV(RAND(),Assumptions!$B$14,Assumptions!$B$15)</f>
        <v>0.0162312888905132</v>
      </c>
      <c r="E62" s="8" t="n">
        <f aca="true">NORMINV(RAND(),Assumptions!$B$14,Assumptions!$B$15)</f>
        <v>-0.000792980790834424</v>
      </c>
      <c r="F62" s="8" t="n">
        <f aca="true">NORMINV(RAND(),Assumptions!$B$14,Assumptions!$B$15)</f>
        <v>0.0414637498085774</v>
      </c>
      <c r="G62" s="8" t="n">
        <f aca="true">NORMINV(RAND(),Assumptions!$B$14,Assumptions!$B$15)</f>
        <v>0.068997296414248</v>
      </c>
      <c r="H62" s="8" t="n">
        <f aca="true">NORMINV(RAND(),Assumptions!$B$14,Assumptions!$B$15)</f>
        <v>0.0995541507332527</v>
      </c>
      <c r="I62" s="8" t="n">
        <f aca="true">NORMINV(RAND(),Assumptions!$B$14,Assumptions!$B$15)</f>
        <v>0.0535846384441777</v>
      </c>
      <c r="J62" s="8" t="n">
        <f aca="true">NORMINV(RAND(),Assumptions!$B$14,Assumptions!$B$15)</f>
        <v>0.028718238993746</v>
      </c>
      <c r="K62" s="8" t="n">
        <f aca="true">NORMINV(RAND(),Assumptions!$B$14,Assumptions!$B$15)</f>
        <v>0.0740093193996131</v>
      </c>
      <c r="L62" s="8" t="n">
        <f aca="true">NORMINV(RAND(),Assumptions!$B$14,Assumptions!$B$15)</f>
        <v>0.042409660778628</v>
      </c>
      <c r="M62" s="6" t="n">
        <f aca="false">B62-Assumptions!$B$29</f>
        <v>391263.996662504</v>
      </c>
      <c r="N62" s="6" t="n">
        <f aca="false">W62-Assumptions!$B$29</f>
        <v>356735.49128765</v>
      </c>
      <c r="O62" s="6" t="n">
        <f aca="false">X62-Assumptions!$B$29</f>
        <v>312525.768104239</v>
      </c>
      <c r="P62" s="6" t="n">
        <f aca="false">Y62-Assumptions!$B$29</f>
        <v>262277.941173491</v>
      </c>
      <c r="Q62" s="6" t="n">
        <f aca="false">Z62-Assumptions!$B$29</f>
        <v>223152.968106618</v>
      </c>
      <c r="R62" s="6" t="n">
        <f aca="false">AA62-Assumptions!$B$29</f>
        <v>188549.919592789</v>
      </c>
      <c r="S62" s="6" t="n">
        <f aca="false">AB62-Assumptions!$B$29</f>
        <v>157320.846708673</v>
      </c>
      <c r="T62" s="6" t="n">
        <f aca="false">AC62-Assumptions!$B$29</f>
        <v>115750.827399289</v>
      </c>
      <c r="U62" s="6" t="n">
        <f aca="false">AD62-Assumptions!$B$29</f>
        <v>69074.9873242653</v>
      </c>
      <c r="V62" s="6" t="n">
        <f aca="false">AE62-Assumptions!$B$29</f>
        <v>24187.180123671</v>
      </c>
      <c r="W62" s="6" t="n">
        <f aca="false">M62*(1+C62)</f>
        <v>406735.49128765</v>
      </c>
      <c r="X62" s="6" t="n">
        <f aca="false">N62*(1+D62)</f>
        <v>362525.768104239</v>
      </c>
      <c r="Y62" s="6" t="n">
        <f aca="false">O62*(1+E62)</f>
        <v>312277.941173491</v>
      </c>
      <c r="Z62" s="6" t="n">
        <f aca="false">P62*(1+F62)</f>
        <v>273152.968106618</v>
      </c>
      <c r="AA62" s="6" t="n">
        <f aca="false">Q62*(1+G62)</f>
        <v>238549.919592789</v>
      </c>
      <c r="AB62" s="6" t="n">
        <f aca="false">R62*(1+H62)</f>
        <v>207320.846708673</v>
      </c>
      <c r="AC62" s="6" t="n">
        <f aca="false">S62*(1+I62)</f>
        <v>165750.827399289</v>
      </c>
      <c r="AD62" s="6" t="n">
        <f aca="false">T62*(1+J62)</f>
        <v>119074.987324265</v>
      </c>
      <c r="AE62" s="6" t="n">
        <f aca="false">U62*(1+K62)</f>
        <v>74187.180123671</v>
      </c>
      <c r="AF62" s="6" t="n">
        <f aca="false">V62*(1+L62)</f>
        <v>25212.9502279075</v>
      </c>
      <c r="AG62" s="6" t="n">
        <f aca="false">MIN(M62:V62)</f>
        <v>24187.180123671</v>
      </c>
      <c r="AH62" s="19" t="n">
        <f aca="false">IF(AG62&gt;=0,1,0)</f>
        <v>1</v>
      </c>
    </row>
    <row r="63" customFormat="false" ht="15" hidden="false" customHeight="false" outlineLevel="0" collapsed="false">
      <c r="A63" s="0" t="n">
        <f aca="false">ROW()-1</f>
        <v>62</v>
      </c>
      <c r="B63" s="6" t="n">
        <f aca="false">Assumptions!$B$35</f>
        <v>441263.996662504</v>
      </c>
      <c r="C63" s="8" t="n">
        <f aca="true">NORMINV(RAND(),Assumptions!$B$14,Assumptions!$B$15)</f>
        <v>0.00375576916373581</v>
      </c>
      <c r="D63" s="8" t="n">
        <f aca="true">NORMINV(RAND(),Assumptions!$B$14,Assumptions!$B$15)</f>
        <v>0.0217193733880077</v>
      </c>
      <c r="E63" s="8" t="n">
        <f aca="true">NORMINV(RAND(),Assumptions!$B$14,Assumptions!$B$15)</f>
        <v>0.041151250860368</v>
      </c>
      <c r="F63" s="8" t="n">
        <f aca="true">NORMINV(RAND(),Assumptions!$B$14,Assumptions!$B$15)</f>
        <v>0.0831266151391726</v>
      </c>
      <c r="G63" s="8" t="n">
        <f aca="true">NORMINV(RAND(),Assumptions!$B$14,Assumptions!$B$15)</f>
        <v>0.0568705656726134</v>
      </c>
      <c r="H63" s="8" t="n">
        <f aca="true">NORMINV(RAND(),Assumptions!$B$14,Assumptions!$B$15)</f>
        <v>0.0428557606278539</v>
      </c>
      <c r="I63" s="8" t="n">
        <f aca="true">NORMINV(RAND(),Assumptions!$B$14,Assumptions!$B$15)</f>
        <v>0.0364904507776794</v>
      </c>
      <c r="J63" s="8" t="n">
        <f aca="true">NORMINV(RAND(),Assumptions!$B$14,Assumptions!$B$15)</f>
        <v>0.0348555158281261</v>
      </c>
      <c r="K63" s="8" t="n">
        <f aca="true">NORMINV(RAND(),Assumptions!$B$14,Assumptions!$B$15)</f>
        <v>0.0533380132596706</v>
      </c>
      <c r="L63" s="8" t="n">
        <f aca="true">NORMINV(RAND(),Assumptions!$B$14,Assumptions!$B$15)</f>
        <v>0.110148661354627</v>
      </c>
      <c r="M63" s="6" t="n">
        <f aca="false">B63-Assumptions!$B$29</f>
        <v>391263.996662504</v>
      </c>
      <c r="N63" s="6" t="n">
        <f aca="false">W63-Assumptions!$B$29</f>
        <v>342733.493916049</v>
      </c>
      <c r="O63" s="6" t="n">
        <f aca="false">X63-Assumptions!$B$29</f>
        <v>300177.450642988</v>
      </c>
      <c r="P63" s="6" t="n">
        <f aca="false">Y63-Assumptions!$B$29</f>
        <v>262530.128217023</v>
      </c>
      <c r="Q63" s="6" t="n">
        <f aca="false">Z63-Assumptions!$B$29</f>
        <v>234353.369147757</v>
      </c>
      <c r="R63" s="6" t="n">
        <f aca="false">AA63-Assumptions!$B$29</f>
        <v>197681.177818473</v>
      </c>
      <c r="S63" s="6" t="n">
        <f aca="false">AB63-Assumptions!$B$29</f>
        <v>156152.955055693</v>
      </c>
      <c r="T63" s="6" t="n">
        <f aca="false">AC63-Assumptions!$B$29</f>
        <v>111851.046775942</v>
      </c>
      <c r="U63" s="6" t="n">
        <f aca="false">AD63-Assumptions!$B$29</f>
        <v>65749.6727072338</v>
      </c>
      <c r="V63" s="6" t="n">
        <f aca="false">AE63-Assumptions!$B$29</f>
        <v>19256.6296219112</v>
      </c>
      <c r="W63" s="6" t="n">
        <f aca="false">M63*(1+C63)</f>
        <v>392733.493916049</v>
      </c>
      <c r="X63" s="6" t="n">
        <f aca="false">N63*(1+D63)</f>
        <v>350177.450642988</v>
      </c>
      <c r="Y63" s="6" t="n">
        <f aca="false">O63*(1+E63)</f>
        <v>312530.128217023</v>
      </c>
      <c r="Z63" s="6" t="n">
        <f aca="false">P63*(1+F63)</f>
        <v>284353.369147757</v>
      </c>
      <c r="AA63" s="6" t="n">
        <f aca="false">Q63*(1+G63)</f>
        <v>247681.177818473</v>
      </c>
      <c r="AB63" s="6" t="n">
        <f aca="false">R63*(1+H63)</f>
        <v>206152.955055693</v>
      </c>
      <c r="AC63" s="6" t="n">
        <f aca="false">S63*(1+I63)</f>
        <v>161851.046775942</v>
      </c>
      <c r="AD63" s="6" t="n">
        <f aca="false">T63*(1+J63)</f>
        <v>115749.672707234</v>
      </c>
      <c r="AE63" s="6" t="n">
        <f aca="false">U63*(1+K63)</f>
        <v>69256.6296219112</v>
      </c>
      <c r="AF63" s="6" t="n">
        <f aca="false">V63*(1+L63)</f>
        <v>21377.7215969666</v>
      </c>
      <c r="AG63" s="6" t="n">
        <f aca="false">MIN(M63:V63)</f>
        <v>19256.6296219112</v>
      </c>
      <c r="AH63" s="19" t="n">
        <f aca="false">IF(AG63&gt;=0,1,0)</f>
        <v>1</v>
      </c>
    </row>
    <row r="64" customFormat="false" ht="15" hidden="false" customHeight="false" outlineLevel="0" collapsed="false">
      <c r="A64" s="0" t="n">
        <f aca="false">ROW()-1</f>
        <v>63</v>
      </c>
      <c r="B64" s="6" t="n">
        <f aca="false">Assumptions!$B$35</f>
        <v>441263.996662504</v>
      </c>
      <c r="C64" s="8" t="n">
        <f aca="true">NORMINV(RAND(),Assumptions!$B$14,Assumptions!$B$15)</f>
        <v>0.0298341953458224</v>
      </c>
      <c r="D64" s="8" t="n">
        <f aca="true">NORMINV(RAND(),Assumptions!$B$14,Assumptions!$B$15)</f>
        <v>-0.00539250207630711</v>
      </c>
      <c r="E64" s="8" t="n">
        <f aca="true">NORMINV(RAND(),Assumptions!$B$14,Assumptions!$B$15)</f>
        <v>0.0531641700461037</v>
      </c>
      <c r="F64" s="8" t="n">
        <f aca="true">NORMINV(RAND(),Assumptions!$B$14,Assumptions!$B$15)</f>
        <v>0.0279814363812197</v>
      </c>
      <c r="G64" s="8" t="n">
        <f aca="true">NORMINV(RAND(),Assumptions!$B$14,Assumptions!$B$15)</f>
        <v>0.0510602628580814</v>
      </c>
      <c r="H64" s="8" t="n">
        <f aca="true">NORMINV(RAND(),Assumptions!$B$14,Assumptions!$B$15)</f>
        <v>0.0664032538468204</v>
      </c>
      <c r="I64" s="8" t="n">
        <f aca="true">NORMINV(RAND(),Assumptions!$B$14,Assumptions!$B$15)</f>
        <v>0.037165118154949</v>
      </c>
      <c r="J64" s="8" t="n">
        <f aca="true">NORMINV(RAND(),Assumptions!$B$14,Assumptions!$B$15)</f>
        <v>0.0864190094842412</v>
      </c>
      <c r="K64" s="8" t="n">
        <f aca="true">NORMINV(RAND(),Assumptions!$B$14,Assumptions!$B$15)</f>
        <v>0.100710816665264</v>
      </c>
      <c r="L64" s="8" t="n">
        <f aca="true">NORMINV(RAND(),Assumptions!$B$14,Assumptions!$B$15)</f>
        <v>0.101616274328437</v>
      </c>
      <c r="M64" s="6" t="n">
        <f aca="false">B64-Assumptions!$B$29</f>
        <v>391263.996662504</v>
      </c>
      <c r="N64" s="6" t="n">
        <f aca="false">W64-Assumptions!$B$29</f>
        <v>352937.04317072</v>
      </c>
      <c r="O64" s="6" t="n">
        <f aca="false">X64-Assumptions!$B$29</f>
        <v>301033.829432616</v>
      </c>
      <c r="P64" s="6" t="n">
        <f aca="false">Y64-Assumptions!$B$29</f>
        <v>267038.043130201</v>
      </c>
      <c r="Q64" s="6" t="n">
        <f aca="false">Z64-Assumptions!$B$29</f>
        <v>224510.151145414</v>
      </c>
      <c r="R64" s="6" t="n">
        <f aca="false">AA64-Assumptions!$B$29</f>
        <v>185973.698477207</v>
      </c>
      <c r="S64" s="6" t="n">
        <f aca="false">AB64-Assumptions!$B$29</f>
        <v>148322.957186021</v>
      </c>
      <c r="T64" s="6" t="n">
        <f aca="false">AC64-Assumptions!$B$29</f>
        <v>103835.397414931</v>
      </c>
      <c r="U64" s="6" t="n">
        <f aca="false">AD64-Assumptions!$B$29</f>
        <v>62808.7496089317</v>
      </c>
      <c r="V64" s="6" t="n">
        <f aca="false">AE64-Assumptions!$B$29</f>
        <v>19134.2700757713</v>
      </c>
      <c r="W64" s="6" t="n">
        <f aca="false">M64*(1+C64)</f>
        <v>402937.04317072</v>
      </c>
      <c r="X64" s="6" t="n">
        <f aca="false">N64*(1+D64)</f>
        <v>351033.829432616</v>
      </c>
      <c r="Y64" s="6" t="n">
        <f aca="false">O64*(1+E64)</f>
        <v>317038.043130201</v>
      </c>
      <c r="Z64" s="6" t="n">
        <f aca="false">P64*(1+F64)</f>
        <v>274510.151145414</v>
      </c>
      <c r="AA64" s="6" t="n">
        <f aca="false">Q64*(1+G64)</f>
        <v>235973.698477207</v>
      </c>
      <c r="AB64" s="6" t="n">
        <f aca="false">R64*(1+H64)</f>
        <v>198322.957186021</v>
      </c>
      <c r="AC64" s="6" t="n">
        <f aca="false">S64*(1+I64)</f>
        <v>153835.397414931</v>
      </c>
      <c r="AD64" s="6" t="n">
        <f aca="false">T64*(1+J64)</f>
        <v>112808.749608932</v>
      </c>
      <c r="AE64" s="6" t="n">
        <f aca="false">U64*(1+K64)</f>
        <v>69134.2700757713</v>
      </c>
      <c r="AF64" s="6" t="n">
        <f aca="false">V64*(1+L64)</f>
        <v>21078.6233128653</v>
      </c>
      <c r="AG64" s="6" t="n">
        <f aca="false">MIN(M64:V64)</f>
        <v>19134.2700757713</v>
      </c>
      <c r="AH64" s="19" t="n">
        <f aca="false">IF(AG64&gt;=0,1,0)</f>
        <v>1</v>
      </c>
    </row>
    <row r="65" customFormat="false" ht="15" hidden="false" customHeight="false" outlineLevel="0" collapsed="false">
      <c r="A65" s="0" t="n">
        <f aca="false">ROW()-1</f>
        <v>64</v>
      </c>
      <c r="B65" s="6" t="n">
        <f aca="false">Assumptions!$B$35</f>
        <v>441263.996662504</v>
      </c>
      <c r="C65" s="8" t="n">
        <f aca="true">NORMINV(RAND(),Assumptions!$B$14,Assumptions!$B$15)</f>
        <v>0.0847146406177839</v>
      </c>
      <c r="D65" s="8" t="n">
        <f aca="true">NORMINV(RAND(),Assumptions!$B$14,Assumptions!$B$15)</f>
        <v>0.0245026551355263</v>
      </c>
      <c r="E65" s="8" t="n">
        <f aca="true">NORMINV(RAND(),Assumptions!$B$14,Assumptions!$B$15)</f>
        <v>0.0268830149902381</v>
      </c>
      <c r="F65" s="8" t="n">
        <f aca="true">NORMINV(RAND(),Assumptions!$B$14,Assumptions!$B$15)</f>
        <v>0.0360633375018706</v>
      </c>
      <c r="G65" s="8" t="n">
        <f aca="true">NORMINV(RAND(),Assumptions!$B$14,Assumptions!$B$15)</f>
        <v>0.0502529921197929</v>
      </c>
      <c r="H65" s="8" t="n">
        <f aca="true">NORMINV(RAND(),Assumptions!$B$14,Assumptions!$B$15)</f>
        <v>0.0626440130067592</v>
      </c>
      <c r="I65" s="8" t="n">
        <f aca="true">NORMINV(RAND(),Assumptions!$B$14,Assumptions!$B$15)</f>
        <v>0.0745061981250176</v>
      </c>
      <c r="J65" s="8" t="n">
        <f aca="true">NORMINV(RAND(),Assumptions!$B$14,Assumptions!$B$15)</f>
        <v>0.0136068694263549</v>
      </c>
      <c r="K65" s="8" t="n">
        <f aca="true">NORMINV(RAND(),Assumptions!$B$14,Assumptions!$B$15)</f>
        <v>0.0253475363817568</v>
      </c>
      <c r="L65" s="8" t="n">
        <f aca="true">NORMINV(RAND(),Assumptions!$B$14,Assumptions!$B$15)</f>
        <v>0.0758880382032578</v>
      </c>
      <c r="M65" s="6" t="n">
        <f aca="false">B65-Assumptions!$B$29</f>
        <v>391263.996662504</v>
      </c>
      <c r="N65" s="6" t="n">
        <f aca="false">W65-Assumptions!$B$29</f>
        <v>374409.785526445</v>
      </c>
      <c r="O65" s="6" t="n">
        <f aca="false">X65-Assumptions!$B$29</f>
        <v>333583.819380566</v>
      </c>
      <c r="P65" s="6" t="n">
        <f aca="false">Y65-Assumptions!$B$29</f>
        <v>292551.558197475</v>
      </c>
      <c r="Q65" s="6" t="n">
        <f aca="false">Z65-Assumptions!$B$29</f>
        <v>253101.943777449</v>
      </c>
      <c r="R65" s="6" t="n">
        <f aca="false">AA65-Assumptions!$B$29</f>
        <v>215821.073763601</v>
      </c>
      <c r="S65" s="6" t="n">
        <f aca="false">AB65-Assumptions!$B$29</f>
        <v>179340.971915581</v>
      </c>
      <c r="T65" s="6" t="n">
        <f aca="false">AC65-Assumptions!$B$29</f>
        <v>142702.985901056</v>
      </c>
      <c r="U65" s="6" t="n">
        <f aca="false">AD65-Assumptions!$B$29</f>
        <v>94644.7267969628</v>
      </c>
      <c r="V65" s="6" t="n">
        <f aca="false">AE65-Assumptions!$B$29</f>
        <v>47043.7374527903</v>
      </c>
      <c r="W65" s="6" t="n">
        <f aca="false">M65*(1+C65)</f>
        <v>424409.785526445</v>
      </c>
      <c r="X65" s="6" t="n">
        <f aca="false">N65*(1+D65)</f>
        <v>383583.819380566</v>
      </c>
      <c r="Y65" s="6" t="n">
        <f aca="false">O65*(1+E65)</f>
        <v>342551.558197475</v>
      </c>
      <c r="Z65" s="6" t="n">
        <f aca="false">P65*(1+F65)</f>
        <v>303101.943777449</v>
      </c>
      <c r="AA65" s="6" t="n">
        <f aca="false">Q65*(1+G65)</f>
        <v>265821.073763601</v>
      </c>
      <c r="AB65" s="6" t="n">
        <f aca="false">R65*(1+H65)</f>
        <v>229340.971915581</v>
      </c>
      <c r="AC65" s="6" t="n">
        <f aca="false">S65*(1+I65)</f>
        <v>192702.985901056</v>
      </c>
      <c r="AD65" s="6" t="n">
        <f aca="false">T65*(1+J65)</f>
        <v>144644.726796963</v>
      </c>
      <c r="AE65" s="6" t="n">
        <f aca="false">U65*(1+K65)</f>
        <v>97043.7374527903</v>
      </c>
      <c r="AF65" s="6" t="n">
        <f aca="false">V65*(1+L65)</f>
        <v>50613.7943978317</v>
      </c>
      <c r="AG65" s="6" t="n">
        <f aca="false">MIN(M65:V65)</f>
        <v>47043.7374527903</v>
      </c>
      <c r="AH65" s="19" t="n">
        <f aca="false">IF(AG65&gt;=0,1,0)</f>
        <v>1</v>
      </c>
    </row>
    <row r="66" customFormat="false" ht="15" hidden="false" customHeight="false" outlineLevel="0" collapsed="false">
      <c r="A66" s="0" t="n">
        <f aca="false">ROW()-1</f>
        <v>65</v>
      </c>
      <c r="B66" s="6" t="n">
        <f aca="false">Assumptions!$B$35</f>
        <v>441263.996662504</v>
      </c>
      <c r="C66" s="8" t="n">
        <f aca="true">NORMINV(RAND(),Assumptions!$B$14,Assumptions!$B$15)</f>
        <v>0.0618823032184849</v>
      </c>
      <c r="D66" s="8" t="n">
        <f aca="true">NORMINV(RAND(),Assumptions!$B$14,Assumptions!$B$15)</f>
        <v>0.0368872241491431</v>
      </c>
      <c r="E66" s="8" t="n">
        <f aca="true">NORMINV(RAND(),Assumptions!$B$14,Assumptions!$B$15)</f>
        <v>-0.00780872300465401</v>
      </c>
      <c r="F66" s="8" t="n">
        <f aca="true">NORMINV(RAND(),Assumptions!$B$14,Assumptions!$B$15)</f>
        <v>0.0423676854663375</v>
      </c>
      <c r="G66" s="8" t="n">
        <f aca="true">NORMINV(RAND(),Assumptions!$B$14,Assumptions!$B$15)</f>
        <v>0.0559370328206903</v>
      </c>
      <c r="H66" s="8" t="n">
        <f aca="true">NORMINV(RAND(),Assumptions!$B$14,Assumptions!$B$15)</f>
        <v>0.0672645425250952</v>
      </c>
      <c r="I66" s="8" t="n">
        <f aca="true">NORMINV(RAND(),Assumptions!$B$14,Assumptions!$B$15)</f>
        <v>0.0162307136893239</v>
      </c>
      <c r="J66" s="8" t="n">
        <f aca="true">NORMINV(RAND(),Assumptions!$B$14,Assumptions!$B$15)</f>
        <v>0.0902744729084559</v>
      </c>
      <c r="K66" s="8" t="n">
        <f aca="true">NORMINV(RAND(),Assumptions!$B$14,Assumptions!$B$15)</f>
        <v>0.0640093768794006</v>
      </c>
      <c r="L66" s="8" t="n">
        <f aca="true">NORMINV(RAND(),Assumptions!$B$14,Assumptions!$B$15)</f>
        <v>0.0531941217378939</v>
      </c>
      <c r="M66" s="6" t="n">
        <f aca="false">B66-Assumptions!$B$29</f>
        <v>391263.996662504</v>
      </c>
      <c r="N66" s="6" t="n">
        <f aca="false">W66-Assumptions!$B$29</f>
        <v>365476.313942449</v>
      </c>
      <c r="O66" s="6" t="n">
        <f aca="false">X66-Assumptions!$B$29</f>
        <v>328957.720656046</v>
      </c>
      <c r="P66" s="6" t="n">
        <f aca="false">Y66-Assumptions!$B$29</f>
        <v>276388.980935201</v>
      </c>
      <c r="Q66" s="6" t="n">
        <f aca="false">Z66-Assumptions!$B$29</f>
        <v>238098.942345825</v>
      </c>
      <c r="R66" s="6" t="n">
        <f aca="false">AA66-Assumptions!$B$29</f>
        <v>201417.490698395</v>
      </c>
      <c r="S66" s="6" t="n">
        <f aca="false">AB66-Assumptions!$B$29</f>
        <v>164965.746066775</v>
      </c>
      <c r="T66" s="6" t="n">
        <f aca="false">AC66-Assumptions!$B$29</f>
        <v>117643.257859731</v>
      </c>
      <c r="U66" s="6" t="n">
        <f aca="false">AD66-Assumptions!$B$29</f>
        <v>78263.4409542518</v>
      </c>
      <c r="V66" s="6" t="n">
        <f aca="false">AE66-Assumptions!$B$29</f>
        <v>33273.0350421712</v>
      </c>
      <c r="W66" s="6" t="n">
        <f aca="false">M66*(1+C66)</f>
        <v>415476.313942449</v>
      </c>
      <c r="X66" s="6" t="n">
        <f aca="false">N66*(1+D66)</f>
        <v>378957.720656046</v>
      </c>
      <c r="Y66" s="6" t="n">
        <f aca="false">O66*(1+E66)</f>
        <v>326388.980935201</v>
      </c>
      <c r="Z66" s="6" t="n">
        <f aca="false">P66*(1+F66)</f>
        <v>288098.942345825</v>
      </c>
      <c r="AA66" s="6" t="n">
        <f aca="false">Q66*(1+G66)</f>
        <v>251417.490698395</v>
      </c>
      <c r="AB66" s="6" t="n">
        <f aca="false">R66*(1+H66)</f>
        <v>214965.746066775</v>
      </c>
      <c r="AC66" s="6" t="n">
        <f aca="false">S66*(1+I66)</f>
        <v>167643.257859731</v>
      </c>
      <c r="AD66" s="6" t="n">
        <f aca="false">T66*(1+J66)</f>
        <v>128263.440954252</v>
      </c>
      <c r="AE66" s="6" t="n">
        <f aca="false">U66*(1+K66)</f>
        <v>83273.0350421712</v>
      </c>
      <c r="AF66" s="6" t="n">
        <f aca="false">V66*(1+L66)</f>
        <v>35042.9649187937</v>
      </c>
      <c r="AG66" s="6" t="n">
        <f aca="false">MIN(M66:V66)</f>
        <v>33273.0350421712</v>
      </c>
      <c r="AH66" s="19" t="n">
        <f aca="false">IF(AG66&gt;=0,1,0)</f>
        <v>1</v>
      </c>
    </row>
    <row r="67" customFormat="false" ht="15" hidden="false" customHeight="false" outlineLevel="0" collapsed="false">
      <c r="A67" s="0" t="n">
        <f aca="false">ROW()-1</f>
        <v>66</v>
      </c>
      <c r="B67" s="6" t="n">
        <f aca="false">Assumptions!$B$35</f>
        <v>441263.996662504</v>
      </c>
      <c r="C67" s="8" t="n">
        <f aca="true">NORMINV(RAND(),Assumptions!$B$14,Assumptions!$B$15)</f>
        <v>0.0385118861378999</v>
      </c>
      <c r="D67" s="8" t="n">
        <f aca="true">NORMINV(RAND(),Assumptions!$B$14,Assumptions!$B$15)</f>
        <v>0.0631348590143143</v>
      </c>
      <c r="E67" s="8" t="n">
        <f aca="true">NORMINV(RAND(),Assumptions!$B$14,Assumptions!$B$15)</f>
        <v>0.072801723201371</v>
      </c>
      <c r="F67" s="8" t="n">
        <f aca="true">NORMINV(RAND(),Assumptions!$B$14,Assumptions!$B$15)</f>
        <v>0.0223973629499169</v>
      </c>
      <c r="G67" s="8" t="n">
        <f aca="true">NORMINV(RAND(),Assumptions!$B$14,Assumptions!$B$15)</f>
        <v>0.0360854025134129</v>
      </c>
      <c r="H67" s="8" t="n">
        <f aca="true">NORMINV(RAND(),Assumptions!$B$14,Assumptions!$B$15)</f>
        <v>0.0701689554153296</v>
      </c>
      <c r="I67" s="8" t="n">
        <f aca="true">NORMINV(RAND(),Assumptions!$B$14,Assumptions!$B$15)</f>
        <v>0.046751361511262</v>
      </c>
      <c r="J67" s="8" t="n">
        <f aca="true">NORMINV(RAND(),Assumptions!$B$14,Assumptions!$B$15)</f>
        <v>0.0514600812500363</v>
      </c>
      <c r="K67" s="8" t="n">
        <f aca="true">NORMINV(RAND(),Assumptions!$B$14,Assumptions!$B$15)</f>
        <v>0.0320782329460547</v>
      </c>
      <c r="L67" s="8" t="n">
        <f aca="true">NORMINV(RAND(),Assumptions!$B$14,Assumptions!$B$15)</f>
        <v>0.0493837597599339</v>
      </c>
      <c r="M67" s="6" t="n">
        <f aca="false">B67-Assumptions!$B$29</f>
        <v>391263.996662504</v>
      </c>
      <c r="N67" s="6" t="n">
        <f aca="false">W67-Assumptions!$B$29</f>
        <v>356332.31115183</v>
      </c>
      <c r="O67" s="6" t="n">
        <f aca="false">X67-Assumptions!$B$29</f>
        <v>328829.301378645</v>
      </c>
      <c r="P67" s="6" t="n">
        <f aca="false">Y67-Assumptions!$B$29</f>
        <v>302768.641158113</v>
      </c>
      <c r="Q67" s="6" t="n">
        <f aca="false">Z67-Assumptions!$B$29</f>
        <v>259549.860303985</v>
      </c>
      <c r="R67" s="6" t="n">
        <f aca="false">AA67-Assumptions!$B$29</f>
        <v>218915.821485354</v>
      </c>
      <c r="S67" s="6" t="n">
        <f aca="false">AB67-Assumptions!$B$29</f>
        <v>184276.91600287</v>
      </c>
      <c r="T67" s="6" t="n">
        <f aca="false">AC67-Assumptions!$B$29</f>
        <v>142892.112721101</v>
      </c>
      <c r="U67" s="6" t="n">
        <f aca="false">AD67-Assumptions!$B$29</f>
        <v>100245.352451718</v>
      </c>
      <c r="V67" s="6" t="n">
        <f aca="false">AE67-Assumptions!$B$29</f>
        <v>53461.0462194237</v>
      </c>
      <c r="W67" s="6" t="n">
        <f aca="false">M67*(1+C67)</f>
        <v>406332.31115183</v>
      </c>
      <c r="X67" s="6" t="n">
        <f aca="false">N67*(1+D67)</f>
        <v>378829.301378645</v>
      </c>
      <c r="Y67" s="6" t="n">
        <f aca="false">O67*(1+E67)</f>
        <v>352768.641158113</v>
      </c>
      <c r="Z67" s="6" t="n">
        <f aca="false">P67*(1+F67)</f>
        <v>309549.860303985</v>
      </c>
      <c r="AA67" s="6" t="n">
        <f aca="false">Q67*(1+G67)</f>
        <v>268915.821485354</v>
      </c>
      <c r="AB67" s="6" t="n">
        <f aca="false">R67*(1+H67)</f>
        <v>234276.91600287</v>
      </c>
      <c r="AC67" s="6" t="n">
        <f aca="false">S67*(1+I67)</f>
        <v>192892.112721101</v>
      </c>
      <c r="AD67" s="6" t="n">
        <f aca="false">T67*(1+J67)</f>
        <v>150245.352451718</v>
      </c>
      <c r="AE67" s="6" t="n">
        <f aca="false">U67*(1+K67)</f>
        <v>103461.046219424</v>
      </c>
      <c r="AF67" s="6" t="n">
        <f aca="false">V67*(1+L67)</f>
        <v>56101.1536824384</v>
      </c>
      <c r="AG67" s="6" t="n">
        <f aca="false">MIN(M67:V67)</f>
        <v>53461.0462194237</v>
      </c>
      <c r="AH67" s="19" t="n">
        <f aca="false">IF(AG67&gt;=0,1,0)</f>
        <v>1</v>
      </c>
    </row>
    <row r="68" customFormat="false" ht="15" hidden="false" customHeight="false" outlineLevel="0" collapsed="false">
      <c r="A68" s="0" t="n">
        <f aca="false">ROW()-1</f>
        <v>67</v>
      </c>
      <c r="B68" s="6" t="n">
        <f aca="false">Assumptions!$B$35</f>
        <v>441263.996662504</v>
      </c>
      <c r="C68" s="8" t="n">
        <f aca="true">NORMINV(RAND(),Assumptions!$B$14,Assumptions!$B$15)</f>
        <v>0.0498599482845832</v>
      </c>
      <c r="D68" s="8" t="n">
        <f aca="true">NORMINV(RAND(),Assumptions!$B$14,Assumptions!$B$15)</f>
        <v>0.0669851845648007</v>
      </c>
      <c r="E68" s="8" t="n">
        <f aca="true">NORMINV(RAND(),Assumptions!$B$14,Assumptions!$B$15)</f>
        <v>0.0795192860874839</v>
      </c>
      <c r="F68" s="8" t="n">
        <f aca="true">NORMINV(RAND(),Assumptions!$B$14,Assumptions!$B$15)</f>
        <v>0.0279635196769641</v>
      </c>
      <c r="G68" s="8" t="n">
        <f aca="true">NORMINV(RAND(),Assumptions!$B$14,Assumptions!$B$15)</f>
        <v>0.0438775157768854</v>
      </c>
      <c r="H68" s="8" t="n">
        <f aca="true">NORMINV(RAND(),Assumptions!$B$14,Assumptions!$B$15)</f>
        <v>0.03735141107851</v>
      </c>
      <c r="I68" s="8" t="n">
        <f aca="true">NORMINV(RAND(),Assumptions!$B$14,Assumptions!$B$15)</f>
        <v>-0.0226789897694997</v>
      </c>
      <c r="J68" s="8" t="n">
        <f aca="true">NORMINV(RAND(),Assumptions!$B$14,Assumptions!$B$15)</f>
        <v>0.0226401048614891</v>
      </c>
      <c r="K68" s="8" t="n">
        <f aca="true">NORMINV(RAND(),Assumptions!$B$14,Assumptions!$B$15)</f>
        <v>0.108019513143439</v>
      </c>
      <c r="L68" s="8" t="n">
        <f aca="true">NORMINV(RAND(),Assumptions!$B$14,Assumptions!$B$15)</f>
        <v>0.0491904225435129</v>
      </c>
      <c r="M68" s="6" t="n">
        <f aca="false">B68-Assumptions!$B$29</f>
        <v>391263.996662504</v>
      </c>
      <c r="N68" s="6" t="n">
        <f aca="false">W68-Assumptions!$B$29</f>
        <v>360772.399301715</v>
      </c>
      <c r="O68" s="6" t="n">
        <f aca="false">X68-Assumptions!$B$29</f>
        <v>334938.805054827</v>
      </c>
      <c r="P68" s="6" t="n">
        <f aca="false">Y68-Assumptions!$B$29</f>
        <v>311572.899715781</v>
      </c>
      <c r="Q68" s="6" t="n">
        <f aca="false">Z68-Assumptions!$B$29</f>
        <v>270285.574627792</v>
      </c>
      <c r="R68" s="6" t="n">
        <f aca="false">AA68-Assumptions!$B$29</f>
        <v>232145.034192788</v>
      </c>
      <c r="S68" s="6" t="n">
        <f aca="false">AB68-Assumptions!$B$29</f>
        <v>190815.978794757</v>
      </c>
      <c r="T68" s="6" t="n">
        <f aca="false">AC68-Assumptions!$B$29</f>
        <v>136488.465163814</v>
      </c>
      <c r="U68" s="6" t="n">
        <f aca="false">AD68-Assumptions!$B$29</f>
        <v>89578.5783275065</v>
      </c>
      <c r="V68" s="6" t="n">
        <f aca="false">AE68-Assumptions!$B$29</f>
        <v>49254.8127465252</v>
      </c>
      <c r="W68" s="6" t="n">
        <f aca="false">M68*(1+C68)</f>
        <v>410772.399301715</v>
      </c>
      <c r="X68" s="6" t="n">
        <f aca="false">N68*(1+D68)</f>
        <v>384938.805054827</v>
      </c>
      <c r="Y68" s="6" t="n">
        <f aca="false">O68*(1+E68)</f>
        <v>361572.899715781</v>
      </c>
      <c r="Z68" s="6" t="n">
        <f aca="false">P68*(1+F68)</f>
        <v>320285.574627792</v>
      </c>
      <c r="AA68" s="6" t="n">
        <f aca="false">Q68*(1+G68)</f>
        <v>282145.034192788</v>
      </c>
      <c r="AB68" s="6" t="n">
        <f aca="false">R68*(1+H68)</f>
        <v>240815.978794757</v>
      </c>
      <c r="AC68" s="6" t="n">
        <f aca="false">S68*(1+I68)</f>
        <v>186488.465163814</v>
      </c>
      <c r="AD68" s="6" t="n">
        <f aca="false">T68*(1+J68)</f>
        <v>139578.578327507</v>
      </c>
      <c r="AE68" s="6" t="n">
        <f aca="false">U68*(1+K68)</f>
        <v>99254.8127465252</v>
      </c>
      <c r="AF68" s="6" t="n">
        <f aca="false">V68*(1+L68)</f>
        <v>51677.6777978284</v>
      </c>
      <c r="AG68" s="6" t="n">
        <f aca="false">MIN(M68:V68)</f>
        <v>49254.8127465252</v>
      </c>
      <c r="AH68" s="19" t="n">
        <f aca="false">IF(AG68&gt;=0,1,0)</f>
        <v>1</v>
      </c>
    </row>
    <row r="69" customFormat="false" ht="15" hidden="false" customHeight="false" outlineLevel="0" collapsed="false">
      <c r="A69" s="0" t="n">
        <f aca="false">ROW()-1</f>
        <v>68</v>
      </c>
      <c r="B69" s="6" t="n">
        <f aca="false">Assumptions!$B$35</f>
        <v>441263.996662504</v>
      </c>
      <c r="C69" s="8" t="n">
        <f aca="true">NORMINV(RAND(),Assumptions!$B$14,Assumptions!$B$15)</f>
        <v>0.0797432029588545</v>
      </c>
      <c r="D69" s="8" t="n">
        <f aca="true">NORMINV(RAND(),Assumptions!$B$14,Assumptions!$B$15)</f>
        <v>0.0253445419428501</v>
      </c>
      <c r="E69" s="8" t="n">
        <f aca="true">NORMINV(RAND(),Assumptions!$B$14,Assumptions!$B$15)</f>
        <v>0.0308019796991171</v>
      </c>
      <c r="F69" s="8" t="n">
        <f aca="true">NORMINV(RAND(),Assumptions!$B$14,Assumptions!$B$15)</f>
        <v>0.0393692063114145</v>
      </c>
      <c r="G69" s="8" t="n">
        <f aca="true">NORMINV(RAND(),Assumptions!$B$14,Assumptions!$B$15)</f>
        <v>0.0663879090345808</v>
      </c>
      <c r="H69" s="8" t="n">
        <f aca="true">NORMINV(RAND(),Assumptions!$B$14,Assumptions!$B$15)</f>
        <v>0.0094501378042654</v>
      </c>
      <c r="I69" s="8" t="n">
        <f aca="true">NORMINV(RAND(),Assumptions!$B$14,Assumptions!$B$15)</f>
        <v>0.0341367278411986</v>
      </c>
      <c r="J69" s="8" t="n">
        <f aca="true">NORMINV(RAND(),Assumptions!$B$14,Assumptions!$B$15)</f>
        <v>0.0919610465647158</v>
      </c>
      <c r="K69" s="8" t="n">
        <f aca="true">NORMINV(RAND(),Assumptions!$B$14,Assumptions!$B$15)</f>
        <v>-0.0018234216917227</v>
      </c>
      <c r="L69" s="8" t="n">
        <f aca="true">NORMINV(RAND(),Assumptions!$B$14,Assumptions!$B$15)</f>
        <v>0.0780554187354218</v>
      </c>
      <c r="M69" s="6" t="n">
        <f aca="false">B69-Assumptions!$B$29</f>
        <v>391263.996662504</v>
      </c>
      <c r="N69" s="6" t="n">
        <f aca="false">W69-Assumptions!$B$29</f>
        <v>372464.640958854</v>
      </c>
      <c r="O69" s="6" t="n">
        <f aca="false">X69-Assumptions!$B$29</f>
        <v>331904.586673864</v>
      </c>
      <c r="P69" s="6" t="n">
        <f aca="false">Y69-Assumptions!$B$29</f>
        <v>292127.905014637</v>
      </c>
      <c r="Q69" s="6" t="n">
        <f aca="false">Z69-Assumptions!$B$29</f>
        <v>253628.748776479</v>
      </c>
      <c r="R69" s="6" t="n">
        <f aca="false">AA69-Assumptions!$B$29</f>
        <v>220466.631078807</v>
      </c>
      <c r="S69" s="6" t="n">
        <f aca="false">AB69-Assumptions!$B$29</f>
        <v>172550.071123744</v>
      </c>
      <c r="T69" s="6" t="n">
        <f aca="false">AC69-Assumptions!$B$29</f>
        <v>128440.365940674</v>
      </c>
      <c r="U69" s="6" t="n">
        <f aca="false">AD69-Assumptions!$B$29</f>
        <v>90251.8764137337</v>
      </c>
      <c r="V69" s="6" t="n">
        <f aca="false">AE69-Assumptions!$B$29</f>
        <v>40087.3091845623</v>
      </c>
      <c r="W69" s="6" t="n">
        <f aca="false">M69*(1+C69)</f>
        <v>422464.640958854</v>
      </c>
      <c r="X69" s="6" t="n">
        <f aca="false">N69*(1+D69)</f>
        <v>381904.586673864</v>
      </c>
      <c r="Y69" s="6" t="n">
        <f aca="false">O69*(1+E69)</f>
        <v>342127.905014637</v>
      </c>
      <c r="Z69" s="6" t="n">
        <f aca="false">P69*(1+F69)</f>
        <v>303628.748776479</v>
      </c>
      <c r="AA69" s="6" t="n">
        <f aca="false">Q69*(1+G69)</f>
        <v>270466.631078807</v>
      </c>
      <c r="AB69" s="6" t="n">
        <f aca="false">R69*(1+H69)</f>
        <v>222550.071123744</v>
      </c>
      <c r="AC69" s="6" t="n">
        <f aca="false">S69*(1+I69)</f>
        <v>178440.365940674</v>
      </c>
      <c r="AD69" s="6" t="n">
        <f aca="false">T69*(1+J69)</f>
        <v>140251.876413734</v>
      </c>
      <c r="AE69" s="6" t="n">
        <f aca="false">U69*(1+K69)</f>
        <v>90087.3091845623</v>
      </c>
      <c r="AF69" s="6" t="n">
        <f aca="false">V69*(1+L69)</f>
        <v>43216.3408889396</v>
      </c>
      <c r="AG69" s="6" t="n">
        <f aca="false">MIN(M69:V69)</f>
        <v>40087.3091845623</v>
      </c>
      <c r="AH69" s="19" t="n">
        <f aca="false">IF(AG69&gt;=0,1,0)</f>
        <v>1</v>
      </c>
    </row>
    <row r="70" customFormat="false" ht="15" hidden="false" customHeight="false" outlineLevel="0" collapsed="false">
      <c r="A70" s="0" t="n">
        <f aca="false">ROW()-1</f>
        <v>69</v>
      </c>
      <c r="B70" s="6" t="n">
        <f aca="false">Assumptions!$B$35</f>
        <v>441263.996662504</v>
      </c>
      <c r="C70" s="8" t="n">
        <f aca="true">NORMINV(RAND(),Assumptions!$B$14,Assumptions!$B$15)</f>
        <v>0.0302166185935538</v>
      </c>
      <c r="D70" s="8" t="n">
        <f aca="true">NORMINV(RAND(),Assumptions!$B$14,Assumptions!$B$15)</f>
        <v>0.122149003780007</v>
      </c>
      <c r="E70" s="8" t="n">
        <f aca="true">NORMINV(RAND(),Assumptions!$B$14,Assumptions!$B$15)</f>
        <v>0.0576419791540733</v>
      </c>
      <c r="F70" s="8" t="n">
        <f aca="true">NORMINV(RAND(),Assumptions!$B$14,Assumptions!$B$15)</f>
        <v>0.030366411172089</v>
      </c>
      <c r="G70" s="8" t="n">
        <f aca="true">NORMINV(RAND(),Assumptions!$B$14,Assumptions!$B$15)</f>
        <v>0.0607950950679985</v>
      </c>
      <c r="H70" s="8" t="n">
        <f aca="true">NORMINV(RAND(),Assumptions!$B$14,Assumptions!$B$15)</f>
        <v>0.0392363375965303</v>
      </c>
      <c r="I70" s="8" t="n">
        <f aca="true">NORMINV(RAND(),Assumptions!$B$14,Assumptions!$B$15)</f>
        <v>-0.00724338541332883</v>
      </c>
      <c r="J70" s="8" t="n">
        <f aca="true">NORMINV(RAND(),Assumptions!$B$14,Assumptions!$B$15)</f>
        <v>0.0551306273291449</v>
      </c>
      <c r="K70" s="8" t="n">
        <f aca="true">NORMINV(RAND(),Assumptions!$B$14,Assumptions!$B$15)</f>
        <v>0.0556127806253759</v>
      </c>
      <c r="L70" s="8" t="n">
        <f aca="true">NORMINV(RAND(),Assumptions!$B$14,Assumptions!$B$15)</f>
        <v>0.0526224953313737</v>
      </c>
      <c r="M70" s="6" t="n">
        <f aca="false">B70-Assumptions!$B$29</f>
        <v>391263.996662504</v>
      </c>
      <c r="N70" s="6" t="n">
        <f aca="false">W70-Assumptions!$B$29</f>
        <v>353086.671619044</v>
      </c>
      <c r="O70" s="6" t="n">
        <f aca="false">X70-Assumptions!$B$29</f>
        <v>346215.856805309</v>
      </c>
      <c r="P70" s="6" t="n">
        <f aca="false">Y70-Assumptions!$B$29</f>
        <v>316172.42400609</v>
      </c>
      <c r="Q70" s="6" t="n">
        <f aca="false">Z70-Assumptions!$B$29</f>
        <v>275773.445834735</v>
      </c>
      <c r="R70" s="6" t="n">
        <f aca="false">AA70-Assumptions!$B$29</f>
        <v>242539.118691487</v>
      </c>
      <c r="S70" s="6" t="n">
        <f aca="false">AB70-Assumptions!$B$29</f>
        <v>202055.465432831</v>
      </c>
      <c r="T70" s="6" t="n">
        <f aca="false">AC70-Assumptions!$B$29</f>
        <v>150591.899821831</v>
      </c>
      <c r="U70" s="6" t="n">
        <f aca="false">AD70-Assumptions!$B$29</f>
        <v>108894.125729697</v>
      </c>
      <c r="V70" s="6" t="n">
        <f aca="false">AE70-Assumptions!$B$29</f>
        <v>64950.0308552945</v>
      </c>
      <c r="W70" s="6" t="n">
        <f aca="false">M70*(1+C70)</f>
        <v>403086.671619044</v>
      </c>
      <c r="X70" s="6" t="n">
        <f aca="false">N70*(1+D70)</f>
        <v>396215.856805309</v>
      </c>
      <c r="Y70" s="6" t="n">
        <f aca="false">O70*(1+E70)</f>
        <v>366172.42400609</v>
      </c>
      <c r="Z70" s="6" t="n">
        <f aca="false">P70*(1+F70)</f>
        <v>325773.445834735</v>
      </c>
      <c r="AA70" s="6" t="n">
        <f aca="false">Q70*(1+G70)</f>
        <v>292539.118691487</v>
      </c>
      <c r="AB70" s="6" t="n">
        <f aca="false">R70*(1+H70)</f>
        <v>252055.465432831</v>
      </c>
      <c r="AC70" s="6" t="n">
        <f aca="false">S70*(1+I70)</f>
        <v>200591.899821831</v>
      </c>
      <c r="AD70" s="6" t="n">
        <f aca="false">T70*(1+J70)</f>
        <v>158894.125729697</v>
      </c>
      <c r="AE70" s="6" t="n">
        <f aca="false">U70*(1+K70)</f>
        <v>114950.030855294</v>
      </c>
      <c r="AF70" s="6" t="n">
        <f aca="false">V70*(1+L70)</f>
        <v>68367.8635507498</v>
      </c>
      <c r="AG70" s="6" t="n">
        <f aca="false">MIN(M70:V70)</f>
        <v>64950.0308552945</v>
      </c>
      <c r="AH70" s="19" t="n">
        <f aca="false">IF(AG70&gt;=0,1,0)</f>
        <v>1</v>
      </c>
    </row>
    <row r="71" customFormat="false" ht="15" hidden="false" customHeight="false" outlineLevel="0" collapsed="false">
      <c r="A71" s="0" t="n">
        <f aca="false">ROW()-1</f>
        <v>70</v>
      </c>
      <c r="B71" s="6" t="n">
        <f aca="false">Assumptions!$B$35</f>
        <v>441263.996662504</v>
      </c>
      <c r="C71" s="8" t="n">
        <f aca="true">NORMINV(RAND(),Assumptions!$B$14,Assumptions!$B$15)</f>
        <v>0.0792539238889106</v>
      </c>
      <c r="D71" s="8" t="n">
        <f aca="true">NORMINV(RAND(),Assumptions!$B$14,Assumptions!$B$15)</f>
        <v>0.0150285744923407</v>
      </c>
      <c r="E71" s="8" t="n">
        <f aca="true">NORMINV(RAND(),Assumptions!$B$14,Assumptions!$B$15)</f>
        <v>0.0613339150205118</v>
      </c>
      <c r="F71" s="8" t="n">
        <f aca="true">NORMINV(RAND(),Assumptions!$B$14,Assumptions!$B$15)</f>
        <v>0.0102966522262833</v>
      </c>
      <c r="G71" s="8" t="n">
        <f aca="true">NORMINV(RAND(),Assumptions!$B$14,Assumptions!$B$15)</f>
        <v>0.113816062330772</v>
      </c>
      <c r="H71" s="8" t="n">
        <f aca="true">NORMINV(RAND(),Assumptions!$B$14,Assumptions!$B$15)</f>
        <v>-0.02093147006197</v>
      </c>
      <c r="I71" s="8" t="n">
        <f aca="true">NORMINV(RAND(),Assumptions!$B$14,Assumptions!$B$15)</f>
        <v>0.0602190398705303</v>
      </c>
      <c r="J71" s="8" t="n">
        <f aca="true">NORMINV(RAND(),Assumptions!$B$14,Assumptions!$B$15)</f>
        <v>0.0644485787378322</v>
      </c>
      <c r="K71" s="8" t="n">
        <f aca="true">NORMINV(RAND(),Assumptions!$B$14,Assumptions!$B$15)</f>
        <v>0.0454289277893234</v>
      </c>
      <c r="L71" s="8" t="n">
        <f aca="true">NORMINV(RAND(),Assumptions!$B$14,Assumptions!$B$15)</f>
        <v>0.0122084969013017</v>
      </c>
      <c r="M71" s="6" t="n">
        <f aca="false">B71-Assumptions!$B$29</f>
        <v>391263.996662504</v>
      </c>
      <c r="N71" s="6" t="n">
        <f aca="false">W71-Assumptions!$B$29</f>
        <v>372273.203674465</v>
      </c>
      <c r="O71" s="6" t="n">
        <f aca="false">X71-Assumptions!$B$29</f>
        <v>327867.939247389</v>
      </c>
      <c r="P71" s="6" t="n">
        <f aca="false">Y71-Assumptions!$B$29</f>
        <v>297977.363571138</v>
      </c>
      <c r="Q71" s="6" t="n">
        <f aca="false">Z71-Assumptions!$B$29</f>
        <v>251045.532855135</v>
      </c>
      <c r="R71" s="6" t="n">
        <f aca="false">AA71-Assumptions!$B$29</f>
        <v>229618.546870437</v>
      </c>
      <c r="S71" s="6" t="n">
        <f aca="false">AB71-Assumptions!$B$29</f>
        <v>174812.293130946</v>
      </c>
      <c r="T71" s="6" t="n">
        <f aca="false">AC71-Assumptions!$B$29</f>
        <v>135339.321580857</v>
      </c>
      <c r="U71" s="6" t="n">
        <f aca="false">AD71-Assumptions!$B$29</f>
        <v>94061.7485040854</v>
      </c>
      <c r="V71" s="6" t="n">
        <f aca="false">AE71-Assumptions!$B$29</f>
        <v>48334.8728846149</v>
      </c>
      <c r="W71" s="6" t="n">
        <f aca="false">M71*(1+C71)</f>
        <v>422273.203674465</v>
      </c>
      <c r="X71" s="6" t="n">
        <f aca="false">N71*(1+D71)</f>
        <v>377867.939247389</v>
      </c>
      <c r="Y71" s="6" t="n">
        <f aca="false">O71*(1+E71)</f>
        <v>347977.363571138</v>
      </c>
      <c r="Z71" s="6" t="n">
        <f aca="false">P71*(1+F71)</f>
        <v>301045.532855135</v>
      </c>
      <c r="AA71" s="6" t="n">
        <f aca="false">Q71*(1+G71)</f>
        <v>279618.546870437</v>
      </c>
      <c r="AB71" s="6" t="n">
        <f aca="false">R71*(1+H71)</f>
        <v>224812.293130946</v>
      </c>
      <c r="AC71" s="6" t="n">
        <f aca="false">S71*(1+I71)</f>
        <v>185339.321580857</v>
      </c>
      <c r="AD71" s="6" t="n">
        <f aca="false">T71*(1+J71)</f>
        <v>144061.748504085</v>
      </c>
      <c r="AE71" s="6" t="n">
        <f aca="false">U71*(1+K71)</f>
        <v>98334.872884615</v>
      </c>
      <c r="AF71" s="6" t="n">
        <f aca="false">V71*(1+L71)</f>
        <v>48924.9690304516</v>
      </c>
      <c r="AG71" s="6" t="n">
        <f aca="false">MIN(M71:V71)</f>
        <v>48334.8728846149</v>
      </c>
      <c r="AH71" s="19" t="n">
        <f aca="false">IF(AG71&gt;=0,1,0)</f>
        <v>1</v>
      </c>
    </row>
    <row r="72" customFormat="false" ht="15" hidden="false" customHeight="false" outlineLevel="0" collapsed="false">
      <c r="A72" s="0" t="n">
        <f aca="false">ROW()-1</f>
        <v>71</v>
      </c>
      <c r="B72" s="6" t="n">
        <f aca="false">Assumptions!$B$35</f>
        <v>441263.996662504</v>
      </c>
      <c r="C72" s="8" t="n">
        <f aca="true">NORMINV(RAND(),Assumptions!$B$14,Assumptions!$B$15)</f>
        <v>0.094372866360102</v>
      </c>
      <c r="D72" s="8" t="n">
        <f aca="true">NORMINV(RAND(),Assumptions!$B$14,Assumptions!$B$15)</f>
        <v>0.0923385096119619</v>
      </c>
      <c r="E72" s="8" t="n">
        <f aca="true">NORMINV(RAND(),Assumptions!$B$14,Assumptions!$B$15)</f>
        <v>0.0228125372123781</v>
      </c>
      <c r="F72" s="8" t="n">
        <f aca="true">NORMINV(RAND(),Assumptions!$B$14,Assumptions!$B$15)</f>
        <v>0.055194556088383</v>
      </c>
      <c r="G72" s="8" t="n">
        <f aca="true">NORMINV(RAND(),Assumptions!$B$14,Assumptions!$B$15)</f>
        <v>0.0443575163682206</v>
      </c>
      <c r="H72" s="8" t="n">
        <f aca="true">NORMINV(RAND(),Assumptions!$B$14,Assumptions!$B$15)</f>
        <v>0.0497679264938126</v>
      </c>
      <c r="I72" s="8" t="n">
        <f aca="true">NORMINV(RAND(),Assumptions!$B$14,Assumptions!$B$15)</f>
        <v>0.0609455337416974</v>
      </c>
      <c r="J72" s="8" t="n">
        <f aca="true">NORMINV(RAND(),Assumptions!$B$14,Assumptions!$B$15)</f>
        <v>-0.0162225485091616</v>
      </c>
      <c r="K72" s="8" t="n">
        <f aca="true">NORMINV(RAND(),Assumptions!$B$14,Assumptions!$B$15)</f>
        <v>0.0827495206371512</v>
      </c>
      <c r="L72" s="8" t="n">
        <f aca="true">NORMINV(RAND(),Assumptions!$B$14,Assumptions!$B$15)</f>
        <v>0.0038465979955428</v>
      </c>
      <c r="M72" s="6" t="n">
        <f aca="false">B72-Assumptions!$B$29</f>
        <v>391263.996662504</v>
      </c>
      <c r="N72" s="6" t="n">
        <f aca="false">W72-Assumptions!$B$29</f>
        <v>378188.701531053</v>
      </c>
      <c r="O72" s="6" t="n">
        <f aca="false">X72-Assumptions!$B$29</f>
        <v>363110.082582514</v>
      </c>
      <c r="P72" s="6" t="n">
        <f aca="false">Y72-Assumptions!$B$29</f>
        <v>321393.544853617</v>
      </c>
      <c r="Q72" s="6" t="n">
        <f aca="false">Z72-Assumptions!$B$29</f>
        <v>289132.718891485</v>
      </c>
      <c r="R72" s="6" t="n">
        <f aca="false">AA72-Assumptions!$B$29</f>
        <v>251957.928202302</v>
      </c>
      <c r="S72" s="6" t="n">
        <f aca="false">AB72-Assumptions!$B$29</f>
        <v>214497.351852607</v>
      </c>
      <c r="T72" s="6" t="n">
        <f aca="false">AC72-Assumptions!$B$29</f>
        <v>177570.007447445</v>
      </c>
      <c r="U72" s="6" t="n">
        <f aca="false">AD72-Assumptions!$B$29</f>
        <v>124689.369387857</v>
      </c>
      <c r="V72" s="6" t="n">
        <f aca="false">AE72-Assumptions!$B$29</f>
        <v>85007.3549332504</v>
      </c>
      <c r="W72" s="6" t="n">
        <f aca="false">M72*(1+C72)</f>
        <v>428188.701531053</v>
      </c>
      <c r="X72" s="6" t="n">
        <f aca="false">N72*(1+D72)</f>
        <v>413110.082582514</v>
      </c>
      <c r="Y72" s="6" t="n">
        <f aca="false">O72*(1+E72)</f>
        <v>371393.544853617</v>
      </c>
      <c r="Z72" s="6" t="n">
        <f aca="false">P72*(1+F72)</f>
        <v>339132.718891485</v>
      </c>
      <c r="AA72" s="6" t="n">
        <f aca="false">Q72*(1+G72)</f>
        <v>301957.928202302</v>
      </c>
      <c r="AB72" s="6" t="n">
        <f aca="false">R72*(1+H72)</f>
        <v>264497.351852607</v>
      </c>
      <c r="AC72" s="6" t="n">
        <f aca="false">S72*(1+I72)</f>
        <v>227570.007447445</v>
      </c>
      <c r="AD72" s="6" t="n">
        <f aca="false">T72*(1+J72)</f>
        <v>174689.369387857</v>
      </c>
      <c r="AE72" s="6" t="n">
        <f aca="false">U72*(1+K72)</f>
        <v>135007.35493325</v>
      </c>
      <c r="AF72" s="6" t="n">
        <f aca="false">V72*(1+L72)</f>
        <v>85334.344054343</v>
      </c>
      <c r="AG72" s="6" t="n">
        <f aca="false">MIN(M72:V72)</f>
        <v>85007.3549332504</v>
      </c>
      <c r="AH72" s="19" t="n">
        <f aca="false">IF(AG72&gt;=0,1,0)</f>
        <v>1</v>
      </c>
    </row>
    <row r="73" customFormat="false" ht="15" hidden="false" customHeight="false" outlineLevel="0" collapsed="false">
      <c r="A73" s="0" t="n">
        <f aca="false">ROW()-1</f>
        <v>72</v>
      </c>
      <c r="B73" s="6" t="n">
        <f aca="false">Assumptions!$B$35</f>
        <v>441263.996662504</v>
      </c>
      <c r="C73" s="8" t="n">
        <f aca="true">NORMINV(RAND(),Assumptions!$B$14,Assumptions!$B$15)</f>
        <v>0.0657383195231156</v>
      </c>
      <c r="D73" s="8" t="n">
        <f aca="true">NORMINV(RAND(),Assumptions!$B$14,Assumptions!$B$15)</f>
        <v>0.0321961985402468</v>
      </c>
      <c r="E73" s="8" t="n">
        <f aca="true">NORMINV(RAND(),Assumptions!$B$14,Assumptions!$B$15)</f>
        <v>0.0445010819095462</v>
      </c>
      <c r="F73" s="8" t="n">
        <f aca="true">NORMINV(RAND(),Assumptions!$B$14,Assumptions!$B$15)</f>
        <v>0.0705453002473369</v>
      </c>
      <c r="G73" s="8" t="n">
        <f aca="true">NORMINV(RAND(),Assumptions!$B$14,Assumptions!$B$15)</f>
        <v>0.00529232488055083</v>
      </c>
      <c r="H73" s="8" t="n">
        <f aca="true">NORMINV(RAND(),Assumptions!$B$14,Assumptions!$B$15)</f>
        <v>0.0195963877374409</v>
      </c>
      <c r="I73" s="8" t="n">
        <f aca="true">NORMINV(RAND(),Assumptions!$B$14,Assumptions!$B$15)</f>
        <v>0.0455663906730271</v>
      </c>
      <c r="J73" s="8" t="n">
        <f aca="true">NORMINV(RAND(),Assumptions!$B$14,Assumptions!$B$15)</f>
        <v>0.0129216568934754</v>
      </c>
      <c r="K73" s="8" t="n">
        <f aca="true">NORMINV(RAND(),Assumptions!$B$14,Assumptions!$B$15)</f>
        <v>0.0670073328516255</v>
      </c>
      <c r="L73" s="8" t="n">
        <f aca="true">NORMINV(RAND(),Assumptions!$B$14,Assumptions!$B$15)</f>
        <v>0.0946063946248527</v>
      </c>
      <c r="M73" s="6" t="n">
        <f aca="false">B73-Assumptions!$B$29</f>
        <v>391263.996662504</v>
      </c>
      <c r="N73" s="6" t="n">
        <f aca="false">W73-Assumptions!$B$29</f>
        <v>366985.034292994</v>
      </c>
      <c r="O73" s="6" t="n">
        <f aca="false">X73-Assumptions!$B$29</f>
        <v>328800.557318391</v>
      </c>
      <c r="P73" s="6" t="n">
        <f aca="false">Y73-Assumptions!$B$29</f>
        <v>293432.537851521</v>
      </c>
      <c r="Q73" s="6" t="n">
        <f aca="false">Z73-Assumptions!$B$29</f>
        <v>264132.824336595</v>
      </c>
      <c r="R73" s="6" t="n">
        <f aca="false">AA73-Assumptions!$B$29</f>
        <v>215530.701054601</v>
      </c>
      <c r="S73" s="6" t="n">
        <f aca="false">AB73-Assumptions!$B$29</f>
        <v>169754.32424179</v>
      </c>
      <c r="T73" s="6" t="n">
        <f aca="false">AC73-Assumptions!$B$29</f>
        <v>127489.416098627</v>
      </c>
      <c r="U73" s="6" t="n">
        <f aca="false">AD73-Assumptions!$B$29</f>
        <v>79136.7905910028</v>
      </c>
      <c r="V73" s="6" t="n">
        <f aca="false">AE73-Assumptions!$B$29</f>
        <v>34439.5358589435</v>
      </c>
      <c r="W73" s="6" t="n">
        <f aca="false">M73*(1+C73)</f>
        <v>416985.034292994</v>
      </c>
      <c r="X73" s="6" t="n">
        <f aca="false">N73*(1+D73)</f>
        <v>378800.557318391</v>
      </c>
      <c r="Y73" s="6" t="n">
        <f aca="false">O73*(1+E73)</f>
        <v>343432.537851521</v>
      </c>
      <c r="Z73" s="6" t="n">
        <f aca="false">P73*(1+F73)</f>
        <v>314132.824336595</v>
      </c>
      <c r="AA73" s="6" t="n">
        <f aca="false">Q73*(1+G73)</f>
        <v>265530.701054601</v>
      </c>
      <c r="AB73" s="6" t="n">
        <f aca="false">R73*(1+H73)</f>
        <v>219754.32424179</v>
      </c>
      <c r="AC73" s="6" t="n">
        <f aca="false">S73*(1+I73)</f>
        <v>177489.416098627</v>
      </c>
      <c r="AD73" s="6" t="n">
        <f aca="false">T73*(1+J73)</f>
        <v>129136.790591003</v>
      </c>
      <c r="AE73" s="6" t="n">
        <f aca="false">U73*(1+K73)</f>
        <v>84439.5358589435</v>
      </c>
      <c r="AF73" s="6" t="n">
        <f aca="false">V73*(1+L73)</f>
        <v>37697.7361791114</v>
      </c>
      <c r="AG73" s="6" t="n">
        <f aca="false">MIN(M73:V73)</f>
        <v>34439.5358589435</v>
      </c>
      <c r="AH73" s="19" t="n">
        <f aca="false">IF(AG73&gt;=0,1,0)</f>
        <v>1</v>
      </c>
    </row>
    <row r="74" customFormat="false" ht="15" hidden="false" customHeight="false" outlineLevel="0" collapsed="false">
      <c r="A74" s="0" t="n">
        <f aca="false">ROW()-1</f>
        <v>73</v>
      </c>
      <c r="B74" s="6" t="n">
        <f aca="false">Assumptions!$B$35</f>
        <v>441263.996662504</v>
      </c>
      <c r="C74" s="8" t="n">
        <f aca="true">NORMINV(RAND(),Assumptions!$B$14,Assumptions!$B$15)</f>
        <v>0.0392454496958778</v>
      </c>
      <c r="D74" s="8" t="n">
        <f aca="true">NORMINV(RAND(),Assumptions!$B$14,Assumptions!$B$15)</f>
        <v>0.0679734057116723</v>
      </c>
      <c r="E74" s="8" t="n">
        <f aca="true">NORMINV(RAND(),Assumptions!$B$14,Assumptions!$B$15)</f>
        <v>0.0313764008067337</v>
      </c>
      <c r="F74" s="8" t="n">
        <f aca="true">NORMINV(RAND(),Assumptions!$B$14,Assumptions!$B$15)</f>
        <v>0.101168352421607</v>
      </c>
      <c r="G74" s="8" t="n">
        <f aca="true">NORMINV(RAND(),Assumptions!$B$14,Assumptions!$B$15)</f>
        <v>0.00796114231542987</v>
      </c>
      <c r="H74" s="8" t="n">
        <f aca="true">NORMINV(RAND(),Assumptions!$B$14,Assumptions!$B$15)</f>
        <v>0.063008002765967</v>
      </c>
      <c r="I74" s="8" t="n">
        <f aca="true">NORMINV(RAND(),Assumptions!$B$14,Assumptions!$B$15)</f>
        <v>0.0555816273775215</v>
      </c>
      <c r="J74" s="8" t="n">
        <f aca="true">NORMINV(RAND(),Assumptions!$B$14,Assumptions!$B$15)</f>
        <v>0.0225256048576791</v>
      </c>
      <c r="K74" s="8" t="n">
        <f aca="true">NORMINV(RAND(),Assumptions!$B$14,Assumptions!$B$15)</f>
        <v>0.00674911542324329</v>
      </c>
      <c r="L74" s="8" t="n">
        <f aca="true">NORMINV(RAND(),Assumptions!$B$14,Assumptions!$B$15)</f>
        <v>0.0379800323256648</v>
      </c>
      <c r="M74" s="6" t="n">
        <f aca="false">B74-Assumptions!$B$29</f>
        <v>391263.996662504</v>
      </c>
      <c r="N74" s="6" t="n">
        <f aca="false">W74-Assumptions!$B$29</f>
        <v>356619.32816133</v>
      </c>
      <c r="O74" s="6" t="n">
        <f aca="false">X74-Assumptions!$B$29</f>
        <v>330859.958439064</v>
      </c>
      <c r="P74" s="6" t="n">
        <f aca="false">Y74-Assumptions!$B$29</f>
        <v>291241.153105947</v>
      </c>
      <c r="Q74" s="6" t="n">
        <f aca="false">Z74-Assumptions!$B$29</f>
        <v>270705.540723045</v>
      </c>
      <c r="R74" s="6" t="n">
        <f aca="false">AA74-Assumptions!$B$29</f>
        <v>222860.666058316</v>
      </c>
      <c r="S74" s="6" t="n">
        <f aca="false">AB74-Assumptions!$B$29</f>
        <v>186902.671521744</v>
      </c>
      <c r="T74" s="6" t="n">
        <f aca="false">AC74-Assumptions!$B$29</f>
        <v>147291.026166129</v>
      </c>
      <c r="U74" s="6" t="n">
        <f aca="false">AD74-Assumptions!$B$29</f>
        <v>100608.845620629</v>
      </c>
      <c r="V74" s="6" t="n">
        <f aca="false">AE74-Assumptions!$B$29</f>
        <v>51287.8663323222</v>
      </c>
      <c r="W74" s="6" t="n">
        <f aca="false">M74*(1+C74)</f>
        <v>406619.32816133</v>
      </c>
      <c r="X74" s="6" t="n">
        <f aca="false">N74*(1+D74)</f>
        <v>380859.958439064</v>
      </c>
      <c r="Y74" s="6" t="n">
        <f aca="false">O74*(1+E74)</f>
        <v>341241.153105947</v>
      </c>
      <c r="Z74" s="6" t="n">
        <f aca="false">P74*(1+F74)</f>
        <v>320705.540723045</v>
      </c>
      <c r="AA74" s="6" t="n">
        <f aca="false">Q74*(1+G74)</f>
        <v>272860.666058317</v>
      </c>
      <c r="AB74" s="6" t="n">
        <f aca="false">R74*(1+H74)</f>
        <v>236902.671521744</v>
      </c>
      <c r="AC74" s="6" t="n">
        <f aca="false">S74*(1+I74)</f>
        <v>197291.026166129</v>
      </c>
      <c r="AD74" s="6" t="n">
        <f aca="false">T74*(1+J74)</f>
        <v>150608.845620629</v>
      </c>
      <c r="AE74" s="6" t="n">
        <f aca="false">U74*(1+K74)</f>
        <v>101287.866332322</v>
      </c>
      <c r="AF74" s="6" t="n">
        <f aca="false">V74*(1+L74)</f>
        <v>53235.7811535382</v>
      </c>
      <c r="AG74" s="6" t="n">
        <f aca="false">MIN(M74:V74)</f>
        <v>51287.8663323222</v>
      </c>
      <c r="AH74" s="19" t="n">
        <f aca="false">IF(AG74&gt;=0,1,0)</f>
        <v>1</v>
      </c>
    </row>
    <row r="75" customFormat="false" ht="15" hidden="false" customHeight="false" outlineLevel="0" collapsed="false">
      <c r="A75" s="0" t="n">
        <f aca="false">ROW()-1</f>
        <v>74</v>
      </c>
      <c r="B75" s="6" t="n">
        <f aca="false">Assumptions!$B$35</f>
        <v>441263.996662504</v>
      </c>
      <c r="C75" s="8" t="n">
        <f aca="true">NORMINV(RAND(),Assumptions!$B$14,Assumptions!$B$15)</f>
        <v>0.0653893893173349</v>
      </c>
      <c r="D75" s="8" t="n">
        <f aca="true">NORMINV(RAND(),Assumptions!$B$14,Assumptions!$B$15)</f>
        <v>0.0331922850559716</v>
      </c>
      <c r="E75" s="8" t="n">
        <f aca="true">NORMINV(RAND(),Assumptions!$B$14,Assumptions!$B$15)</f>
        <v>0.0511023990459357</v>
      </c>
      <c r="F75" s="8" t="n">
        <f aca="true">NORMINV(RAND(),Assumptions!$B$14,Assumptions!$B$15)</f>
        <v>0.0676146423414115</v>
      </c>
      <c r="G75" s="8" t="n">
        <f aca="true">NORMINV(RAND(),Assumptions!$B$14,Assumptions!$B$15)</f>
        <v>0.0262716851744573</v>
      </c>
      <c r="H75" s="8" t="n">
        <f aca="true">NORMINV(RAND(),Assumptions!$B$14,Assumptions!$B$15)</f>
        <v>0.13018340503478</v>
      </c>
      <c r="I75" s="8" t="n">
        <f aca="true">NORMINV(RAND(),Assumptions!$B$14,Assumptions!$B$15)</f>
        <v>0.0829233034553915</v>
      </c>
      <c r="J75" s="8" t="n">
        <f aca="true">NORMINV(RAND(),Assumptions!$B$14,Assumptions!$B$15)</f>
        <v>0.0729788337465806</v>
      </c>
      <c r="K75" s="8" t="n">
        <f aca="true">NORMINV(RAND(),Assumptions!$B$14,Assumptions!$B$15)</f>
        <v>0.0787540646117232</v>
      </c>
      <c r="L75" s="8" t="n">
        <f aca="true">NORMINV(RAND(),Assumptions!$B$14,Assumptions!$B$15)</f>
        <v>0.0398038499045893</v>
      </c>
      <c r="M75" s="6" t="n">
        <f aca="false">B75-Assumptions!$B$29</f>
        <v>391263.996662504</v>
      </c>
      <c r="N75" s="6" t="n">
        <f aca="false">W75-Assumptions!$B$29</f>
        <v>366848.510466124</v>
      </c>
      <c r="O75" s="6" t="n">
        <f aca="false">X75-Assumptions!$B$29</f>
        <v>329025.050797875</v>
      </c>
      <c r="P75" s="6" t="n">
        <f aca="false">Y75-Assumptions!$B$29</f>
        <v>295839.020239857</v>
      </c>
      <c r="Q75" s="6" t="n">
        <f aca="false">Z75-Assumptions!$B$29</f>
        <v>265842.069784008</v>
      </c>
      <c r="R75" s="6" t="n">
        <f aca="false">AA75-Assumptions!$B$29</f>
        <v>222826.1889475</v>
      </c>
      <c r="S75" s="6" t="n">
        <f aca="false">AB75-Assumptions!$B$29</f>
        <v>201834.460955609</v>
      </c>
      <c r="T75" s="6" t="n">
        <f aca="false">AC75-Assumptions!$B$29</f>
        <v>168571.241209186</v>
      </c>
      <c r="U75" s="6" t="n">
        <f aca="false">AD75-Assumptions!$B$29</f>
        <v>130873.373795846</v>
      </c>
      <c r="V75" s="6" t="n">
        <f aca="false">AE75-Assumptions!$B$29</f>
        <v>91180.1839317182</v>
      </c>
      <c r="W75" s="6" t="n">
        <f aca="false">M75*(1+C75)</f>
        <v>416848.510466124</v>
      </c>
      <c r="X75" s="6" t="n">
        <f aca="false">N75*(1+D75)</f>
        <v>379025.050797875</v>
      </c>
      <c r="Y75" s="6" t="n">
        <f aca="false">O75*(1+E75)</f>
        <v>345839.020239857</v>
      </c>
      <c r="Z75" s="6" t="n">
        <f aca="false">P75*(1+F75)</f>
        <v>315842.069784008</v>
      </c>
      <c r="AA75" s="6" t="n">
        <f aca="false">Q75*(1+G75)</f>
        <v>272826.1889475</v>
      </c>
      <c r="AB75" s="6" t="n">
        <f aca="false">R75*(1+H75)</f>
        <v>251834.460955609</v>
      </c>
      <c r="AC75" s="6" t="n">
        <f aca="false">S75*(1+I75)</f>
        <v>218571.241209186</v>
      </c>
      <c r="AD75" s="6" t="n">
        <f aca="false">T75*(1+J75)</f>
        <v>180873.373795846</v>
      </c>
      <c r="AE75" s="6" t="n">
        <f aca="false">U75*(1+K75)</f>
        <v>141180.183931718</v>
      </c>
      <c r="AF75" s="6" t="n">
        <f aca="false">V75*(1+L75)</f>
        <v>94809.5062872092</v>
      </c>
      <c r="AG75" s="6" t="n">
        <f aca="false">MIN(M75:V75)</f>
        <v>91180.1839317182</v>
      </c>
      <c r="AH75" s="19" t="n">
        <f aca="false">IF(AG75&gt;=0,1,0)</f>
        <v>1</v>
      </c>
    </row>
    <row r="76" customFormat="false" ht="15" hidden="false" customHeight="false" outlineLevel="0" collapsed="false">
      <c r="A76" s="0" t="n">
        <f aca="false">ROW()-1</f>
        <v>75</v>
      </c>
      <c r="B76" s="6" t="n">
        <f aca="false">Assumptions!$B$35</f>
        <v>441263.996662504</v>
      </c>
      <c r="C76" s="8" t="n">
        <f aca="true">NORMINV(RAND(),Assumptions!$B$14,Assumptions!$B$15)</f>
        <v>0.0460034648719318</v>
      </c>
      <c r="D76" s="8" t="n">
        <f aca="true">NORMINV(RAND(),Assumptions!$B$14,Assumptions!$B$15)</f>
        <v>0.0320725969344722</v>
      </c>
      <c r="E76" s="8" t="n">
        <f aca="true">NORMINV(RAND(),Assumptions!$B$14,Assumptions!$B$15)</f>
        <v>0.0839542370370568</v>
      </c>
      <c r="F76" s="8" t="n">
        <f aca="true">NORMINV(RAND(),Assumptions!$B$14,Assumptions!$B$15)</f>
        <v>0.051302542407437</v>
      </c>
      <c r="G76" s="8" t="n">
        <f aca="true">NORMINV(RAND(),Assumptions!$B$14,Assumptions!$B$15)</f>
        <v>0.0529011612950111</v>
      </c>
      <c r="H76" s="8" t="n">
        <f aca="true">NORMINV(RAND(),Assumptions!$B$14,Assumptions!$B$15)</f>
        <v>0.00861401743417153</v>
      </c>
      <c r="I76" s="8" t="n">
        <f aca="true">NORMINV(RAND(),Assumptions!$B$14,Assumptions!$B$15)</f>
        <v>0.0277187761832265</v>
      </c>
      <c r="J76" s="8" t="n">
        <f aca="true">NORMINV(RAND(),Assumptions!$B$14,Assumptions!$B$15)</f>
        <v>0.0978166330797436</v>
      </c>
      <c r="K76" s="8" t="n">
        <f aca="true">NORMINV(RAND(),Assumptions!$B$14,Assumptions!$B$15)</f>
        <v>0.00299547901465617</v>
      </c>
      <c r="L76" s="8" t="n">
        <f aca="true">NORMINV(RAND(),Assumptions!$B$14,Assumptions!$B$15)</f>
        <v>0.0772691444593988</v>
      </c>
      <c r="M76" s="6" t="n">
        <f aca="false">B76-Assumptions!$B$29</f>
        <v>391263.996662504</v>
      </c>
      <c r="N76" s="6" t="n">
        <f aca="false">W76-Assumptions!$B$29</f>
        <v>359263.496188619</v>
      </c>
      <c r="O76" s="6" t="n">
        <f aca="false">X76-Assumptions!$B$29</f>
        <v>320786.009495146</v>
      </c>
      <c r="P76" s="6" t="n">
        <f aca="false">Y76-Assumptions!$B$29</f>
        <v>297717.354174473</v>
      </c>
      <c r="Q76" s="6" t="n">
        <f aca="false">Z76-Assumptions!$B$29</f>
        <v>262991.011362438</v>
      </c>
      <c r="R76" s="6" t="n">
        <f aca="false">AA76-Assumptions!$B$29</f>
        <v>226903.541273661</v>
      </c>
      <c r="S76" s="6" t="n">
        <f aca="false">AB76-Assumptions!$B$29</f>
        <v>178858.092334067</v>
      </c>
      <c r="T76" s="6" t="n">
        <f aca="false">AC76-Assumptions!$B$29</f>
        <v>133815.819764034</v>
      </c>
      <c r="U76" s="6" t="n">
        <f aca="false">AD76-Assumptions!$B$29</f>
        <v>96905.232706158</v>
      </c>
      <c r="V76" s="6" t="n">
        <f aca="false">AE76-Assumptions!$B$29</f>
        <v>47195.5102971396</v>
      </c>
      <c r="W76" s="6" t="n">
        <f aca="false">M76*(1+C76)</f>
        <v>409263.496188619</v>
      </c>
      <c r="X76" s="6" t="n">
        <f aca="false">N76*(1+D76)</f>
        <v>370786.009495146</v>
      </c>
      <c r="Y76" s="6" t="n">
        <f aca="false">O76*(1+E76)</f>
        <v>347717.354174473</v>
      </c>
      <c r="Z76" s="6" t="n">
        <f aca="false">P76*(1+F76)</f>
        <v>312991.011362438</v>
      </c>
      <c r="AA76" s="6" t="n">
        <f aca="false">Q76*(1+G76)</f>
        <v>276903.541273661</v>
      </c>
      <c r="AB76" s="6" t="n">
        <f aca="false">R76*(1+H76)</f>
        <v>228858.092334067</v>
      </c>
      <c r="AC76" s="6" t="n">
        <f aca="false">S76*(1+I76)</f>
        <v>183815.819764034</v>
      </c>
      <c r="AD76" s="6" t="n">
        <f aca="false">T76*(1+J76)</f>
        <v>146905.232706158</v>
      </c>
      <c r="AE76" s="6" t="n">
        <f aca="false">U76*(1+K76)</f>
        <v>97195.5102971396</v>
      </c>
      <c r="AF76" s="6" t="n">
        <f aca="false">V76*(1+L76)</f>
        <v>50842.2670001244</v>
      </c>
      <c r="AG76" s="6" t="n">
        <f aca="false">MIN(M76:V76)</f>
        <v>47195.5102971396</v>
      </c>
      <c r="AH76" s="19" t="n">
        <f aca="false">IF(AG76&gt;=0,1,0)</f>
        <v>1</v>
      </c>
    </row>
    <row r="77" customFormat="false" ht="15" hidden="false" customHeight="false" outlineLevel="0" collapsed="false">
      <c r="A77" s="0" t="n">
        <f aca="false">ROW()-1</f>
        <v>76</v>
      </c>
      <c r="B77" s="6" t="n">
        <f aca="false">Assumptions!$B$35</f>
        <v>441263.996662504</v>
      </c>
      <c r="C77" s="8" t="n">
        <f aca="true">NORMINV(RAND(),Assumptions!$B$14,Assumptions!$B$15)</f>
        <v>0.0719936352823114</v>
      </c>
      <c r="D77" s="8" t="n">
        <f aca="true">NORMINV(RAND(),Assumptions!$B$14,Assumptions!$B$15)</f>
        <v>0.0462673934181562</v>
      </c>
      <c r="E77" s="8" t="n">
        <f aca="true">NORMINV(RAND(),Assumptions!$B$14,Assumptions!$B$15)</f>
        <v>0.0367500005587501</v>
      </c>
      <c r="F77" s="8" t="n">
        <f aca="true">NORMINV(RAND(),Assumptions!$B$14,Assumptions!$B$15)</f>
        <v>0.108438416575867</v>
      </c>
      <c r="G77" s="8" t="n">
        <f aca="true">NORMINV(RAND(),Assumptions!$B$14,Assumptions!$B$15)</f>
        <v>0.0012144270020269</v>
      </c>
      <c r="H77" s="8" t="n">
        <f aca="true">NORMINV(RAND(),Assumptions!$B$14,Assumptions!$B$15)</f>
        <v>0.0402853894694073</v>
      </c>
      <c r="I77" s="8" t="n">
        <f aca="true">NORMINV(RAND(),Assumptions!$B$14,Assumptions!$B$15)</f>
        <v>0.00634141121775134</v>
      </c>
      <c r="J77" s="8" t="n">
        <f aca="true">NORMINV(RAND(),Assumptions!$B$14,Assumptions!$B$15)</f>
        <v>0.0482162489706573</v>
      </c>
      <c r="K77" s="8" t="n">
        <f aca="true">NORMINV(RAND(),Assumptions!$B$14,Assumptions!$B$15)</f>
        <v>0.0448190876123951</v>
      </c>
      <c r="L77" s="8" t="n">
        <f aca="true">NORMINV(RAND(),Assumptions!$B$14,Assumptions!$B$15)</f>
        <v>0.0350327305821241</v>
      </c>
      <c r="M77" s="6" t="n">
        <f aca="false">B77-Assumptions!$B$29</f>
        <v>391263.996662504</v>
      </c>
      <c r="N77" s="6" t="n">
        <f aca="false">W77-Assumptions!$B$29</f>
        <v>369432.514137323</v>
      </c>
      <c r="O77" s="6" t="n">
        <f aca="false">X77-Assumptions!$B$29</f>
        <v>336525.193610373</v>
      </c>
      <c r="P77" s="6" t="n">
        <f aca="false">Y77-Assumptions!$B$29</f>
        <v>298892.494663588</v>
      </c>
      <c r="Q77" s="6" t="n">
        <f aca="false">Z77-Assumptions!$B$29</f>
        <v>281303.923511318</v>
      </c>
      <c r="R77" s="6" t="n">
        <f aca="false">AA77-Assumptions!$B$29</f>
        <v>231645.546591806</v>
      </c>
      <c r="S77" s="6" t="n">
        <f aca="false">AB77-Assumptions!$B$29</f>
        <v>190977.477655111</v>
      </c>
      <c r="T77" s="6" t="n">
        <f aca="false">AC77-Assumptions!$B$29</f>
        <v>142188.544374251</v>
      </c>
      <c r="U77" s="6" t="n">
        <f aca="false">AD77-Assumptions!$B$29</f>
        <v>99044.3426305753</v>
      </c>
      <c r="V77" s="6" t="n">
        <f aca="false">AE77-Assumptions!$B$29</f>
        <v>53483.4197004471</v>
      </c>
      <c r="W77" s="6" t="n">
        <f aca="false">M77*(1+C77)</f>
        <v>419432.514137323</v>
      </c>
      <c r="X77" s="6" t="n">
        <f aca="false">N77*(1+D77)</f>
        <v>386525.193610373</v>
      </c>
      <c r="Y77" s="6" t="n">
        <f aca="false">O77*(1+E77)</f>
        <v>348892.494663588</v>
      </c>
      <c r="Z77" s="6" t="n">
        <f aca="false">P77*(1+F77)</f>
        <v>331303.923511318</v>
      </c>
      <c r="AA77" s="6" t="n">
        <f aca="false">Q77*(1+G77)</f>
        <v>281645.546591806</v>
      </c>
      <c r="AB77" s="6" t="n">
        <f aca="false">R77*(1+H77)</f>
        <v>240977.477655111</v>
      </c>
      <c r="AC77" s="6" t="n">
        <f aca="false">S77*(1+I77)</f>
        <v>192188.544374251</v>
      </c>
      <c r="AD77" s="6" t="n">
        <f aca="false">T77*(1+J77)</f>
        <v>149044.342630575</v>
      </c>
      <c r="AE77" s="6" t="n">
        <f aca="false">U77*(1+K77)</f>
        <v>103483.419700447</v>
      </c>
      <c r="AF77" s="6" t="n">
        <f aca="false">V77*(1+L77)</f>
        <v>55357.0899334235</v>
      </c>
      <c r="AG77" s="6" t="n">
        <f aca="false">MIN(M77:V77)</f>
        <v>53483.4197004471</v>
      </c>
      <c r="AH77" s="19" t="n">
        <f aca="false">IF(AG77&gt;=0,1,0)</f>
        <v>1</v>
      </c>
    </row>
    <row r="78" customFormat="false" ht="15" hidden="false" customHeight="false" outlineLevel="0" collapsed="false">
      <c r="A78" s="0" t="n">
        <f aca="false">ROW()-1</f>
        <v>77</v>
      </c>
      <c r="B78" s="6" t="n">
        <f aca="false">Assumptions!$B$35</f>
        <v>441263.996662504</v>
      </c>
      <c r="C78" s="8" t="n">
        <f aca="true">NORMINV(RAND(),Assumptions!$B$14,Assumptions!$B$15)</f>
        <v>0.00681770956077293</v>
      </c>
      <c r="D78" s="8" t="n">
        <f aca="true">NORMINV(RAND(),Assumptions!$B$14,Assumptions!$B$15)</f>
        <v>0.0541125010801782</v>
      </c>
      <c r="E78" s="8" t="n">
        <f aca="true">NORMINV(RAND(),Assumptions!$B$14,Assumptions!$B$15)</f>
        <v>-0.00386500117942802</v>
      </c>
      <c r="F78" s="8" t="n">
        <f aca="true">NORMINV(RAND(),Assumptions!$B$14,Assumptions!$B$15)</f>
        <v>0.0311474921196574</v>
      </c>
      <c r="G78" s="8" t="n">
        <f aca="true">NORMINV(RAND(),Assumptions!$B$14,Assumptions!$B$15)</f>
        <v>0.0500588351685854</v>
      </c>
      <c r="H78" s="8" t="n">
        <f aca="true">NORMINV(RAND(),Assumptions!$B$14,Assumptions!$B$15)</f>
        <v>0.0599422858608633</v>
      </c>
      <c r="I78" s="8" t="n">
        <f aca="true">NORMINV(RAND(),Assumptions!$B$14,Assumptions!$B$15)</f>
        <v>0.0782582830713723</v>
      </c>
      <c r="J78" s="8" t="n">
        <f aca="true">NORMINV(RAND(),Assumptions!$B$14,Assumptions!$B$15)</f>
        <v>0.0830443010802608</v>
      </c>
      <c r="K78" s="8" t="n">
        <f aca="true">NORMINV(RAND(),Assumptions!$B$14,Assumptions!$B$15)</f>
        <v>0.029437596993857</v>
      </c>
      <c r="L78" s="8" t="n">
        <f aca="true">NORMINV(RAND(),Assumptions!$B$14,Assumptions!$B$15)</f>
        <v>0.0974063895768918</v>
      </c>
      <c r="M78" s="6" t="n">
        <f aca="false">B78-Assumptions!$B$29</f>
        <v>391263.996662504</v>
      </c>
      <c r="N78" s="6" t="n">
        <f aca="false">W78-Assumptions!$B$29</f>
        <v>343931.520953336</v>
      </c>
      <c r="O78" s="6" t="n">
        <f aca="false">X78-Assumptions!$B$29</f>
        <v>312542.51575243</v>
      </c>
      <c r="P78" s="6" t="n">
        <f aca="false">Y78-Assumptions!$B$29</f>
        <v>261334.538560426</v>
      </c>
      <c r="Q78" s="6" t="n">
        <f aca="false">Z78-Assumptions!$B$29</f>
        <v>219474.454040831</v>
      </c>
      <c r="R78" s="6" t="n">
        <f aca="false">AA78-Assumptions!$B$29</f>
        <v>180461.089559376</v>
      </c>
      <c r="S78" s="6" t="n">
        <f aca="false">AB78-Assumptions!$B$29</f>
        <v>141278.339776507</v>
      </c>
      <c r="T78" s="6" t="n">
        <f aca="false">AC78-Assumptions!$B$29</f>
        <v>102334.540082591</v>
      </c>
      <c r="U78" s="6" t="n">
        <f aca="false">AD78-Assumptions!$B$29</f>
        <v>60832.8404401193</v>
      </c>
      <c r="V78" s="6" t="n">
        <f aca="false">AE78-Assumptions!$B$29</f>
        <v>12623.6130809872</v>
      </c>
      <c r="W78" s="6" t="n">
        <f aca="false">M78*(1+C78)</f>
        <v>393931.520953336</v>
      </c>
      <c r="X78" s="6" t="n">
        <f aca="false">N78*(1+D78)</f>
        <v>362542.51575243</v>
      </c>
      <c r="Y78" s="6" t="n">
        <f aca="false">O78*(1+E78)</f>
        <v>311334.538560426</v>
      </c>
      <c r="Z78" s="6" t="n">
        <f aca="false">P78*(1+F78)</f>
        <v>269474.454040831</v>
      </c>
      <c r="AA78" s="6" t="n">
        <f aca="false">Q78*(1+G78)</f>
        <v>230461.089559376</v>
      </c>
      <c r="AB78" s="6" t="n">
        <f aca="false">R78*(1+H78)</f>
        <v>191278.339776507</v>
      </c>
      <c r="AC78" s="6" t="n">
        <f aca="false">S78*(1+I78)</f>
        <v>152334.540082591</v>
      </c>
      <c r="AD78" s="6" t="n">
        <f aca="false">T78*(1+J78)</f>
        <v>110832.840440119</v>
      </c>
      <c r="AE78" s="6" t="n">
        <f aca="false">U78*(1+K78)</f>
        <v>62623.6130809872</v>
      </c>
      <c r="AF78" s="6" t="n">
        <f aca="false">V78*(1+L78)</f>
        <v>13853.2336546218</v>
      </c>
      <c r="AG78" s="6" t="n">
        <f aca="false">MIN(M78:V78)</f>
        <v>12623.6130809872</v>
      </c>
      <c r="AH78" s="19" t="n">
        <f aca="false">IF(AG78&gt;=0,1,0)</f>
        <v>1</v>
      </c>
    </row>
    <row r="79" customFormat="false" ht="15" hidden="false" customHeight="false" outlineLevel="0" collapsed="false">
      <c r="A79" s="0" t="n">
        <f aca="false">ROW()-1</f>
        <v>78</v>
      </c>
      <c r="B79" s="6" t="n">
        <f aca="false">Assumptions!$B$35</f>
        <v>441263.996662504</v>
      </c>
      <c r="C79" s="8" t="n">
        <f aca="true">NORMINV(RAND(),Assumptions!$B$14,Assumptions!$B$15)</f>
        <v>0.0638739809236753</v>
      </c>
      <c r="D79" s="8" t="n">
        <f aca="true">NORMINV(RAND(),Assumptions!$B$14,Assumptions!$B$15)</f>
        <v>0.064551177728217</v>
      </c>
      <c r="E79" s="8" t="n">
        <f aca="true">NORMINV(RAND(),Assumptions!$B$14,Assumptions!$B$15)</f>
        <v>0.0236611332744253</v>
      </c>
      <c r="F79" s="8" t="n">
        <f aca="true">NORMINV(RAND(),Assumptions!$B$14,Assumptions!$B$15)</f>
        <v>0.0399548630938677</v>
      </c>
      <c r="G79" s="8" t="n">
        <f aca="true">NORMINV(RAND(),Assumptions!$B$14,Assumptions!$B$15)</f>
        <v>-0.00328962283517849</v>
      </c>
      <c r="H79" s="8" t="n">
        <f aca="true">NORMINV(RAND(),Assumptions!$B$14,Assumptions!$B$15)</f>
        <v>0.0626891496803939</v>
      </c>
      <c r="I79" s="8" t="n">
        <f aca="true">NORMINV(RAND(),Assumptions!$B$14,Assumptions!$B$15)</f>
        <v>0.0658537110885186</v>
      </c>
      <c r="J79" s="8" t="n">
        <f aca="true">NORMINV(RAND(),Assumptions!$B$14,Assumptions!$B$15)</f>
        <v>0.0130669134182236</v>
      </c>
      <c r="K79" s="8" t="n">
        <f aca="true">NORMINV(RAND(),Assumptions!$B$14,Assumptions!$B$15)</f>
        <v>0.0732029468497136</v>
      </c>
      <c r="L79" s="8" t="n">
        <f aca="true">NORMINV(RAND(),Assumptions!$B$14,Assumptions!$B$15)</f>
        <v>0.00961927013492261</v>
      </c>
      <c r="M79" s="6" t="n">
        <f aca="false">B79-Assumptions!$B$29</f>
        <v>391263.996662504</v>
      </c>
      <c r="N79" s="6" t="n">
        <f aca="false">W79-Assumptions!$B$29</f>
        <v>366255.585721445</v>
      </c>
      <c r="O79" s="6" t="n">
        <f aca="false">X79-Assumptions!$B$29</f>
        <v>339897.815129302</v>
      </c>
      <c r="P79" s="6" t="n">
        <f aca="false">Y79-Assumptions!$B$29</f>
        <v>297940.182632763</v>
      </c>
      <c r="Q79" s="6" t="n">
        <f aca="false">Z79-Assumptions!$B$29</f>
        <v>259844.341840017</v>
      </c>
      <c r="R79" s="6" t="n">
        <f aca="false">AA79-Assumptions!$B$29</f>
        <v>208989.551959508</v>
      </c>
      <c r="S79" s="6" t="n">
        <f aca="false">AB79-Assumptions!$B$29</f>
        <v>172090.929263936</v>
      </c>
      <c r="T79" s="6" t="n">
        <f aca="false">AC79-Assumptions!$B$29</f>
        <v>133423.755600638</v>
      </c>
      <c r="U79" s="6" t="n">
        <f aca="false">AD79-Assumptions!$B$29</f>
        <v>85167.1922630058</v>
      </c>
      <c r="V79" s="6" t="n">
        <f aca="false">AE79-Assumptions!$B$29</f>
        <v>41401.6817115739</v>
      </c>
      <c r="W79" s="6" t="n">
        <f aca="false">M79*(1+C79)</f>
        <v>416255.585721445</v>
      </c>
      <c r="X79" s="6" t="n">
        <f aca="false">N79*(1+D79)</f>
        <v>389897.815129302</v>
      </c>
      <c r="Y79" s="6" t="n">
        <f aca="false">O79*(1+E79)</f>
        <v>347940.182632763</v>
      </c>
      <c r="Z79" s="6" t="n">
        <f aca="false">P79*(1+F79)</f>
        <v>309844.341840017</v>
      </c>
      <c r="AA79" s="6" t="n">
        <f aca="false">Q79*(1+G79)</f>
        <v>258989.551959508</v>
      </c>
      <c r="AB79" s="6" t="n">
        <f aca="false">R79*(1+H79)</f>
        <v>222090.929263936</v>
      </c>
      <c r="AC79" s="6" t="n">
        <f aca="false">S79*(1+I79)</f>
        <v>183423.755600638</v>
      </c>
      <c r="AD79" s="6" t="n">
        <f aca="false">T79*(1+J79)</f>
        <v>135167.192263006</v>
      </c>
      <c r="AE79" s="6" t="n">
        <f aca="false">U79*(1+K79)</f>
        <v>91401.6817115739</v>
      </c>
      <c r="AF79" s="6" t="n">
        <f aca="false">V79*(1+L79)</f>
        <v>41799.9356719977</v>
      </c>
      <c r="AG79" s="6" t="n">
        <f aca="false">MIN(M79:V79)</f>
        <v>41401.6817115739</v>
      </c>
      <c r="AH79" s="19" t="n">
        <f aca="false">IF(AG79&gt;=0,1,0)</f>
        <v>1</v>
      </c>
    </row>
    <row r="80" customFormat="false" ht="15" hidden="false" customHeight="false" outlineLevel="0" collapsed="false">
      <c r="A80" s="0" t="n">
        <f aca="false">ROW()-1</f>
        <v>79</v>
      </c>
      <c r="B80" s="6" t="n">
        <f aca="false">Assumptions!$B$35</f>
        <v>441263.996662504</v>
      </c>
      <c r="C80" s="8" t="n">
        <f aca="true">NORMINV(RAND(),Assumptions!$B$14,Assumptions!$B$15)</f>
        <v>0.0832316482144607</v>
      </c>
      <c r="D80" s="8" t="n">
        <f aca="true">NORMINV(RAND(),Assumptions!$B$14,Assumptions!$B$15)</f>
        <v>0.0801868224224893</v>
      </c>
      <c r="E80" s="8" t="n">
        <f aca="true">NORMINV(RAND(),Assumptions!$B$14,Assumptions!$B$15)</f>
        <v>0.0290732688025899</v>
      </c>
      <c r="F80" s="8" t="n">
        <f aca="true">NORMINV(RAND(),Assumptions!$B$14,Assumptions!$B$15)</f>
        <v>0.0504171961466694</v>
      </c>
      <c r="G80" s="8" t="n">
        <f aca="true">NORMINV(RAND(),Assumptions!$B$14,Assumptions!$B$15)</f>
        <v>0.0527282943022276</v>
      </c>
      <c r="H80" s="8" t="n">
        <f aca="true">NORMINV(RAND(),Assumptions!$B$14,Assumptions!$B$15)</f>
        <v>0.024191559651646</v>
      </c>
      <c r="I80" s="8" t="n">
        <f aca="true">NORMINV(RAND(),Assumptions!$B$14,Assumptions!$B$15)</f>
        <v>0.0293816761019124</v>
      </c>
      <c r="J80" s="8" t="n">
        <f aca="true">NORMINV(RAND(),Assumptions!$B$14,Assumptions!$B$15)</f>
        <v>0.0472321822524671</v>
      </c>
      <c r="K80" s="8" t="n">
        <f aca="true">NORMINV(RAND(),Assumptions!$B$14,Assumptions!$B$15)</f>
        <v>0.0494740525997892</v>
      </c>
      <c r="L80" s="8" t="n">
        <f aca="true">NORMINV(RAND(),Assumptions!$B$14,Assumptions!$B$15)</f>
        <v>0.0379375598758706</v>
      </c>
      <c r="M80" s="6" t="n">
        <f aca="false">B80-Assumptions!$B$29</f>
        <v>391263.996662504</v>
      </c>
      <c r="N80" s="6" t="n">
        <f aca="false">W80-Assumptions!$B$29</f>
        <v>373829.543991701</v>
      </c>
      <c r="O80" s="6" t="n">
        <f aca="false">X80-Assumptions!$B$29</f>
        <v>353805.747252044</v>
      </c>
      <c r="P80" s="6" t="n">
        <f aca="false">Y80-Assumptions!$B$29</f>
        <v>314092.036845804</v>
      </c>
      <c r="Q80" s="6" t="n">
        <f aca="false">Z80-Assumptions!$B$29</f>
        <v>279927.676675565</v>
      </c>
      <c r="R80" s="6" t="n">
        <f aca="false">AA80-Assumptions!$B$29</f>
        <v>244687.785594653</v>
      </c>
      <c r="S80" s="6" t="n">
        <f aca="false">AB80-Assumptions!$B$29</f>
        <v>200607.164755896</v>
      </c>
      <c r="T80" s="6" t="n">
        <f aca="false">AC80-Assumptions!$B$29</f>
        <v>156501.339494476</v>
      </c>
      <c r="U80" s="6" t="n">
        <f aca="false">AD80-Assumptions!$B$29</f>
        <v>113893.239284235</v>
      </c>
      <c r="V80" s="6" t="n">
        <f aca="false">AE80-Assumptions!$B$29</f>
        <v>69527.9993953432</v>
      </c>
      <c r="W80" s="6" t="n">
        <f aca="false">M80*(1+C80)</f>
        <v>423829.543991701</v>
      </c>
      <c r="X80" s="6" t="n">
        <f aca="false">N80*(1+D80)</f>
        <v>403805.747252044</v>
      </c>
      <c r="Y80" s="6" t="n">
        <f aca="false">O80*(1+E80)</f>
        <v>364092.036845804</v>
      </c>
      <c r="Z80" s="6" t="n">
        <f aca="false">P80*(1+F80)</f>
        <v>329927.676675565</v>
      </c>
      <c r="AA80" s="6" t="n">
        <f aca="false">Q80*(1+G80)</f>
        <v>294687.785594653</v>
      </c>
      <c r="AB80" s="6" t="n">
        <f aca="false">R80*(1+H80)</f>
        <v>250607.164755896</v>
      </c>
      <c r="AC80" s="6" t="n">
        <f aca="false">S80*(1+I80)</f>
        <v>206501.339494476</v>
      </c>
      <c r="AD80" s="6" t="n">
        <f aca="false">T80*(1+J80)</f>
        <v>163893.239284235</v>
      </c>
      <c r="AE80" s="6" t="n">
        <f aca="false">U80*(1+K80)</f>
        <v>119527.999395343</v>
      </c>
      <c r="AF80" s="6" t="n">
        <f aca="false">V80*(1+L80)</f>
        <v>72165.7220354535</v>
      </c>
      <c r="AG80" s="6" t="n">
        <f aca="false">MIN(M80:V80)</f>
        <v>69527.9993953432</v>
      </c>
      <c r="AH80" s="19" t="n">
        <f aca="false">IF(AG80&gt;=0,1,0)</f>
        <v>1</v>
      </c>
    </row>
    <row r="81" customFormat="false" ht="15" hidden="false" customHeight="false" outlineLevel="0" collapsed="false">
      <c r="A81" s="0" t="n">
        <f aca="false">ROW()-1</f>
        <v>80</v>
      </c>
      <c r="B81" s="6" t="n">
        <f aca="false">Assumptions!$B$35</f>
        <v>441263.996662504</v>
      </c>
      <c r="C81" s="8" t="n">
        <f aca="true">NORMINV(RAND(),Assumptions!$B$14,Assumptions!$B$15)</f>
        <v>0.0434715516195667</v>
      </c>
      <c r="D81" s="8" t="n">
        <f aca="true">NORMINV(RAND(),Assumptions!$B$14,Assumptions!$B$15)</f>
        <v>0.0725003012080396</v>
      </c>
      <c r="E81" s="8" t="n">
        <f aca="true">NORMINV(RAND(),Assumptions!$B$14,Assumptions!$B$15)</f>
        <v>0.0275624855485324</v>
      </c>
      <c r="F81" s="8" t="n">
        <f aca="true">NORMINV(RAND(),Assumptions!$B$14,Assumptions!$B$15)</f>
        <v>0.0229476437961422</v>
      </c>
      <c r="G81" s="8" t="n">
        <f aca="true">NORMINV(RAND(),Assumptions!$B$14,Assumptions!$B$15)</f>
        <v>0.0684257250945375</v>
      </c>
      <c r="H81" s="8" t="n">
        <f aca="true">NORMINV(RAND(),Assumptions!$B$14,Assumptions!$B$15)</f>
        <v>0.0613840152738647</v>
      </c>
      <c r="I81" s="8" t="n">
        <f aca="true">NORMINV(RAND(),Assumptions!$B$14,Assumptions!$B$15)</f>
        <v>0.0795457237898647</v>
      </c>
      <c r="J81" s="8" t="n">
        <f aca="true">NORMINV(RAND(),Assumptions!$B$14,Assumptions!$B$15)</f>
        <v>0.00921740871856284</v>
      </c>
      <c r="K81" s="8" t="n">
        <f aca="true">NORMINV(RAND(),Assumptions!$B$14,Assumptions!$B$15)</f>
        <v>0.0563916886760018</v>
      </c>
      <c r="L81" s="8" t="n">
        <f aca="true">NORMINV(RAND(),Assumptions!$B$14,Assumptions!$B$15)</f>
        <v>0.0562145844658787</v>
      </c>
      <c r="M81" s="6" t="n">
        <f aca="false">B81-Assumptions!$B$29</f>
        <v>391263.996662504</v>
      </c>
      <c r="N81" s="6" t="n">
        <f aca="false">W81-Assumptions!$B$29</f>
        <v>358272.849690296</v>
      </c>
      <c r="O81" s="6" t="n">
        <f aca="false">X81-Assumptions!$B$29</f>
        <v>334247.739207505</v>
      </c>
      <c r="P81" s="6" t="n">
        <f aca="false">Y81-Assumptions!$B$29</f>
        <v>293460.437689041</v>
      </c>
      <c r="Q81" s="6" t="n">
        <f aca="false">Z81-Assumptions!$B$29</f>
        <v>250194.663281389</v>
      </c>
      <c r="R81" s="6" t="n">
        <f aca="false">AA81-Assumptions!$B$29</f>
        <v>217314.414531202</v>
      </c>
      <c r="S81" s="6" t="n">
        <f aca="false">AB81-Assumptions!$B$29</f>
        <v>180654.045872016</v>
      </c>
      <c r="T81" s="6" t="n">
        <f aca="false">AC81-Assumptions!$B$29</f>
        <v>145024.302706473</v>
      </c>
      <c r="U81" s="6" t="n">
        <f aca="false">AD81-Assumptions!$B$29</f>
        <v>96361.0509786433</v>
      </c>
      <c r="V81" s="6" t="n">
        <f aca="false">AE81-Assumptions!$B$29</f>
        <v>51795.0133659233</v>
      </c>
      <c r="W81" s="6" t="n">
        <f aca="false">M81*(1+C81)</f>
        <v>408272.849690296</v>
      </c>
      <c r="X81" s="6" t="n">
        <f aca="false">N81*(1+D81)</f>
        <v>384247.739207505</v>
      </c>
      <c r="Y81" s="6" t="n">
        <f aca="false">O81*(1+E81)</f>
        <v>343460.437689041</v>
      </c>
      <c r="Z81" s="6" t="n">
        <f aca="false">P81*(1+F81)</f>
        <v>300194.663281389</v>
      </c>
      <c r="AA81" s="6" t="n">
        <f aca="false">Q81*(1+G81)</f>
        <v>267314.414531202</v>
      </c>
      <c r="AB81" s="6" t="n">
        <f aca="false">R81*(1+H81)</f>
        <v>230654.045872016</v>
      </c>
      <c r="AC81" s="6" t="n">
        <f aca="false">S81*(1+I81)</f>
        <v>195024.302706473</v>
      </c>
      <c r="AD81" s="6" t="n">
        <f aca="false">T81*(1+J81)</f>
        <v>146361.050978643</v>
      </c>
      <c r="AE81" s="6" t="n">
        <f aca="false">U81*(1+K81)</f>
        <v>101795.013365923</v>
      </c>
      <c r="AF81" s="6" t="n">
        <f aca="false">V81*(1+L81)</f>
        <v>54706.6485196933</v>
      </c>
      <c r="AG81" s="6" t="n">
        <f aca="false">MIN(M81:V81)</f>
        <v>51795.0133659233</v>
      </c>
      <c r="AH81" s="19" t="n">
        <f aca="false">IF(AG81&gt;=0,1,0)</f>
        <v>1</v>
      </c>
    </row>
    <row r="82" customFormat="false" ht="15" hidden="false" customHeight="false" outlineLevel="0" collapsed="false">
      <c r="A82" s="0" t="n">
        <f aca="false">ROW()-1</f>
        <v>81</v>
      </c>
      <c r="B82" s="6" t="n">
        <f aca="false">Assumptions!$B$35</f>
        <v>441263.996662504</v>
      </c>
      <c r="C82" s="8" t="n">
        <f aca="true">NORMINV(RAND(),Assumptions!$B$14,Assumptions!$B$15)</f>
        <v>0.00530601245105399</v>
      </c>
      <c r="D82" s="8" t="n">
        <f aca="true">NORMINV(RAND(),Assumptions!$B$14,Assumptions!$B$15)</f>
        <v>0.0460377350469344</v>
      </c>
      <c r="E82" s="8" t="n">
        <f aca="true">NORMINV(RAND(),Assumptions!$B$14,Assumptions!$B$15)</f>
        <v>0.0475515029913659</v>
      </c>
      <c r="F82" s="8" t="n">
        <f aca="true">NORMINV(RAND(),Assumptions!$B$14,Assumptions!$B$15)</f>
        <v>0.086992377103086</v>
      </c>
      <c r="G82" s="8" t="n">
        <f aca="true">NORMINV(RAND(),Assumptions!$B$14,Assumptions!$B$15)</f>
        <v>0.0660182704674983</v>
      </c>
      <c r="H82" s="8" t="n">
        <f aca="true">NORMINV(RAND(),Assumptions!$B$14,Assumptions!$B$15)</f>
        <v>-0.0239367811749415</v>
      </c>
      <c r="I82" s="8" t="n">
        <f aca="true">NORMINV(RAND(),Assumptions!$B$14,Assumptions!$B$15)</f>
        <v>0.0252757853412349</v>
      </c>
      <c r="J82" s="8" t="n">
        <f aca="true">NORMINV(RAND(),Assumptions!$B$14,Assumptions!$B$15)</f>
        <v>0.0882621199424173</v>
      </c>
      <c r="K82" s="8" t="n">
        <f aca="true">NORMINV(RAND(),Assumptions!$B$14,Assumptions!$B$15)</f>
        <v>0.0473469843327562</v>
      </c>
      <c r="L82" s="8" t="n">
        <f aca="true">NORMINV(RAND(),Assumptions!$B$14,Assumptions!$B$15)</f>
        <v>0.0435766530930415</v>
      </c>
      <c r="M82" s="6" t="n">
        <f aca="false">B82-Assumptions!$B$29</f>
        <v>391263.996662504</v>
      </c>
      <c r="N82" s="6" t="n">
        <f aca="false">W82-Assumptions!$B$29</f>
        <v>343340.048300444</v>
      </c>
      <c r="O82" s="6" t="n">
        <f aca="false">X82-Assumptions!$B$29</f>
        <v>309146.646475101</v>
      </c>
      <c r="P82" s="6" t="n">
        <f aca="false">Y82-Assumptions!$B$29</f>
        <v>273847.034159733</v>
      </c>
      <c r="Q82" s="6" t="n">
        <f aca="false">Z82-Assumptions!$B$29</f>
        <v>247669.638623918</v>
      </c>
      <c r="R82" s="6" t="n">
        <f aca="false">AA82-Assumptions!$B$29</f>
        <v>214020.35981318</v>
      </c>
      <c r="S82" s="6" t="n">
        <f aca="false">AB82-Assumptions!$B$29</f>
        <v>158897.401293349</v>
      </c>
      <c r="T82" s="6" t="n">
        <f aca="false">AC82-Assumptions!$B$29</f>
        <v>112913.65789972</v>
      </c>
      <c r="U82" s="6" t="n">
        <f aca="false">AD82-Assumptions!$B$29</f>
        <v>72879.6567164022</v>
      </c>
      <c r="V82" s="6" t="n">
        <f aca="false">AE82-Assumptions!$B$29</f>
        <v>26330.2886811303</v>
      </c>
      <c r="W82" s="6" t="n">
        <f aca="false">M82*(1+C82)</f>
        <v>393340.048300444</v>
      </c>
      <c r="X82" s="6" t="n">
        <f aca="false">N82*(1+D82)</f>
        <v>359146.646475101</v>
      </c>
      <c r="Y82" s="6" t="n">
        <f aca="false">O82*(1+E82)</f>
        <v>323847.034159733</v>
      </c>
      <c r="Z82" s="6" t="n">
        <f aca="false">P82*(1+F82)</f>
        <v>297669.638623918</v>
      </c>
      <c r="AA82" s="6" t="n">
        <f aca="false">Q82*(1+G82)</f>
        <v>264020.35981318</v>
      </c>
      <c r="AB82" s="6" t="n">
        <f aca="false">R82*(1+H82)</f>
        <v>208897.401293349</v>
      </c>
      <c r="AC82" s="6" t="n">
        <f aca="false">S82*(1+I82)</f>
        <v>162913.65789972</v>
      </c>
      <c r="AD82" s="6" t="n">
        <f aca="false">T82*(1+J82)</f>
        <v>122879.656716402</v>
      </c>
      <c r="AE82" s="6" t="n">
        <f aca="false">U82*(1+K82)</f>
        <v>76330.2886811303</v>
      </c>
      <c r="AF82" s="6" t="n">
        <f aca="false">V82*(1+L82)</f>
        <v>27477.6745368275</v>
      </c>
      <c r="AG82" s="6" t="n">
        <f aca="false">MIN(M82:V82)</f>
        <v>26330.2886811303</v>
      </c>
      <c r="AH82" s="19" t="n">
        <f aca="false">IF(AG82&gt;=0,1,0)</f>
        <v>1</v>
      </c>
    </row>
    <row r="83" customFormat="false" ht="15" hidden="false" customHeight="false" outlineLevel="0" collapsed="false">
      <c r="A83" s="0" t="n">
        <f aca="false">ROW()-1</f>
        <v>82</v>
      </c>
      <c r="B83" s="6" t="n">
        <f aca="false">Assumptions!$B$35</f>
        <v>441263.996662504</v>
      </c>
      <c r="C83" s="8" t="n">
        <f aca="true">NORMINV(RAND(),Assumptions!$B$14,Assumptions!$B$15)</f>
        <v>0.0871453002760573</v>
      </c>
      <c r="D83" s="8" t="n">
        <f aca="true">NORMINV(RAND(),Assumptions!$B$14,Assumptions!$B$15)</f>
        <v>0.0252535012043013</v>
      </c>
      <c r="E83" s="8" t="n">
        <f aca="true">NORMINV(RAND(),Assumptions!$B$14,Assumptions!$B$15)</f>
        <v>0.0183988231621673</v>
      </c>
      <c r="F83" s="8" t="n">
        <f aca="true">NORMINV(RAND(),Assumptions!$B$14,Assumptions!$B$15)</f>
        <v>-0.04577515845684</v>
      </c>
      <c r="G83" s="8" t="n">
        <f aca="true">NORMINV(RAND(),Assumptions!$B$14,Assumptions!$B$15)</f>
        <v>0.0369099382326201</v>
      </c>
      <c r="H83" s="8" t="n">
        <f aca="true">NORMINV(RAND(),Assumptions!$B$14,Assumptions!$B$15)</f>
        <v>0.0460448558022836</v>
      </c>
      <c r="I83" s="8" t="n">
        <f aca="true">NORMINV(RAND(),Assumptions!$B$14,Assumptions!$B$15)</f>
        <v>0.070290201865593</v>
      </c>
      <c r="J83" s="8" t="n">
        <f aca="true">NORMINV(RAND(),Assumptions!$B$14,Assumptions!$B$15)</f>
        <v>0.076151732695714</v>
      </c>
      <c r="K83" s="8" t="n">
        <f aca="true">NORMINV(RAND(),Assumptions!$B$14,Assumptions!$B$15)</f>
        <v>0.00571614631940002</v>
      </c>
      <c r="L83" s="8" t="n">
        <f aca="true">NORMINV(RAND(),Assumptions!$B$14,Assumptions!$B$15)</f>
        <v>0.0614279123139549</v>
      </c>
      <c r="M83" s="6" t="n">
        <f aca="false">B83-Assumptions!$B$29</f>
        <v>391263.996662504</v>
      </c>
      <c r="N83" s="6" t="n">
        <f aca="false">W83-Assumptions!$B$29</f>
        <v>375360.815138868</v>
      </c>
      <c r="O83" s="6" t="n">
        <f aca="false">X83-Assumptions!$B$29</f>
        <v>334839.989936025</v>
      </c>
      <c r="P83" s="6" t="n">
        <f aca="false">Y83-Assumptions!$B$29</f>
        <v>291000.651698479</v>
      </c>
      <c r="Q83" s="6" t="n">
        <f aca="false">Z83-Assumptions!$B$29</f>
        <v>227680.050755938</v>
      </c>
      <c r="R83" s="6" t="n">
        <f aca="false">AA83-Assumptions!$B$29</f>
        <v>186083.707366139</v>
      </c>
      <c r="S83" s="6" t="n">
        <f aca="false">AB83-Assumptions!$B$29</f>
        <v>144651.904838968</v>
      </c>
      <c r="T83" s="6" t="n">
        <f aca="false">AC83-Assumptions!$B$29</f>
        <v>104819.516430341</v>
      </c>
      <c r="U83" s="6" t="n">
        <f aca="false">AD83-Assumptions!$B$29</f>
        <v>62801.7042268385</v>
      </c>
      <c r="V83" s="6" t="n">
        <f aca="false">AE83-Assumptions!$B$29</f>
        <v>13160.6879573068</v>
      </c>
      <c r="W83" s="6" t="n">
        <f aca="false">M83*(1+C83)</f>
        <v>425360.815138868</v>
      </c>
      <c r="X83" s="6" t="n">
        <f aca="false">N83*(1+D83)</f>
        <v>384839.989936025</v>
      </c>
      <c r="Y83" s="6" t="n">
        <f aca="false">O83*(1+E83)</f>
        <v>341000.651698479</v>
      </c>
      <c r="Z83" s="6" t="n">
        <f aca="false">P83*(1+F83)</f>
        <v>277680.050755938</v>
      </c>
      <c r="AA83" s="6" t="n">
        <f aca="false">Q83*(1+G83)</f>
        <v>236083.707366139</v>
      </c>
      <c r="AB83" s="6" t="n">
        <f aca="false">R83*(1+H83)</f>
        <v>194651.904838968</v>
      </c>
      <c r="AC83" s="6" t="n">
        <f aca="false">S83*(1+I83)</f>
        <v>154819.516430341</v>
      </c>
      <c r="AD83" s="6" t="n">
        <f aca="false">T83*(1+J83)</f>
        <v>112801.704226838</v>
      </c>
      <c r="AE83" s="6" t="n">
        <f aca="false">U83*(1+K83)</f>
        <v>63160.6879573068</v>
      </c>
      <c r="AF83" s="6" t="n">
        <f aca="false">V83*(1+L83)</f>
        <v>13969.1215431395</v>
      </c>
      <c r="AG83" s="6" t="n">
        <f aca="false">MIN(M83:V83)</f>
        <v>13160.6879573068</v>
      </c>
      <c r="AH83" s="19" t="n">
        <f aca="false">IF(AG83&gt;=0,1,0)</f>
        <v>1</v>
      </c>
    </row>
    <row r="84" customFormat="false" ht="15" hidden="false" customHeight="false" outlineLevel="0" collapsed="false">
      <c r="A84" s="0" t="n">
        <f aca="false">ROW()-1</f>
        <v>83</v>
      </c>
      <c r="B84" s="6" t="n">
        <f aca="false">Assumptions!$B$35</f>
        <v>441263.996662504</v>
      </c>
      <c r="C84" s="8" t="n">
        <f aca="true">NORMINV(RAND(),Assumptions!$B$14,Assumptions!$B$15)</f>
        <v>-0.0201763660978128</v>
      </c>
      <c r="D84" s="8" t="n">
        <f aca="true">NORMINV(RAND(),Assumptions!$B$14,Assumptions!$B$15)</f>
        <v>0.0214692372532283</v>
      </c>
      <c r="E84" s="8" t="n">
        <f aca="true">NORMINV(RAND(),Assumptions!$B$14,Assumptions!$B$15)</f>
        <v>0.033894530842817</v>
      </c>
      <c r="F84" s="8" t="n">
        <f aca="true">NORMINV(RAND(),Assumptions!$B$14,Assumptions!$B$15)</f>
        <v>-0.00996530205584363</v>
      </c>
      <c r="G84" s="8" t="n">
        <f aca="true">NORMINV(RAND(),Assumptions!$B$14,Assumptions!$B$15)</f>
        <v>0.0396732438086226</v>
      </c>
      <c r="H84" s="8" t="n">
        <f aca="true">NORMINV(RAND(),Assumptions!$B$14,Assumptions!$B$15)</f>
        <v>0.0359795431883291</v>
      </c>
      <c r="I84" s="8" t="n">
        <f aca="true">NORMINV(RAND(),Assumptions!$B$14,Assumptions!$B$15)</f>
        <v>0.0230633092065115</v>
      </c>
      <c r="J84" s="8" t="n">
        <f aca="true">NORMINV(RAND(),Assumptions!$B$14,Assumptions!$B$15)</f>
        <v>0.0247594291840835</v>
      </c>
      <c r="K84" s="8" t="n">
        <f aca="true">NORMINV(RAND(),Assumptions!$B$14,Assumptions!$B$15)</f>
        <v>0.155695569552052</v>
      </c>
      <c r="L84" s="8" t="n">
        <f aca="true">NORMINV(RAND(),Assumptions!$B$14,Assumptions!$B$15)</f>
        <v>0.0641867733998462</v>
      </c>
      <c r="M84" s="6" t="n">
        <f aca="false">B84-Assumptions!$B$29</f>
        <v>391263.996662504</v>
      </c>
      <c r="N84" s="6" t="n">
        <f aca="false">W84-Assumptions!$B$29</f>
        <v>333369.711024947</v>
      </c>
      <c r="O84" s="6" t="n">
        <f aca="false">X84-Assumptions!$B$29</f>
        <v>290526.904443982</v>
      </c>
      <c r="P84" s="6" t="n">
        <f aca="false">Y84-Assumptions!$B$29</f>
        <v>250374.177567327</v>
      </c>
      <c r="Q84" s="6" t="n">
        <f aca="false">Z84-Assumptions!$B$29</f>
        <v>197879.123260885</v>
      </c>
      <c r="R84" s="6" t="n">
        <f aca="false">AA84-Assumptions!$B$29</f>
        <v>155729.629962651</v>
      </c>
      <c r="S84" s="6" t="n">
        <f aca="false">AB84-Assumptions!$B$29</f>
        <v>111332.710909594</v>
      </c>
      <c r="T84" s="6" t="n">
        <f aca="false">AC84-Assumptions!$B$29</f>
        <v>63900.4116461015</v>
      </c>
      <c r="U84" s="6" t="n">
        <f aca="false">AD84-Assumptions!$B$29</f>
        <v>15482.5493630869</v>
      </c>
      <c r="V84" s="6" t="n">
        <f aca="false">AE84-Assumptions!$B$29</f>
        <v>-32106.8862957095</v>
      </c>
      <c r="W84" s="6" t="n">
        <f aca="false">M84*(1+C84)</f>
        <v>383369.711024947</v>
      </c>
      <c r="X84" s="6" t="n">
        <f aca="false">N84*(1+D84)</f>
        <v>340526.904443982</v>
      </c>
      <c r="Y84" s="6" t="n">
        <f aca="false">O84*(1+E84)</f>
        <v>300374.177567327</v>
      </c>
      <c r="Z84" s="6" t="n">
        <f aca="false">P84*(1+F84)</f>
        <v>247879.123260885</v>
      </c>
      <c r="AA84" s="6" t="n">
        <f aca="false">Q84*(1+G84)</f>
        <v>205729.629962651</v>
      </c>
      <c r="AB84" s="6" t="n">
        <f aca="false">R84*(1+H84)</f>
        <v>161332.710909594</v>
      </c>
      <c r="AC84" s="6" t="n">
        <f aca="false">S84*(1+I84)</f>
        <v>113900.411646102</v>
      </c>
      <c r="AD84" s="6" t="n">
        <f aca="false">T84*(1+J84)</f>
        <v>65482.5493630869</v>
      </c>
      <c r="AE84" s="6" t="n">
        <f aca="false">U84*(1+K84)</f>
        <v>17893.1137042905</v>
      </c>
      <c r="AF84" s="6" t="n">
        <f aca="false">V84*(1+L84)</f>
        <v>-34167.7237309468</v>
      </c>
      <c r="AG84" s="6" t="n">
        <f aca="false">MIN(M84:V84)</f>
        <v>-32106.8862957095</v>
      </c>
      <c r="AH84" s="19" t="n">
        <f aca="false">IF(AG84&gt;=0,1,0)</f>
        <v>0</v>
      </c>
    </row>
    <row r="85" customFormat="false" ht="15" hidden="false" customHeight="false" outlineLevel="0" collapsed="false">
      <c r="A85" s="0" t="n">
        <f aca="false">ROW()-1</f>
        <v>84</v>
      </c>
      <c r="B85" s="6" t="n">
        <f aca="false">Assumptions!$B$35</f>
        <v>441263.996662504</v>
      </c>
      <c r="C85" s="8" t="n">
        <f aca="true">NORMINV(RAND(),Assumptions!$B$14,Assumptions!$B$15)</f>
        <v>0.0399246854309791</v>
      </c>
      <c r="D85" s="8" t="n">
        <f aca="true">NORMINV(RAND(),Assumptions!$B$14,Assumptions!$B$15)</f>
        <v>0.0319139899811085</v>
      </c>
      <c r="E85" s="8" t="n">
        <f aca="true">NORMINV(RAND(),Assumptions!$B$14,Assumptions!$B$15)</f>
        <v>0.0910950323295116</v>
      </c>
      <c r="F85" s="8" t="n">
        <f aca="true">NORMINV(RAND(),Assumptions!$B$14,Assumptions!$B$15)</f>
        <v>0.0823239490819982</v>
      </c>
      <c r="G85" s="8" t="n">
        <f aca="true">NORMINV(RAND(),Assumptions!$B$14,Assumptions!$B$15)</f>
        <v>0.0134177792429663</v>
      </c>
      <c r="H85" s="8" t="n">
        <f aca="true">NORMINV(RAND(),Assumptions!$B$14,Assumptions!$B$15)</f>
        <v>0.00205442336653867</v>
      </c>
      <c r="I85" s="8" t="n">
        <f aca="true">NORMINV(RAND(),Assumptions!$B$14,Assumptions!$B$15)</f>
        <v>0.0656068641062089</v>
      </c>
      <c r="J85" s="8" t="n">
        <f aca="true">NORMINV(RAND(),Assumptions!$B$14,Assumptions!$B$15)</f>
        <v>0.0397309253297171</v>
      </c>
      <c r="K85" s="8" t="n">
        <f aca="true">NORMINV(RAND(),Assumptions!$B$14,Assumptions!$B$15)</f>
        <v>0.0342827386740141</v>
      </c>
      <c r="L85" s="8" t="n">
        <f aca="true">NORMINV(RAND(),Assumptions!$B$14,Assumptions!$B$15)</f>
        <v>0.0502367026869212</v>
      </c>
      <c r="M85" s="6" t="n">
        <f aca="false">B85-Assumptions!$B$29</f>
        <v>391263.996662504</v>
      </c>
      <c r="N85" s="6" t="n">
        <f aca="false">W85-Assumptions!$B$29</f>
        <v>356885.088649722</v>
      </c>
      <c r="O85" s="6" t="n">
        <f aca="false">X85-Assumptions!$B$29</f>
        <v>318274.715793296</v>
      </c>
      <c r="P85" s="6" t="n">
        <f aca="false">Y85-Assumptions!$B$29</f>
        <v>297267.961318152</v>
      </c>
      <c r="Q85" s="6" t="n">
        <f aca="false">Z85-Assumptions!$B$29</f>
        <v>271740.233829417</v>
      </c>
      <c r="R85" s="6" t="n">
        <f aca="false">AA85-Assumptions!$B$29</f>
        <v>225386.384298373</v>
      </c>
      <c r="S85" s="6" t="n">
        <f aca="false">AB85-Assumptions!$B$29</f>
        <v>175849.423352775</v>
      </c>
      <c r="T85" s="6" t="n">
        <f aca="false">AC85-Assumptions!$B$29</f>
        <v>137386.352573835</v>
      </c>
      <c r="U85" s="6" t="n">
        <f aca="false">AD85-Assumptions!$B$29</f>
        <v>92844.8394892687</v>
      </c>
      <c r="V85" s="6" t="n">
        <f aca="false">AE85-Assumptions!$B$29</f>
        <v>46027.81485871</v>
      </c>
      <c r="W85" s="6" t="n">
        <f aca="false">M85*(1+C85)</f>
        <v>406885.088649722</v>
      </c>
      <c r="X85" s="6" t="n">
        <f aca="false">N85*(1+D85)</f>
        <v>368274.715793296</v>
      </c>
      <c r="Y85" s="6" t="n">
        <f aca="false">O85*(1+E85)</f>
        <v>347267.961318152</v>
      </c>
      <c r="Z85" s="6" t="n">
        <f aca="false">P85*(1+F85)</f>
        <v>321740.233829417</v>
      </c>
      <c r="AA85" s="6" t="n">
        <f aca="false">Q85*(1+G85)</f>
        <v>275386.384298373</v>
      </c>
      <c r="AB85" s="6" t="n">
        <f aca="false">R85*(1+H85)</f>
        <v>225849.423352775</v>
      </c>
      <c r="AC85" s="6" t="n">
        <f aca="false">S85*(1+I85)</f>
        <v>187386.352573835</v>
      </c>
      <c r="AD85" s="6" t="n">
        <f aca="false">T85*(1+J85)</f>
        <v>142844.839489269</v>
      </c>
      <c r="AE85" s="6" t="n">
        <f aca="false">U85*(1+K85)</f>
        <v>96027.81485871</v>
      </c>
      <c r="AF85" s="6" t="n">
        <f aca="false">V85*(1+L85)</f>
        <v>48340.1005090957</v>
      </c>
      <c r="AG85" s="6" t="n">
        <f aca="false">MIN(M85:V85)</f>
        <v>46027.81485871</v>
      </c>
      <c r="AH85" s="19" t="n">
        <f aca="false">IF(AG85&gt;=0,1,0)</f>
        <v>1</v>
      </c>
    </row>
    <row r="86" customFormat="false" ht="15" hidden="false" customHeight="false" outlineLevel="0" collapsed="false">
      <c r="A86" s="0" t="n">
        <f aca="false">ROW()-1</f>
        <v>85</v>
      </c>
      <c r="B86" s="6" t="n">
        <f aca="false">Assumptions!$B$35</f>
        <v>441263.996662504</v>
      </c>
      <c r="C86" s="8" t="n">
        <f aca="true">NORMINV(RAND(),Assumptions!$B$14,Assumptions!$B$15)</f>
        <v>0.0272923668632738</v>
      </c>
      <c r="D86" s="8" t="n">
        <f aca="true">NORMINV(RAND(),Assumptions!$B$14,Assumptions!$B$15)</f>
        <v>0.0643619350428363</v>
      </c>
      <c r="E86" s="8" t="n">
        <f aca="true">NORMINV(RAND(),Assumptions!$B$14,Assumptions!$B$15)</f>
        <v>0.0483619459465883</v>
      </c>
      <c r="F86" s="8" t="n">
        <f aca="true">NORMINV(RAND(),Assumptions!$B$14,Assumptions!$B$15)</f>
        <v>0.070948621085477</v>
      </c>
      <c r="G86" s="8" t="n">
        <f aca="true">NORMINV(RAND(),Assumptions!$B$14,Assumptions!$B$15)</f>
        <v>0.0123443833606359</v>
      </c>
      <c r="H86" s="8" t="n">
        <f aca="true">NORMINV(RAND(),Assumptions!$B$14,Assumptions!$B$15)</f>
        <v>0.0775230230177425</v>
      </c>
      <c r="I86" s="8" t="n">
        <f aca="true">NORMINV(RAND(),Assumptions!$B$14,Assumptions!$B$15)</f>
        <v>0.0393274355236378</v>
      </c>
      <c r="J86" s="8" t="n">
        <f aca="true">NORMINV(RAND(),Assumptions!$B$14,Assumptions!$B$15)</f>
        <v>0.0488491676853897</v>
      </c>
      <c r="K86" s="8" t="n">
        <f aca="true">NORMINV(RAND(),Assumptions!$B$14,Assumptions!$B$15)</f>
        <v>0.0466482041251446</v>
      </c>
      <c r="L86" s="8" t="n">
        <f aca="true">NORMINV(RAND(),Assumptions!$B$14,Assumptions!$B$15)</f>
        <v>0.0163404060598556</v>
      </c>
      <c r="M86" s="6" t="n">
        <f aca="false">B86-Assumptions!$B$29</f>
        <v>391263.996662504</v>
      </c>
      <c r="N86" s="6" t="n">
        <f aca="false">W86-Assumptions!$B$29</f>
        <v>351942.517199807</v>
      </c>
      <c r="O86" s="6" t="n">
        <f aca="false">X86-Assumptions!$B$29</f>
        <v>324594.218630634</v>
      </c>
      <c r="P86" s="6" t="n">
        <f aca="false">Y86-Assumptions!$B$29</f>
        <v>290292.226686623</v>
      </c>
      <c r="Q86" s="6" t="n">
        <f aca="false">Z86-Assumptions!$B$29</f>
        <v>260888.059881872</v>
      </c>
      <c r="R86" s="6" t="n">
        <f aca="false">AA86-Assumptions!$B$29</f>
        <v>214108.562107266</v>
      </c>
      <c r="S86" s="6" t="n">
        <f aca="false">AB86-Assumptions!$B$29</f>
        <v>180706.905095804</v>
      </c>
      <c r="T86" s="6" t="n">
        <f aca="false">AC86-Assumptions!$B$29</f>
        <v>137813.644254635</v>
      </c>
      <c r="U86" s="6" t="n">
        <f aca="false">AD86-Assumptions!$B$29</f>
        <v>94545.7260721645</v>
      </c>
      <c r="V86" s="6" t="n">
        <f aca="false">AE86-Assumptions!$B$29</f>
        <v>48956.1144011388</v>
      </c>
      <c r="W86" s="6" t="n">
        <f aca="false">M86*(1+C86)</f>
        <v>401942.517199807</v>
      </c>
      <c r="X86" s="6" t="n">
        <f aca="false">N86*(1+D86)</f>
        <v>374594.218630634</v>
      </c>
      <c r="Y86" s="6" t="n">
        <f aca="false">O86*(1+E86)</f>
        <v>340292.226686623</v>
      </c>
      <c r="Z86" s="6" t="n">
        <f aca="false">P86*(1+F86)</f>
        <v>310888.059881872</v>
      </c>
      <c r="AA86" s="6" t="n">
        <f aca="false">Q86*(1+G86)</f>
        <v>264108.562107266</v>
      </c>
      <c r="AB86" s="6" t="n">
        <f aca="false">R86*(1+H86)</f>
        <v>230706.905095804</v>
      </c>
      <c r="AC86" s="6" t="n">
        <f aca="false">S86*(1+I86)</f>
        <v>187813.644254635</v>
      </c>
      <c r="AD86" s="6" t="n">
        <f aca="false">T86*(1+J86)</f>
        <v>144545.726072164</v>
      </c>
      <c r="AE86" s="6" t="n">
        <f aca="false">U86*(1+K86)</f>
        <v>98956.1144011388</v>
      </c>
      <c r="AF86" s="6" t="n">
        <f aca="false">V86*(1+L86)</f>
        <v>49756.0771895662</v>
      </c>
      <c r="AG86" s="6" t="n">
        <f aca="false">MIN(M86:V86)</f>
        <v>48956.1144011388</v>
      </c>
      <c r="AH86" s="19" t="n">
        <f aca="false">IF(AG86&gt;=0,1,0)</f>
        <v>1</v>
      </c>
    </row>
    <row r="87" customFormat="false" ht="15" hidden="false" customHeight="false" outlineLevel="0" collapsed="false">
      <c r="A87" s="0" t="n">
        <f aca="false">ROW()-1</f>
        <v>86</v>
      </c>
      <c r="B87" s="6" t="n">
        <f aca="false">Assumptions!$B$35</f>
        <v>441263.996662504</v>
      </c>
      <c r="C87" s="8" t="n">
        <f aca="true">NORMINV(RAND(),Assumptions!$B$14,Assumptions!$B$15)</f>
        <v>0.00320831719198499</v>
      </c>
      <c r="D87" s="8" t="n">
        <f aca="true">NORMINV(RAND(),Assumptions!$B$14,Assumptions!$B$15)</f>
        <v>0.0259276705259762</v>
      </c>
      <c r="E87" s="8" t="n">
        <f aca="true">NORMINV(RAND(),Assumptions!$B$14,Assumptions!$B$15)</f>
        <v>0.049487084959454</v>
      </c>
      <c r="F87" s="8" t="n">
        <f aca="true">NORMINV(RAND(),Assumptions!$B$14,Assumptions!$B$15)</f>
        <v>0.0616499235017307</v>
      </c>
      <c r="G87" s="8" t="n">
        <f aca="true">NORMINV(RAND(),Assumptions!$B$14,Assumptions!$B$15)</f>
        <v>0.139580560163443</v>
      </c>
      <c r="H87" s="8" t="n">
        <f aca="true">NORMINV(RAND(),Assumptions!$B$14,Assumptions!$B$15)</f>
        <v>0.0206393239532523</v>
      </c>
      <c r="I87" s="8" t="n">
        <f aca="true">NORMINV(RAND(),Assumptions!$B$14,Assumptions!$B$15)</f>
        <v>0.0345856743100397</v>
      </c>
      <c r="J87" s="8" t="n">
        <f aca="true">NORMINV(RAND(),Assumptions!$B$14,Assumptions!$B$15)</f>
        <v>0.0126650646859519</v>
      </c>
      <c r="K87" s="8" t="n">
        <f aca="true">NORMINV(RAND(),Assumptions!$B$14,Assumptions!$B$15)</f>
        <v>0.0509884588778149</v>
      </c>
      <c r="L87" s="8" t="n">
        <f aca="true">NORMINV(RAND(),Assumptions!$B$14,Assumptions!$B$15)</f>
        <v>0.0623891054549382</v>
      </c>
      <c r="M87" s="6" t="n">
        <f aca="false">B87-Assumptions!$B$29</f>
        <v>391263.996662504</v>
      </c>
      <c r="N87" s="6" t="n">
        <f aca="false">W87-Assumptions!$B$29</f>
        <v>342519.295669601</v>
      </c>
      <c r="O87" s="6" t="n">
        <f aca="false">X87-Assumptions!$B$29</f>
        <v>301400.023116511</v>
      </c>
      <c r="P87" s="6" t="n">
        <f aca="false">Y87-Assumptions!$B$29</f>
        <v>266315.43166726</v>
      </c>
      <c r="Q87" s="6" t="n">
        <f aca="false">Z87-Assumptions!$B$29</f>
        <v>232733.757656877</v>
      </c>
      <c r="R87" s="6" t="n">
        <f aca="false">AA87-Assumptions!$B$29</f>
        <v>215218.865919566</v>
      </c>
      <c r="S87" s="6" t="n">
        <f aca="false">AB87-Assumptions!$B$29</f>
        <v>169660.837814132</v>
      </c>
      <c r="T87" s="6" t="n">
        <f aca="false">AC87-Assumptions!$B$29</f>
        <v>125528.67229394</v>
      </c>
      <c r="U87" s="6" t="n">
        <f aca="false">AD87-Assumptions!$B$29</f>
        <v>77118.5010484844</v>
      </c>
      <c r="V87" s="6" t="n">
        <f aca="false">AE87-Assumptions!$B$29</f>
        <v>31050.6545679137</v>
      </c>
      <c r="W87" s="6" t="n">
        <f aca="false">M87*(1+C87)</f>
        <v>392519.295669601</v>
      </c>
      <c r="X87" s="6" t="n">
        <f aca="false">N87*(1+D87)</f>
        <v>351400.023116511</v>
      </c>
      <c r="Y87" s="6" t="n">
        <f aca="false">O87*(1+E87)</f>
        <v>316315.43166726</v>
      </c>
      <c r="Z87" s="6" t="n">
        <f aca="false">P87*(1+F87)</f>
        <v>282733.757656877</v>
      </c>
      <c r="AA87" s="6" t="n">
        <f aca="false">Q87*(1+G87)</f>
        <v>265218.865919566</v>
      </c>
      <c r="AB87" s="6" t="n">
        <f aca="false">R87*(1+H87)</f>
        <v>219660.837814132</v>
      </c>
      <c r="AC87" s="6" t="n">
        <f aca="false">S87*(1+I87)</f>
        <v>175528.67229394</v>
      </c>
      <c r="AD87" s="6" t="n">
        <f aca="false">T87*(1+J87)</f>
        <v>127118.501048484</v>
      </c>
      <c r="AE87" s="6" t="n">
        <f aca="false">U87*(1+K87)</f>
        <v>81050.6545679137</v>
      </c>
      <c r="AF87" s="6" t="n">
        <f aca="false">V87*(1+L87)</f>
        <v>32987.8771301961</v>
      </c>
      <c r="AG87" s="6" t="n">
        <f aca="false">MIN(M87:V87)</f>
        <v>31050.6545679137</v>
      </c>
      <c r="AH87" s="19" t="n">
        <f aca="false">IF(AG87&gt;=0,1,0)</f>
        <v>1</v>
      </c>
    </row>
    <row r="88" customFormat="false" ht="15" hidden="false" customHeight="false" outlineLevel="0" collapsed="false">
      <c r="A88" s="0" t="n">
        <f aca="false">ROW()-1</f>
        <v>87</v>
      </c>
      <c r="B88" s="6" t="n">
        <f aca="false">Assumptions!$B$35</f>
        <v>441263.996662504</v>
      </c>
      <c r="C88" s="8" t="n">
        <f aca="true">NORMINV(RAND(),Assumptions!$B$14,Assumptions!$B$15)</f>
        <v>0.0952219307080535</v>
      </c>
      <c r="D88" s="8" t="n">
        <f aca="true">NORMINV(RAND(),Assumptions!$B$14,Assumptions!$B$15)</f>
        <v>0.0304982404667487</v>
      </c>
      <c r="E88" s="8" t="n">
        <f aca="true">NORMINV(RAND(),Assumptions!$B$14,Assumptions!$B$15)</f>
        <v>0.0306834364543818</v>
      </c>
      <c r="F88" s="8" t="n">
        <f aca="true">NORMINV(RAND(),Assumptions!$B$14,Assumptions!$B$15)</f>
        <v>0.0254739373880574</v>
      </c>
      <c r="G88" s="8" t="n">
        <f aca="true">NORMINV(RAND(),Assumptions!$B$14,Assumptions!$B$15)</f>
        <v>0.0288330516900077</v>
      </c>
      <c r="H88" s="8" t="n">
        <f aca="true">NORMINV(RAND(),Assumptions!$B$14,Assumptions!$B$15)</f>
        <v>0.0484699475599934</v>
      </c>
      <c r="I88" s="8" t="n">
        <f aca="true">NORMINV(RAND(),Assumptions!$B$14,Assumptions!$B$15)</f>
        <v>0.0600394999027237</v>
      </c>
      <c r="J88" s="8" t="n">
        <f aca="true">NORMINV(RAND(),Assumptions!$B$14,Assumptions!$B$15)</f>
        <v>0.0307145553387929</v>
      </c>
      <c r="K88" s="8" t="n">
        <f aca="true">NORMINV(RAND(),Assumptions!$B$14,Assumptions!$B$15)</f>
        <v>0.0272305906684072</v>
      </c>
      <c r="L88" s="8" t="n">
        <f aca="true">NORMINV(RAND(),Assumptions!$B$14,Assumptions!$B$15)</f>
        <v>0.0948028260829913</v>
      </c>
      <c r="M88" s="6" t="n">
        <f aca="false">B88-Assumptions!$B$29</f>
        <v>391263.996662504</v>
      </c>
      <c r="N88" s="6" t="n">
        <f aca="false">W88-Assumptions!$B$29</f>
        <v>378520.909841257</v>
      </c>
      <c r="O88" s="6" t="n">
        <f aca="false">X88-Assumptions!$B$29</f>
        <v>340065.131571288</v>
      </c>
      <c r="P88" s="6" t="n">
        <f aca="false">Y88-Assumptions!$B$29</f>
        <v>300499.498426206</v>
      </c>
      <c r="Q88" s="6" t="n">
        <f aca="false">Z88-Assumptions!$B$29</f>
        <v>258154.403834258</v>
      </c>
      <c r="R88" s="6" t="n">
        <f aca="false">AA88-Assumptions!$B$29</f>
        <v>215597.783104014</v>
      </c>
      <c r="S88" s="6" t="n">
        <f aca="false">AB88-Assumptions!$B$29</f>
        <v>176047.796345117</v>
      </c>
      <c r="T88" s="6" t="n">
        <f aca="false">AC88-Assumptions!$B$29</f>
        <v>136617.617996654</v>
      </c>
      <c r="U88" s="6" t="n">
        <f aca="false">AD88-Assumptions!$B$29</f>
        <v>90813.7673848665</v>
      </c>
      <c r="V88" s="6" t="n">
        <f aca="false">AE88-Assumptions!$B$29</f>
        <v>43286.6799115798</v>
      </c>
      <c r="W88" s="6" t="n">
        <f aca="false">M88*(1+C88)</f>
        <v>428520.909841257</v>
      </c>
      <c r="X88" s="6" t="n">
        <f aca="false">N88*(1+D88)</f>
        <v>390065.131571288</v>
      </c>
      <c r="Y88" s="6" t="n">
        <f aca="false">O88*(1+E88)</f>
        <v>350499.498426206</v>
      </c>
      <c r="Z88" s="6" t="n">
        <f aca="false">P88*(1+F88)</f>
        <v>308154.403834258</v>
      </c>
      <c r="AA88" s="6" t="n">
        <f aca="false">Q88*(1+G88)</f>
        <v>265597.783104014</v>
      </c>
      <c r="AB88" s="6" t="n">
        <f aca="false">R88*(1+H88)</f>
        <v>226047.796345117</v>
      </c>
      <c r="AC88" s="6" t="n">
        <f aca="false">S88*(1+I88)</f>
        <v>186617.617996654</v>
      </c>
      <c r="AD88" s="6" t="n">
        <f aca="false">T88*(1+J88)</f>
        <v>140813.767384867</v>
      </c>
      <c r="AE88" s="6" t="n">
        <f aca="false">U88*(1+K88)</f>
        <v>93286.6799115798</v>
      </c>
      <c r="AF88" s="6" t="n">
        <f aca="false">V88*(1+L88)</f>
        <v>47390.3794989474</v>
      </c>
      <c r="AG88" s="6" t="n">
        <f aca="false">MIN(M88:V88)</f>
        <v>43286.6799115798</v>
      </c>
      <c r="AH88" s="19" t="n">
        <f aca="false">IF(AG88&gt;=0,1,0)</f>
        <v>1</v>
      </c>
    </row>
    <row r="89" customFormat="false" ht="15" hidden="false" customHeight="false" outlineLevel="0" collapsed="false">
      <c r="A89" s="0" t="n">
        <f aca="false">ROW()-1</f>
        <v>88</v>
      </c>
      <c r="B89" s="6" t="n">
        <f aca="false">Assumptions!$B$35</f>
        <v>441263.996662504</v>
      </c>
      <c r="C89" s="8" t="n">
        <f aca="true">NORMINV(RAND(),Assumptions!$B$14,Assumptions!$B$15)</f>
        <v>0.0612728524760341</v>
      </c>
      <c r="D89" s="8" t="n">
        <f aca="true">NORMINV(RAND(),Assumptions!$B$14,Assumptions!$B$15)</f>
        <v>0.0274096039119706</v>
      </c>
      <c r="E89" s="8" t="n">
        <f aca="true">NORMINV(RAND(),Assumptions!$B$14,Assumptions!$B$15)</f>
        <v>0.0245291779331297</v>
      </c>
      <c r="F89" s="8" t="n">
        <f aca="true">NORMINV(RAND(),Assumptions!$B$14,Assumptions!$B$15)</f>
        <v>0.0706053850796631</v>
      </c>
      <c r="G89" s="8" t="n">
        <f aca="true">NORMINV(RAND(),Assumptions!$B$14,Assumptions!$B$15)</f>
        <v>0.0942309804162172</v>
      </c>
      <c r="H89" s="8" t="n">
        <f aca="true">NORMINV(RAND(),Assumptions!$B$14,Assumptions!$B$15)</f>
        <v>-0.0127039814919281</v>
      </c>
      <c r="I89" s="8" t="n">
        <f aca="true">NORMINV(RAND(),Assumptions!$B$14,Assumptions!$B$15)</f>
        <v>0.0661233222810681</v>
      </c>
      <c r="J89" s="8" t="n">
        <f aca="true">NORMINV(RAND(),Assumptions!$B$14,Assumptions!$B$15)</f>
        <v>-0.00190224773691081</v>
      </c>
      <c r="K89" s="8" t="n">
        <f aca="true">NORMINV(RAND(),Assumptions!$B$14,Assumptions!$B$15)</f>
        <v>0.0557918867044235</v>
      </c>
      <c r="L89" s="8" t="n">
        <f aca="true">NORMINV(RAND(),Assumptions!$B$14,Assumptions!$B$15)</f>
        <v>0.0468267573158312</v>
      </c>
      <c r="M89" s="6" t="n">
        <f aca="false">B89-Assumptions!$B$29</f>
        <v>391263.996662504</v>
      </c>
      <c r="N89" s="6" t="n">
        <f aca="false">W89-Assumptions!$B$29</f>
        <v>365237.857809189</v>
      </c>
      <c r="O89" s="6" t="n">
        <f aca="false">X89-Assumptions!$B$29</f>
        <v>325248.882825395</v>
      </c>
      <c r="P89" s="6" t="n">
        <f aca="false">Y89-Assumptions!$B$29</f>
        <v>283226.970544771</v>
      </c>
      <c r="Q89" s="6" t="n">
        <f aca="false">Z89-Assumptions!$B$29</f>
        <v>253224.319865031</v>
      </c>
      <c r="R89" s="6" t="n">
        <f aca="false">AA89-Assumptions!$B$29</f>
        <v>227085.895791142</v>
      </c>
      <c r="S89" s="6" t="n">
        <f aca="false">AB89-Assumptions!$B$29</f>
        <v>174201.000773934</v>
      </c>
      <c r="T89" s="6" t="n">
        <f aca="false">AC89-Assumptions!$B$29</f>
        <v>135719.749689793</v>
      </c>
      <c r="U89" s="6" t="n">
        <f aca="false">AD89-Assumptions!$B$29</f>
        <v>85461.5771030917</v>
      </c>
      <c r="V89" s="6" t="n">
        <f aca="false">AE89-Assumptions!$B$29</f>
        <v>40229.6397304088</v>
      </c>
      <c r="W89" s="6" t="n">
        <f aca="false">M89*(1+C89)</f>
        <v>415237.857809189</v>
      </c>
      <c r="X89" s="6" t="n">
        <f aca="false">N89*(1+D89)</f>
        <v>375248.882825395</v>
      </c>
      <c r="Y89" s="6" t="n">
        <f aca="false">O89*(1+E89)</f>
        <v>333226.970544771</v>
      </c>
      <c r="Z89" s="6" t="n">
        <f aca="false">P89*(1+F89)</f>
        <v>303224.319865031</v>
      </c>
      <c r="AA89" s="6" t="n">
        <f aca="false">Q89*(1+G89)</f>
        <v>277085.895791142</v>
      </c>
      <c r="AB89" s="6" t="n">
        <f aca="false">R89*(1+H89)</f>
        <v>224201.000773934</v>
      </c>
      <c r="AC89" s="6" t="n">
        <f aca="false">S89*(1+I89)</f>
        <v>185719.749689793</v>
      </c>
      <c r="AD89" s="6" t="n">
        <f aca="false">T89*(1+J89)</f>
        <v>135461.577103092</v>
      </c>
      <c r="AE89" s="6" t="n">
        <f aca="false">U89*(1+K89)</f>
        <v>90229.6397304088</v>
      </c>
      <c r="AF89" s="6" t="n">
        <f aca="false">V89*(1+L89)</f>
        <v>42113.463306968</v>
      </c>
      <c r="AG89" s="6" t="n">
        <f aca="false">MIN(M89:V89)</f>
        <v>40229.6397304088</v>
      </c>
      <c r="AH89" s="19" t="n">
        <f aca="false">IF(AG89&gt;=0,1,0)</f>
        <v>1</v>
      </c>
    </row>
    <row r="90" customFormat="false" ht="15" hidden="false" customHeight="false" outlineLevel="0" collapsed="false">
      <c r="A90" s="0" t="n">
        <f aca="false">ROW()-1</f>
        <v>89</v>
      </c>
      <c r="B90" s="6" t="n">
        <f aca="false">Assumptions!$B$35</f>
        <v>441263.996662504</v>
      </c>
      <c r="C90" s="8" t="n">
        <f aca="true">NORMINV(RAND(),Assumptions!$B$14,Assumptions!$B$15)</f>
        <v>-0.00623621754943796</v>
      </c>
      <c r="D90" s="8" t="n">
        <f aca="true">NORMINV(RAND(),Assumptions!$B$14,Assumptions!$B$15)</f>
        <v>0.0714188259132669</v>
      </c>
      <c r="E90" s="8" t="n">
        <f aca="true">NORMINV(RAND(),Assumptions!$B$14,Assumptions!$B$15)</f>
        <v>0.000373798437658918</v>
      </c>
      <c r="F90" s="8" t="n">
        <f aca="true">NORMINV(RAND(),Assumptions!$B$14,Assumptions!$B$15)</f>
        <v>0.0549115544441212</v>
      </c>
      <c r="G90" s="8" t="n">
        <f aca="true">NORMINV(RAND(),Assumptions!$B$14,Assumptions!$B$15)</f>
        <v>0.0670541106298811</v>
      </c>
      <c r="H90" s="8" t="n">
        <f aca="true">NORMINV(RAND(),Assumptions!$B$14,Assumptions!$B$15)</f>
        <v>0.0791820396185152</v>
      </c>
      <c r="I90" s="8" t="n">
        <f aca="true">NORMINV(RAND(),Assumptions!$B$14,Assumptions!$B$15)</f>
        <v>0.0941992235836217</v>
      </c>
      <c r="J90" s="8" t="n">
        <f aca="true">NORMINV(RAND(),Assumptions!$B$14,Assumptions!$B$15)</f>
        <v>0.0850719636920533</v>
      </c>
      <c r="K90" s="8" t="n">
        <f aca="true">NORMINV(RAND(),Assumptions!$B$14,Assumptions!$B$15)</f>
        <v>0.01554907550197</v>
      </c>
      <c r="L90" s="8" t="n">
        <f aca="true">NORMINV(RAND(),Assumptions!$B$14,Assumptions!$B$15)</f>
        <v>0.0436732796738381</v>
      </c>
      <c r="M90" s="6" t="n">
        <f aca="false">B90-Assumptions!$B$29</f>
        <v>391263.996662504</v>
      </c>
      <c r="N90" s="6" t="n">
        <f aca="false">W90-Assumptions!$B$29</f>
        <v>338823.989260054</v>
      </c>
      <c r="O90" s="6" t="n">
        <f aca="false">X90-Assumptions!$B$29</f>
        <v>313022.400764256</v>
      </c>
      <c r="P90" s="6" t="n">
        <f aca="false">Y90-Assumptions!$B$29</f>
        <v>263139.408048614</v>
      </c>
      <c r="Q90" s="6" t="n">
        <f aca="false">Z90-Assumptions!$B$29</f>
        <v>227588.801980069</v>
      </c>
      <c r="R90" s="6" t="n">
        <f aca="false">AA90-Assumptions!$B$29</f>
        <v>192849.566686163</v>
      </c>
      <c r="S90" s="6" t="n">
        <f aca="false">AB90-Assumptions!$B$29</f>
        <v>158119.78871592</v>
      </c>
      <c r="T90" s="6" t="n">
        <f aca="false">AC90-Assumptions!$B$29</f>
        <v>123014.550046166</v>
      </c>
      <c r="U90" s="6" t="n">
        <f aca="false">AD90-Assumptions!$B$29</f>
        <v>83479.6393812877</v>
      </c>
      <c r="V90" s="6" t="n">
        <f aca="false">AE90-Assumptions!$B$29</f>
        <v>34777.6705969046</v>
      </c>
      <c r="W90" s="6" t="n">
        <f aca="false">M90*(1+C90)</f>
        <v>388823.989260054</v>
      </c>
      <c r="X90" s="6" t="n">
        <f aca="false">N90*(1+D90)</f>
        <v>363022.400764256</v>
      </c>
      <c r="Y90" s="6" t="n">
        <f aca="false">O90*(1+E90)</f>
        <v>313139.408048614</v>
      </c>
      <c r="Z90" s="6" t="n">
        <f aca="false">P90*(1+F90)</f>
        <v>277588.801980069</v>
      </c>
      <c r="AA90" s="6" t="n">
        <f aca="false">Q90*(1+G90)</f>
        <v>242849.566686163</v>
      </c>
      <c r="AB90" s="6" t="n">
        <f aca="false">R90*(1+H90)</f>
        <v>208119.78871592</v>
      </c>
      <c r="AC90" s="6" t="n">
        <f aca="false">S90*(1+I90)</f>
        <v>173014.550046166</v>
      </c>
      <c r="AD90" s="6" t="n">
        <f aca="false">T90*(1+J90)</f>
        <v>133479.639381288</v>
      </c>
      <c r="AE90" s="6" t="n">
        <f aca="false">U90*(1+K90)</f>
        <v>84777.6705969046</v>
      </c>
      <c r="AF90" s="6" t="n">
        <f aca="false">V90*(1+L90)</f>
        <v>36296.5255312879</v>
      </c>
      <c r="AG90" s="6" t="n">
        <f aca="false">MIN(M90:V90)</f>
        <v>34777.6705969046</v>
      </c>
      <c r="AH90" s="19" t="n">
        <f aca="false">IF(AG90&gt;=0,1,0)</f>
        <v>1</v>
      </c>
    </row>
    <row r="91" customFormat="false" ht="15" hidden="false" customHeight="false" outlineLevel="0" collapsed="false">
      <c r="A91" s="0" t="n">
        <f aca="false">ROW()-1</f>
        <v>90</v>
      </c>
      <c r="B91" s="6" t="n">
        <f aca="false">Assumptions!$B$35</f>
        <v>441263.996662504</v>
      </c>
      <c r="C91" s="8" t="n">
        <f aca="true">NORMINV(RAND(),Assumptions!$B$14,Assumptions!$B$15)</f>
        <v>0.098095414905455</v>
      </c>
      <c r="D91" s="8" t="n">
        <f aca="true">NORMINV(RAND(),Assumptions!$B$14,Assumptions!$B$15)</f>
        <v>0.0216245375816106</v>
      </c>
      <c r="E91" s="8" t="n">
        <f aca="true">NORMINV(RAND(),Assumptions!$B$14,Assumptions!$B$15)</f>
        <v>0.0506577173847139</v>
      </c>
      <c r="F91" s="8" t="n">
        <f aca="true">NORMINV(RAND(),Assumptions!$B$14,Assumptions!$B$15)</f>
        <v>0.0218693142296679</v>
      </c>
      <c r="G91" s="8" t="n">
        <f aca="true">NORMINV(RAND(),Assumptions!$B$14,Assumptions!$B$15)</f>
        <v>0.00443192253124849</v>
      </c>
      <c r="H91" s="8" t="n">
        <f aca="true">NORMINV(RAND(),Assumptions!$B$14,Assumptions!$B$15)</f>
        <v>0.0657611441394568</v>
      </c>
      <c r="I91" s="8" t="n">
        <f aca="true">NORMINV(RAND(),Assumptions!$B$14,Assumptions!$B$15)</f>
        <v>0.14408240549841</v>
      </c>
      <c r="J91" s="8" t="n">
        <f aca="true">NORMINV(RAND(),Assumptions!$B$14,Assumptions!$B$15)</f>
        <v>0.0416705809322862</v>
      </c>
      <c r="K91" s="8" t="n">
        <f aca="true">NORMINV(RAND(),Assumptions!$B$14,Assumptions!$B$15)</f>
        <v>0.0161773439497848</v>
      </c>
      <c r="L91" s="8" t="n">
        <f aca="true">NORMINV(RAND(),Assumptions!$B$14,Assumptions!$B$15)</f>
        <v>0.0187495101045646</v>
      </c>
      <c r="M91" s="6" t="n">
        <f aca="false">B91-Assumptions!$B$29</f>
        <v>391263.996662504</v>
      </c>
      <c r="N91" s="6" t="n">
        <f aca="false">W91-Assumptions!$B$29</f>
        <v>379645.200752678</v>
      </c>
      <c r="O91" s="6" t="n">
        <f aca="false">X91-Assumptions!$B$29</f>
        <v>337854.852664033</v>
      </c>
      <c r="P91" s="6" t="n">
        <f aca="false">Y91-Assumptions!$B$29</f>
        <v>304969.808307342</v>
      </c>
      <c r="Q91" s="6" t="n">
        <f aca="false">Z91-Assumptions!$B$29</f>
        <v>261639.288875776</v>
      </c>
      <c r="R91" s="6" t="n">
        <f aca="false">AA91-Assumptions!$B$29</f>
        <v>212798.853935205</v>
      </c>
      <c r="S91" s="6" t="n">
        <f aca="false">AB91-Assumptions!$B$29</f>
        <v>176792.750041549</v>
      </c>
      <c r="T91" s="6" t="n">
        <f aca="false">AC91-Assumptions!$B$29</f>
        <v>152265.474742214</v>
      </c>
      <c r="U91" s="6" t="n">
        <f aca="false">AD91-Assumptions!$B$29</f>
        <v>108610.465530653</v>
      </c>
      <c r="V91" s="6" t="n">
        <f aca="false">AE91-Assumptions!$B$29</f>
        <v>60367.4943880884</v>
      </c>
      <c r="W91" s="6" t="n">
        <f aca="false">M91*(1+C91)</f>
        <v>429645.200752678</v>
      </c>
      <c r="X91" s="6" t="n">
        <f aca="false">N91*(1+D91)</f>
        <v>387854.852664033</v>
      </c>
      <c r="Y91" s="6" t="n">
        <f aca="false">O91*(1+E91)</f>
        <v>354969.808307342</v>
      </c>
      <c r="Z91" s="6" t="n">
        <f aca="false">P91*(1+F91)</f>
        <v>311639.288875776</v>
      </c>
      <c r="AA91" s="6" t="n">
        <f aca="false">Q91*(1+G91)</f>
        <v>262798.853935205</v>
      </c>
      <c r="AB91" s="6" t="n">
        <f aca="false">R91*(1+H91)</f>
        <v>226792.750041549</v>
      </c>
      <c r="AC91" s="6" t="n">
        <f aca="false">S91*(1+I91)</f>
        <v>202265.474742214</v>
      </c>
      <c r="AD91" s="6" t="n">
        <f aca="false">T91*(1+J91)</f>
        <v>158610.465530653</v>
      </c>
      <c r="AE91" s="6" t="n">
        <f aca="false">U91*(1+K91)</f>
        <v>110367.494388088</v>
      </c>
      <c r="AF91" s="6" t="n">
        <f aca="false">V91*(1+L91)</f>
        <v>61499.3553341051</v>
      </c>
      <c r="AG91" s="6" t="n">
        <f aca="false">MIN(M91:V91)</f>
        <v>60367.4943880884</v>
      </c>
      <c r="AH91" s="19" t="n">
        <f aca="false">IF(AG91&gt;=0,1,0)</f>
        <v>1</v>
      </c>
    </row>
    <row r="92" customFormat="false" ht="15" hidden="false" customHeight="false" outlineLevel="0" collapsed="false">
      <c r="A92" s="0" t="n">
        <f aca="false">ROW()-1</f>
        <v>91</v>
      </c>
      <c r="B92" s="6" t="n">
        <f aca="false">Assumptions!$B$35</f>
        <v>441263.996662504</v>
      </c>
      <c r="C92" s="8" t="n">
        <f aca="true">NORMINV(RAND(),Assumptions!$B$14,Assumptions!$B$15)</f>
        <v>0.0522153562863889</v>
      </c>
      <c r="D92" s="8" t="n">
        <f aca="true">NORMINV(RAND(),Assumptions!$B$14,Assumptions!$B$15)</f>
        <v>0.0573554672211782</v>
      </c>
      <c r="E92" s="8" t="n">
        <f aca="true">NORMINV(RAND(),Assumptions!$B$14,Assumptions!$B$15)</f>
        <v>0.0467580768461308</v>
      </c>
      <c r="F92" s="8" t="n">
        <f aca="true">NORMINV(RAND(),Assumptions!$B$14,Assumptions!$B$15)</f>
        <v>0.0594280749222733</v>
      </c>
      <c r="G92" s="8" t="n">
        <f aca="true">NORMINV(RAND(),Assumptions!$B$14,Assumptions!$B$15)</f>
        <v>-0.00321341996190466</v>
      </c>
      <c r="H92" s="8" t="n">
        <f aca="true">NORMINV(RAND(),Assumptions!$B$14,Assumptions!$B$15)</f>
        <v>0.00997072080693911</v>
      </c>
      <c r="I92" s="8" t="n">
        <f aca="true">NORMINV(RAND(),Assumptions!$B$14,Assumptions!$B$15)</f>
        <v>0.0270360131299307</v>
      </c>
      <c r="J92" s="8" t="n">
        <f aca="true">NORMINV(RAND(),Assumptions!$B$14,Assumptions!$B$15)</f>
        <v>0.0761160008169764</v>
      </c>
      <c r="K92" s="8" t="n">
        <f aca="true">NORMINV(RAND(),Assumptions!$B$14,Assumptions!$B$15)</f>
        <v>0.0689237986232438</v>
      </c>
      <c r="L92" s="8" t="n">
        <f aca="true">NORMINV(RAND(),Assumptions!$B$14,Assumptions!$B$15)</f>
        <v>0.103255493138858</v>
      </c>
      <c r="M92" s="6" t="n">
        <f aca="false">B92-Assumptions!$B$29</f>
        <v>391263.996662504</v>
      </c>
      <c r="N92" s="6" t="n">
        <f aca="false">W92-Assumptions!$B$29</f>
        <v>361693.985650273</v>
      </c>
      <c r="O92" s="6" t="n">
        <f aca="false">X92-Assumptions!$B$29</f>
        <v>332439.113188334</v>
      </c>
      <c r="P92" s="6" t="n">
        <f aca="false">Y92-Assumptions!$B$29</f>
        <v>297983.326789454</v>
      </c>
      <c r="Q92" s="6" t="n">
        <f aca="false">Z92-Assumptions!$B$29</f>
        <v>265691.902259486</v>
      </c>
      <c r="R92" s="6" t="n">
        <f aca="false">AA92-Assumptions!$B$29</f>
        <v>214838.122597049</v>
      </c>
      <c r="S92" s="6" t="n">
        <f aca="false">AB92-Assumptions!$B$29</f>
        <v>166980.213536151</v>
      </c>
      <c r="T92" s="6" t="n">
        <f aca="false">AC92-Assumptions!$B$29</f>
        <v>121494.692781753</v>
      </c>
      <c r="U92" s="6" t="n">
        <f aca="false">AD92-Assumptions!$B$29</f>
        <v>80742.3829167871</v>
      </c>
      <c r="V92" s="6" t="n">
        <f aca="false">AE92-Assumptions!$B$29</f>
        <v>36307.4546573046</v>
      </c>
      <c r="W92" s="6" t="n">
        <f aca="false">M92*(1+C92)</f>
        <v>411693.985650273</v>
      </c>
      <c r="X92" s="6" t="n">
        <f aca="false">N92*(1+D92)</f>
        <v>382439.113188334</v>
      </c>
      <c r="Y92" s="6" t="n">
        <f aca="false">O92*(1+E92)</f>
        <v>347983.326789454</v>
      </c>
      <c r="Z92" s="6" t="n">
        <f aca="false">P92*(1+F92)</f>
        <v>315691.902259486</v>
      </c>
      <c r="AA92" s="6" t="n">
        <f aca="false">Q92*(1+G92)</f>
        <v>264838.122597049</v>
      </c>
      <c r="AB92" s="6" t="n">
        <f aca="false">R92*(1+H92)</f>
        <v>216980.213536151</v>
      </c>
      <c r="AC92" s="6" t="n">
        <f aca="false">S92*(1+I92)</f>
        <v>171494.692781753</v>
      </c>
      <c r="AD92" s="6" t="n">
        <f aca="false">T92*(1+J92)</f>
        <v>130742.382916787</v>
      </c>
      <c r="AE92" s="6" t="n">
        <f aca="false">U92*(1+K92)</f>
        <v>86307.4546573046</v>
      </c>
      <c r="AF92" s="6" t="n">
        <f aca="false">V92*(1+L92)</f>
        <v>40056.3987925613</v>
      </c>
      <c r="AG92" s="6" t="n">
        <f aca="false">MIN(M92:V92)</f>
        <v>36307.4546573046</v>
      </c>
      <c r="AH92" s="19" t="n">
        <f aca="false">IF(AG92&gt;=0,1,0)</f>
        <v>1</v>
      </c>
    </row>
    <row r="93" customFormat="false" ht="15" hidden="false" customHeight="false" outlineLevel="0" collapsed="false">
      <c r="A93" s="0" t="n">
        <f aca="false">ROW()-1</f>
        <v>92</v>
      </c>
      <c r="B93" s="6" t="n">
        <f aca="false">Assumptions!$B$35</f>
        <v>441263.996662504</v>
      </c>
      <c r="C93" s="8" t="n">
        <f aca="true">NORMINV(RAND(),Assumptions!$B$14,Assumptions!$B$15)</f>
        <v>0.0571208888591851</v>
      </c>
      <c r="D93" s="8" t="n">
        <f aca="true">NORMINV(RAND(),Assumptions!$B$14,Assumptions!$B$15)</f>
        <v>0.0153566474729171</v>
      </c>
      <c r="E93" s="8" t="n">
        <f aca="true">NORMINV(RAND(),Assumptions!$B$14,Assumptions!$B$15)</f>
        <v>0.0525471404980704</v>
      </c>
      <c r="F93" s="8" t="n">
        <f aca="true">NORMINV(RAND(),Assumptions!$B$14,Assumptions!$B$15)</f>
        <v>0.0427512607124674</v>
      </c>
      <c r="G93" s="8" t="n">
        <f aca="true">NORMINV(RAND(),Assumptions!$B$14,Assumptions!$B$15)</f>
        <v>0.0159154409293511</v>
      </c>
      <c r="H93" s="8" t="n">
        <f aca="true">NORMINV(RAND(),Assumptions!$B$14,Assumptions!$B$15)</f>
        <v>0.0815524424603449</v>
      </c>
      <c r="I93" s="8" t="n">
        <f aca="true">NORMINV(RAND(),Assumptions!$B$14,Assumptions!$B$15)</f>
        <v>0.0659097034792194</v>
      </c>
      <c r="J93" s="8" t="n">
        <f aca="true">NORMINV(RAND(),Assumptions!$B$14,Assumptions!$B$15)</f>
        <v>0.0869979666192994</v>
      </c>
      <c r="K93" s="8" t="n">
        <f aca="true">NORMINV(RAND(),Assumptions!$B$14,Assumptions!$B$15)</f>
        <v>0.0134712111043976</v>
      </c>
      <c r="L93" s="8" t="n">
        <f aca="true">NORMINV(RAND(),Assumptions!$B$14,Assumptions!$B$15)</f>
        <v>0.0599064754192032</v>
      </c>
      <c r="M93" s="6" t="n">
        <f aca="false">B93-Assumptions!$B$29</f>
        <v>391263.996662504</v>
      </c>
      <c r="N93" s="6" t="n">
        <f aca="false">W93-Assumptions!$B$29</f>
        <v>363613.343930463</v>
      </c>
      <c r="O93" s="6" t="n">
        <f aca="false">X93-Assumptions!$B$29</f>
        <v>319197.225869652</v>
      </c>
      <c r="P93" s="6" t="n">
        <f aca="false">Y93-Assumptions!$B$29</f>
        <v>285970.127344019</v>
      </c>
      <c r="Q93" s="6" t="n">
        <f aca="false">Z93-Assumptions!$B$29</f>
        <v>248195.71081408</v>
      </c>
      <c r="R93" s="6" t="n">
        <f aca="false">AA93-Assumptions!$B$29</f>
        <v>202145.85498846</v>
      </c>
      <c r="S93" s="6" t="n">
        <f aca="false">AB93-Assumptions!$B$29</f>
        <v>168631.343196004</v>
      </c>
      <c r="T93" s="6" t="n">
        <f aca="false">AC93-Assumptions!$B$29</f>
        <v>129745.785023355</v>
      </c>
      <c r="U93" s="6" t="n">
        <f aca="false">AD93-Assumptions!$B$29</f>
        <v>91033.4044978112</v>
      </c>
      <c r="V93" s="6" t="n">
        <f aca="false">AE93-Assumptions!$B$29</f>
        <v>42259.7347073532</v>
      </c>
      <c r="W93" s="6" t="n">
        <f aca="false">M93*(1+C93)</f>
        <v>413613.343930463</v>
      </c>
      <c r="X93" s="6" t="n">
        <f aca="false">N93*(1+D93)</f>
        <v>369197.225869652</v>
      </c>
      <c r="Y93" s="6" t="n">
        <f aca="false">O93*(1+E93)</f>
        <v>335970.127344019</v>
      </c>
      <c r="Z93" s="6" t="n">
        <f aca="false">P93*(1+F93)</f>
        <v>298195.71081408</v>
      </c>
      <c r="AA93" s="6" t="n">
        <f aca="false">Q93*(1+G93)</f>
        <v>252145.85498846</v>
      </c>
      <c r="AB93" s="6" t="n">
        <f aca="false">R93*(1+H93)</f>
        <v>218631.343196004</v>
      </c>
      <c r="AC93" s="6" t="n">
        <f aca="false">S93*(1+I93)</f>
        <v>179745.785023355</v>
      </c>
      <c r="AD93" s="6" t="n">
        <f aca="false">T93*(1+J93)</f>
        <v>141033.404497811</v>
      </c>
      <c r="AE93" s="6" t="n">
        <f aca="false">U93*(1+K93)</f>
        <v>92259.7347073532</v>
      </c>
      <c r="AF93" s="6" t="n">
        <f aca="false">V93*(1+L93)</f>
        <v>44791.3664658213</v>
      </c>
      <c r="AG93" s="6" t="n">
        <f aca="false">MIN(M93:V93)</f>
        <v>42259.7347073532</v>
      </c>
      <c r="AH93" s="19" t="n">
        <f aca="false">IF(AG93&gt;=0,1,0)</f>
        <v>1</v>
      </c>
    </row>
    <row r="94" customFormat="false" ht="15" hidden="false" customHeight="false" outlineLevel="0" collapsed="false">
      <c r="A94" s="0" t="n">
        <f aca="false">ROW()-1</f>
        <v>93</v>
      </c>
      <c r="B94" s="6" t="n">
        <f aca="false">Assumptions!$B$35</f>
        <v>441263.996662504</v>
      </c>
      <c r="C94" s="8" t="n">
        <f aca="true">NORMINV(RAND(),Assumptions!$B$14,Assumptions!$B$15)</f>
        <v>0.099020918849178</v>
      </c>
      <c r="D94" s="8" t="n">
        <f aca="true">NORMINV(RAND(),Assumptions!$B$14,Assumptions!$B$15)</f>
        <v>0.0301171406044501</v>
      </c>
      <c r="E94" s="8" t="n">
        <f aca="true">NORMINV(RAND(),Assumptions!$B$14,Assumptions!$B$15)</f>
        <v>0.106770721515343</v>
      </c>
      <c r="F94" s="8" t="n">
        <f aca="true">NORMINV(RAND(),Assumptions!$B$14,Assumptions!$B$15)</f>
        <v>0.0468929625169744</v>
      </c>
      <c r="G94" s="8" t="n">
        <f aca="true">NORMINV(RAND(),Assumptions!$B$14,Assumptions!$B$15)</f>
        <v>0.0502261968041298</v>
      </c>
      <c r="H94" s="8" t="n">
        <f aca="true">NORMINV(RAND(),Assumptions!$B$14,Assumptions!$B$15)</f>
        <v>0.0873192585552551</v>
      </c>
      <c r="I94" s="8" t="n">
        <f aca="true">NORMINV(RAND(),Assumptions!$B$14,Assumptions!$B$15)</f>
        <v>0.102980097315857</v>
      </c>
      <c r="J94" s="8" t="n">
        <f aca="true">NORMINV(RAND(),Assumptions!$B$14,Assumptions!$B$15)</f>
        <v>0.0420002272724314</v>
      </c>
      <c r="K94" s="8" t="n">
        <f aca="true">NORMINV(RAND(),Assumptions!$B$14,Assumptions!$B$15)</f>
        <v>0.0766645865266038</v>
      </c>
      <c r="L94" s="8" t="n">
        <f aca="true">NORMINV(RAND(),Assumptions!$B$14,Assumptions!$B$15)</f>
        <v>0.0842763493050426</v>
      </c>
      <c r="M94" s="6" t="n">
        <f aca="false">B94-Assumptions!$B$29</f>
        <v>391263.996662504</v>
      </c>
      <c r="N94" s="6" t="n">
        <f aca="false">W94-Assumptions!$B$29</f>
        <v>380007.317124626</v>
      </c>
      <c r="O94" s="6" t="n">
        <f aca="false">X94-Assumptions!$B$29</f>
        <v>341452.050925189</v>
      </c>
      <c r="P94" s="6" t="n">
        <f aca="false">Y94-Assumptions!$B$29</f>
        <v>327909.132765364</v>
      </c>
      <c r="Q94" s="6" t="n">
        <f aca="false">Z94-Assumptions!$B$29</f>
        <v>293285.763437104</v>
      </c>
      <c r="R94" s="6" t="n">
        <f aca="false">AA94-Assumptions!$B$29</f>
        <v>258016.391911346</v>
      </c>
      <c r="S94" s="6" t="n">
        <f aca="false">AB94-Assumptions!$B$29</f>
        <v>230546.191948147</v>
      </c>
      <c r="T94" s="6" t="n">
        <f aca="false">AC94-Assumptions!$B$29</f>
        <v>204287.861230767</v>
      </c>
      <c r="U94" s="6" t="n">
        <f aca="false">AD94-Assumptions!$B$29</f>
        <v>162867.997831458</v>
      </c>
      <c r="V94" s="6" t="n">
        <f aca="false">AE94-Assumptions!$B$29</f>
        <v>125354.205543623</v>
      </c>
      <c r="W94" s="6" t="n">
        <f aca="false">M94*(1+C94)</f>
        <v>430007.317124626</v>
      </c>
      <c r="X94" s="6" t="n">
        <f aca="false">N94*(1+D94)</f>
        <v>391452.050925189</v>
      </c>
      <c r="Y94" s="6" t="n">
        <f aca="false">O94*(1+E94)</f>
        <v>377909.132765364</v>
      </c>
      <c r="Z94" s="6" t="n">
        <f aca="false">P94*(1+F94)</f>
        <v>343285.763437104</v>
      </c>
      <c r="AA94" s="6" t="n">
        <f aca="false">Q94*(1+G94)</f>
        <v>308016.391911346</v>
      </c>
      <c r="AB94" s="6" t="n">
        <f aca="false">R94*(1+H94)</f>
        <v>280546.191948147</v>
      </c>
      <c r="AC94" s="6" t="n">
        <f aca="false">S94*(1+I94)</f>
        <v>254287.861230767</v>
      </c>
      <c r="AD94" s="6" t="n">
        <f aca="false">T94*(1+J94)</f>
        <v>212867.997831458</v>
      </c>
      <c r="AE94" s="6" t="n">
        <f aca="false">U94*(1+K94)</f>
        <v>175354.205543623</v>
      </c>
      <c r="AF94" s="6" t="n">
        <f aca="false">V94*(1+L94)</f>
        <v>135918.600356873</v>
      </c>
      <c r="AG94" s="6" t="n">
        <f aca="false">MIN(M94:V94)</f>
        <v>125354.205543623</v>
      </c>
      <c r="AH94" s="19" t="n">
        <f aca="false">IF(AG94&gt;=0,1,0)</f>
        <v>1</v>
      </c>
    </row>
    <row r="95" customFormat="false" ht="15" hidden="false" customHeight="false" outlineLevel="0" collapsed="false">
      <c r="A95" s="0" t="n">
        <f aca="false">ROW()-1</f>
        <v>94</v>
      </c>
      <c r="B95" s="6" t="n">
        <f aca="false">Assumptions!$B$35</f>
        <v>441263.996662504</v>
      </c>
      <c r="C95" s="8" t="n">
        <f aca="true">NORMINV(RAND(),Assumptions!$B$14,Assumptions!$B$15)</f>
        <v>0.082461265977547</v>
      </c>
      <c r="D95" s="8" t="n">
        <f aca="true">NORMINV(RAND(),Assumptions!$B$14,Assumptions!$B$15)</f>
        <v>0.0157647514052579</v>
      </c>
      <c r="E95" s="8" t="n">
        <f aca="true">NORMINV(RAND(),Assumptions!$B$14,Assumptions!$B$15)</f>
        <v>0.0278307020691307</v>
      </c>
      <c r="F95" s="8" t="n">
        <f aca="true">NORMINV(RAND(),Assumptions!$B$14,Assumptions!$B$15)</f>
        <v>0.0274664762234873</v>
      </c>
      <c r="G95" s="8" t="n">
        <f aca="true">NORMINV(RAND(),Assumptions!$B$14,Assumptions!$B$15)</f>
        <v>0.0357943284480411</v>
      </c>
      <c r="H95" s="8" t="n">
        <f aca="true">NORMINV(RAND(),Assumptions!$B$14,Assumptions!$B$15)</f>
        <v>0.0663441077907813</v>
      </c>
      <c r="I95" s="8" t="n">
        <f aca="true">NORMINV(RAND(),Assumptions!$B$14,Assumptions!$B$15)</f>
        <v>0.0524407357819476</v>
      </c>
      <c r="J95" s="8" t="n">
        <f aca="true">NORMINV(RAND(),Assumptions!$B$14,Assumptions!$B$15)</f>
        <v>0.0845210593889202</v>
      </c>
      <c r="K95" s="8" t="n">
        <f aca="true">NORMINV(RAND(),Assumptions!$B$14,Assumptions!$B$15)</f>
        <v>0.0332593335076061</v>
      </c>
      <c r="L95" s="8" t="n">
        <f aca="true">NORMINV(RAND(),Assumptions!$B$14,Assumptions!$B$15)</f>
        <v>0.0114593279732637</v>
      </c>
      <c r="M95" s="6" t="n">
        <f aca="false">B95-Assumptions!$B$29</f>
        <v>391263.996662504</v>
      </c>
      <c r="N95" s="6" t="n">
        <f aca="false">W95-Assumptions!$B$29</f>
        <v>373528.121158728</v>
      </c>
      <c r="O95" s="6" t="n">
        <f aca="false">X95-Assumptions!$B$29</f>
        <v>329416.699131669</v>
      </c>
      <c r="P95" s="6" t="n">
        <f aca="false">Y95-Assumptions!$B$29</f>
        <v>288584.597141799</v>
      </c>
      <c r="Q95" s="6" t="n">
        <f aca="false">Z95-Assumptions!$B$29</f>
        <v>246510.999117658</v>
      </c>
      <c r="R95" s="6" t="n">
        <f aca="false">AA95-Assumptions!$B$29</f>
        <v>205334.694786131</v>
      </c>
      <c r="S95" s="6" t="n">
        <f aca="false">AB95-Assumptions!$B$29</f>
        <v>168957.441910209</v>
      </c>
      <c r="T95" s="6" t="n">
        <f aca="false">AC95-Assumptions!$B$29</f>
        <v>127817.694479816</v>
      </c>
      <c r="U95" s="6" t="n">
        <f aca="false">AD95-Assumptions!$B$29</f>
        <v>88620.9814258993</v>
      </c>
      <c r="V95" s="6" t="n">
        <f aca="false">AE95-Assumptions!$B$29</f>
        <v>41568.4562029147</v>
      </c>
      <c r="W95" s="6" t="n">
        <f aca="false">M95*(1+C95)</f>
        <v>423528.121158728</v>
      </c>
      <c r="X95" s="6" t="n">
        <f aca="false">N95*(1+D95)</f>
        <v>379416.699131669</v>
      </c>
      <c r="Y95" s="6" t="n">
        <f aca="false">O95*(1+E95)</f>
        <v>338584.597141799</v>
      </c>
      <c r="Z95" s="6" t="n">
        <f aca="false">P95*(1+F95)</f>
        <v>296510.999117659</v>
      </c>
      <c r="AA95" s="6" t="n">
        <f aca="false">Q95*(1+G95)</f>
        <v>255334.694786131</v>
      </c>
      <c r="AB95" s="6" t="n">
        <f aca="false">R95*(1+H95)</f>
        <v>218957.441910209</v>
      </c>
      <c r="AC95" s="6" t="n">
        <f aca="false">S95*(1+I95)</f>
        <v>177817.694479816</v>
      </c>
      <c r="AD95" s="6" t="n">
        <f aca="false">T95*(1+J95)</f>
        <v>138620.981425899</v>
      </c>
      <c r="AE95" s="6" t="n">
        <f aca="false">U95*(1+K95)</f>
        <v>91568.4562029147</v>
      </c>
      <c r="AF95" s="6" t="n">
        <f aca="false">V95*(1+L95)</f>
        <v>42044.8027758861</v>
      </c>
      <c r="AG95" s="6" t="n">
        <f aca="false">MIN(M95:V95)</f>
        <v>41568.4562029147</v>
      </c>
      <c r="AH95" s="19" t="n">
        <f aca="false">IF(AG95&gt;=0,1,0)</f>
        <v>1</v>
      </c>
    </row>
    <row r="96" customFormat="false" ht="15" hidden="false" customHeight="false" outlineLevel="0" collapsed="false">
      <c r="A96" s="0" t="n">
        <f aca="false">ROW()-1</f>
        <v>95</v>
      </c>
      <c r="B96" s="6" t="n">
        <f aca="false">Assumptions!$B$35</f>
        <v>441263.996662504</v>
      </c>
      <c r="C96" s="8" t="n">
        <f aca="true">NORMINV(RAND(),Assumptions!$B$14,Assumptions!$B$15)</f>
        <v>0.0152462422683668</v>
      </c>
      <c r="D96" s="8" t="n">
        <f aca="true">NORMINV(RAND(),Assumptions!$B$14,Assumptions!$B$15)</f>
        <v>0.0222216692788027</v>
      </c>
      <c r="E96" s="8" t="n">
        <f aca="true">NORMINV(RAND(),Assumptions!$B$14,Assumptions!$B$15)</f>
        <v>0.0577595631086081</v>
      </c>
      <c r="F96" s="8" t="n">
        <f aca="true">NORMINV(RAND(),Assumptions!$B$14,Assumptions!$B$15)</f>
        <v>0.043041536089866</v>
      </c>
      <c r="G96" s="8" t="n">
        <f aca="true">NORMINV(RAND(),Assumptions!$B$14,Assumptions!$B$15)</f>
        <v>0.0249140085434982</v>
      </c>
      <c r="H96" s="8" t="n">
        <f aca="true">NORMINV(RAND(),Assumptions!$B$14,Assumptions!$B$15)</f>
        <v>0.0757478448704249</v>
      </c>
      <c r="I96" s="8" t="n">
        <f aca="true">NORMINV(RAND(),Assumptions!$B$14,Assumptions!$B$15)</f>
        <v>0.0547226985409214</v>
      </c>
      <c r="J96" s="8" t="n">
        <f aca="true">NORMINV(RAND(),Assumptions!$B$14,Assumptions!$B$15)</f>
        <v>0.0534473304816653</v>
      </c>
      <c r="K96" s="8" t="n">
        <f aca="true">NORMINV(RAND(),Assumptions!$B$14,Assumptions!$B$15)</f>
        <v>0.056958721178095</v>
      </c>
      <c r="L96" s="8" t="n">
        <f aca="true">NORMINV(RAND(),Assumptions!$B$14,Assumptions!$B$15)</f>
        <v>0.0668537908682099</v>
      </c>
      <c r="M96" s="6" t="n">
        <f aca="false">B96-Assumptions!$B$29</f>
        <v>391263.996662504</v>
      </c>
      <c r="N96" s="6" t="n">
        <f aca="false">W96-Assumptions!$B$29</f>
        <v>347229.30234651</v>
      </c>
      <c r="O96" s="6" t="n">
        <f aca="false">X96-Assumptions!$B$29</f>
        <v>304945.317067163</v>
      </c>
      <c r="P96" s="6" t="n">
        <f aca="false">Y96-Assumptions!$B$29</f>
        <v>272558.825352978</v>
      </c>
      <c r="Q96" s="6" t="n">
        <f aca="false">Z96-Assumptions!$B$29</f>
        <v>234290.17587102</v>
      </c>
      <c r="R96" s="6" t="n">
        <f aca="false">AA96-Assumptions!$B$29</f>
        <v>190127.283314328</v>
      </c>
      <c r="S96" s="6" t="n">
        <f aca="false">AB96-Assumptions!$B$29</f>
        <v>154529.015276457</v>
      </c>
      <c r="T96" s="6" t="n">
        <f aca="false">AC96-Assumptions!$B$29</f>
        <v>112985.259995256</v>
      </c>
      <c r="U96" s="6" t="n">
        <f aca="false">AD96-Assumptions!$B$29</f>
        <v>69024.0205257797</v>
      </c>
      <c r="V96" s="6" t="n">
        <f aca="false">AE96-Assumptions!$B$29</f>
        <v>22955.5404654987</v>
      </c>
      <c r="W96" s="6" t="n">
        <f aca="false">M96*(1+C96)</f>
        <v>397229.30234651</v>
      </c>
      <c r="X96" s="6" t="n">
        <f aca="false">N96*(1+D96)</f>
        <v>354945.317067163</v>
      </c>
      <c r="Y96" s="6" t="n">
        <f aca="false">O96*(1+E96)</f>
        <v>322558.825352978</v>
      </c>
      <c r="Z96" s="6" t="n">
        <f aca="false">P96*(1+F96)</f>
        <v>284290.17587102</v>
      </c>
      <c r="AA96" s="6" t="n">
        <f aca="false">Q96*(1+G96)</f>
        <v>240127.283314328</v>
      </c>
      <c r="AB96" s="6" t="n">
        <f aca="false">R96*(1+H96)</f>
        <v>204529.015276457</v>
      </c>
      <c r="AC96" s="6" t="n">
        <f aca="false">S96*(1+I96)</f>
        <v>162985.259995256</v>
      </c>
      <c r="AD96" s="6" t="n">
        <f aca="false">T96*(1+J96)</f>
        <v>119024.02052578</v>
      </c>
      <c r="AE96" s="6" t="n">
        <f aca="false">U96*(1+K96)</f>
        <v>72955.5404654987</v>
      </c>
      <c r="AF96" s="6" t="n">
        <f aca="false">V96*(1+L96)</f>
        <v>24490.2053670459</v>
      </c>
      <c r="AG96" s="6" t="n">
        <f aca="false">MIN(M96:V96)</f>
        <v>22955.5404654987</v>
      </c>
      <c r="AH96" s="19" t="n">
        <f aca="false">IF(AG96&gt;=0,1,0)</f>
        <v>1</v>
      </c>
    </row>
    <row r="97" customFormat="false" ht="15" hidden="false" customHeight="false" outlineLevel="0" collapsed="false">
      <c r="A97" s="0" t="n">
        <f aca="false">ROW()-1</f>
        <v>96</v>
      </c>
      <c r="B97" s="6" t="n">
        <f aca="false">Assumptions!$B$35</f>
        <v>441263.996662504</v>
      </c>
      <c r="C97" s="8" t="n">
        <f aca="true">NORMINV(RAND(),Assumptions!$B$14,Assumptions!$B$15)</f>
        <v>0.0697649492136307</v>
      </c>
      <c r="D97" s="8" t="n">
        <f aca="true">NORMINV(RAND(),Assumptions!$B$14,Assumptions!$B$15)</f>
        <v>0.0300701872361263</v>
      </c>
      <c r="E97" s="8" t="n">
        <f aca="true">NORMINV(RAND(),Assumptions!$B$14,Assumptions!$B$15)</f>
        <v>0.0379111585248696</v>
      </c>
      <c r="F97" s="8" t="n">
        <f aca="true">NORMINV(RAND(),Assumptions!$B$14,Assumptions!$B$15)</f>
        <v>-0.00404727720344535</v>
      </c>
      <c r="G97" s="8" t="n">
        <f aca="true">NORMINV(RAND(),Assumptions!$B$14,Assumptions!$B$15)</f>
        <v>0.0492237884511146</v>
      </c>
      <c r="H97" s="8" t="n">
        <f aca="true">NORMINV(RAND(),Assumptions!$B$14,Assumptions!$B$15)</f>
        <v>0.029332323441621</v>
      </c>
      <c r="I97" s="8" t="n">
        <f aca="true">NORMINV(RAND(),Assumptions!$B$14,Assumptions!$B$15)</f>
        <v>0.0651606844508175</v>
      </c>
      <c r="J97" s="8" t="n">
        <f aca="true">NORMINV(RAND(),Assumptions!$B$14,Assumptions!$B$15)</f>
        <v>0.0739817198152608</v>
      </c>
      <c r="K97" s="8" t="n">
        <f aca="true">NORMINV(RAND(),Assumptions!$B$14,Assumptions!$B$15)</f>
        <v>0.0657525829085998</v>
      </c>
      <c r="L97" s="8" t="n">
        <f aca="true">NORMINV(RAND(),Assumptions!$B$14,Assumptions!$B$15)</f>
        <v>0.0359088640686172</v>
      </c>
      <c r="M97" s="6" t="n">
        <f aca="false">B97-Assumptions!$B$29</f>
        <v>391263.996662504</v>
      </c>
      <c r="N97" s="6" t="n">
        <f aca="false">W97-Assumptions!$B$29</f>
        <v>368560.509518785</v>
      </c>
      <c r="O97" s="6" t="n">
        <f aca="false">X97-Assumptions!$B$29</f>
        <v>329643.193047857</v>
      </c>
      <c r="P97" s="6" t="n">
        <f aca="false">Y97-Assumptions!$B$29</f>
        <v>292140.348396139</v>
      </c>
      <c r="Q97" s="6" t="n">
        <f aca="false">Z97-Assumptions!$B$29</f>
        <v>240957.975423869</v>
      </c>
      <c r="R97" s="6" t="n">
        <f aca="false">AA97-Assumptions!$B$29</f>
        <v>202818.839831742</v>
      </c>
      <c r="S97" s="6" t="n">
        <f aca="false">AB97-Assumptions!$B$29</f>
        <v>158767.987641741</v>
      </c>
      <c r="T97" s="6" t="n">
        <f aca="false">AC97-Assumptions!$B$29</f>
        <v>119113.418385356</v>
      </c>
      <c r="U97" s="6" t="n">
        <f aca="false">AD97-Assumptions!$B$29</f>
        <v>77925.6339305791</v>
      </c>
      <c r="V97" s="6" t="n">
        <f aca="false">AE97-Assumptions!$B$29</f>
        <v>33049.4456363047</v>
      </c>
      <c r="W97" s="6" t="n">
        <f aca="false">M97*(1+C97)</f>
        <v>418560.509518785</v>
      </c>
      <c r="X97" s="6" t="n">
        <f aca="false">N97*(1+D97)</f>
        <v>379643.193047857</v>
      </c>
      <c r="Y97" s="6" t="n">
        <f aca="false">O97*(1+E97)</f>
        <v>342140.348396139</v>
      </c>
      <c r="Z97" s="6" t="n">
        <f aca="false">P97*(1+F97)</f>
        <v>290957.975423869</v>
      </c>
      <c r="AA97" s="6" t="n">
        <f aca="false">Q97*(1+G97)</f>
        <v>252818.839831742</v>
      </c>
      <c r="AB97" s="6" t="n">
        <f aca="false">R97*(1+H97)</f>
        <v>208767.987641741</v>
      </c>
      <c r="AC97" s="6" t="n">
        <f aca="false">S97*(1+I97)</f>
        <v>169113.418385356</v>
      </c>
      <c r="AD97" s="6" t="n">
        <f aca="false">T97*(1+J97)</f>
        <v>127925.633930579</v>
      </c>
      <c r="AE97" s="6" t="n">
        <f aca="false">U97*(1+K97)</f>
        <v>83049.4456363047</v>
      </c>
      <c r="AF97" s="6" t="n">
        <f aca="false">V97*(1+L97)</f>
        <v>34236.2136872019</v>
      </c>
      <c r="AG97" s="6" t="n">
        <f aca="false">MIN(M97:V97)</f>
        <v>33049.4456363047</v>
      </c>
      <c r="AH97" s="19" t="n">
        <f aca="false">IF(AG97&gt;=0,1,0)</f>
        <v>1</v>
      </c>
    </row>
    <row r="98" customFormat="false" ht="15" hidden="false" customHeight="false" outlineLevel="0" collapsed="false">
      <c r="A98" s="0" t="n">
        <f aca="false">ROW()-1</f>
        <v>97</v>
      </c>
      <c r="B98" s="6" t="n">
        <f aca="false">Assumptions!$B$35</f>
        <v>441263.996662504</v>
      </c>
      <c r="C98" s="8" t="n">
        <f aca="true">NORMINV(RAND(),Assumptions!$B$14,Assumptions!$B$15)</f>
        <v>0.0455716956758557</v>
      </c>
      <c r="D98" s="8" t="n">
        <f aca="true">NORMINV(RAND(),Assumptions!$B$14,Assumptions!$B$15)</f>
        <v>0.0721228534733268</v>
      </c>
      <c r="E98" s="8" t="n">
        <f aca="true">NORMINV(RAND(),Assumptions!$B$14,Assumptions!$B$15)</f>
        <v>-0.00578062003991174</v>
      </c>
      <c r="F98" s="8" t="n">
        <f aca="true">NORMINV(RAND(),Assumptions!$B$14,Assumptions!$B$15)</f>
        <v>0.0595002484887902</v>
      </c>
      <c r="G98" s="8" t="n">
        <f aca="true">NORMINV(RAND(),Assumptions!$B$14,Assumptions!$B$15)</f>
        <v>0.0368144407901487</v>
      </c>
      <c r="H98" s="8" t="n">
        <f aca="true">NORMINV(RAND(),Assumptions!$B$14,Assumptions!$B$15)</f>
        <v>0.0631380979926731</v>
      </c>
      <c r="I98" s="8" t="n">
        <f aca="true">NORMINV(RAND(),Assumptions!$B$14,Assumptions!$B$15)</f>
        <v>0.078327393041735</v>
      </c>
      <c r="J98" s="8" t="n">
        <f aca="true">NORMINV(RAND(),Assumptions!$B$14,Assumptions!$B$15)</f>
        <v>0.0613968398792683</v>
      </c>
      <c r="K98" s="8" t="n">
        <f aca="true">NORMINV(RAND(),Assumptions!$B$14,Assumptions!$B$15)</f>
        <v>0.0702845938225464</v>
      </c>
      <c r="L98" s="8" t="n">
        <f aca="true">NORMINV(RAND(),Assumptions!$B$14,Assumptions!$B$15)</f>
        <v>0.0323412597640364</v>
      </c>
      <c r="M98" s="6" t="n">
        <f aca="false">B98-Assumptions!$B$29</f>
        <v>391263.996662504</v>
      </c>
      <c r="N98" s="6" t="n">
        <f aca="false">W98-Assumptions!$B$29</f>
        <v>359094.560447326</v>
      </c>
      <c r="O98" s="6" t="n">
        <f aca="false">X98-Assumptions!$B$29</f>
        <v>334993.484813537</v>
      </c>
      <c r="P98" s="6" t="n">
        <f aca="false">Y98-Assumptions!$B$29</f>
        <v>283057.014761984</v>
      </c>
      <c r="Q98" s="6" t="n">
        <f aca="false">Z98-Assumptions!$B$29</f>
        <v>249898.977476818</v>
      </c>
      <c r="R98" s="6" t="n">
        <f aca="false">AA98-Assumptions!$B$29</f>
        <v>209098.868586657</v>
      </c>
      <c r="S98" s="6" t="n">
        <f aca="false">AB98-Assumptions!$B$29</f>
        <v>172300.973441638</v>
      </c>
      <c r="T98" s="6" t="n">
        <f aca="false">AC98-Assumptions!$B$29</f>
        <v>135796.859509875</v>
      </c>
      <c r="U98" s="6" t="n">
        <f aca="false">AD98-Assumptions!$B$29</f>
        <v>94134.35754931</v>
      </c>
      <c r="V98" s="6" t="n">
        <f aca="false">AE98-Assumptions!$B$29</f>
        <v>50750.5526344096</v>
      </c>
      <c r="W98" s="6" t="n">
        <f aca="false">M98*(1+C98)</f>
        <v>409094.560447326</v>
      </c>
      <c r="X98" s="6" t="n">
        <f aca="false">N98*(1+D98)</f>
        <v>384993.484813537</v>
      </c>
      <c r="Y98" s="6" t="n">
        <f aca="false">O98*(1+E98)</f>
        <v>333057.014761984</v>
      </c>
      <c r="Z98" s="6" t="n">
        <f aca="false">P98*(1+F98)</f>
        <v>299898.977476818</v>
      </c>
      <c r="AA98" s="6" t="n">
        <f aca="false">Q98*(1+G98)</f>
        <v>259098.868586657</v>
      </c>
      <c r="AB98" s="6" t="n">
        <f aca="false">R98*(1+H98)</f>
        <v>222300.973441638</v>
      </c>
      <c r="AC98" s="6" t="n">
        <f aca="false">S98*(1+I98)</f>
        <v>185796.859509875</v>
      </c>
      <c r="AD98" s="6" t="n">
        <f aca="false">T98*(1+J98)</f>
        <v>144134.35754931</v>
      </c>
      <c r="AE98" s="6" t="n">
        <f aca="false">U98*(1+K98)</f>
        <v>100750.55263441</v>
      </c>
      <c r="AF98" s="6" t="n">
        <f aca="false">V98*(1+L98)</f>
        <v>52391.8894403275</v>
      </c>
      <c r="AG98" s="6" t="n">
        <f aca="false">MIN(M98:V98)</f>
        <v>50750.5526344096</v>
      </c>
      <c r="AH98" s="19" t="n">
        <f aca="false">IF(AG98&gt;=0,1,0)</f>
        <v>1</v>
      </c>
    </row>
    <row r="99" customFormat="false" ht="15" hidden="false" customHeight="false" outlineLevel="0" collapsed="false">
      <c r="A99" s="0" t="n">
        <f aca="false">ROW()-1</f>
        <v>98</v>
      </c>
      <c r="B99" s="6" t="n">
        <f aca="false">Assumptions!$B$35</f>
        <v>441263.996662504</v>
      </c>
      <c r="C99" s="8" t="n">
        <f aca="true">NORMINV(RAND(),Assumptions!$B$14,Assumptions!$B$15)</f>
        <v>0.0362986827147546</v>
      </c>
      <c r="D99" s="8" t="n">
        <f aca="true">NORMINV(RAND(),Assumptions!$B$14,Assumptions!$B$15)</f>
        <v>0.0489086875897688</v>
      </c>
      <c r="E99" s="8" t="n">
        <f aca="true">NORMINV(RAND(),Assumptions!$B$14,Assumptions!$B$15)</f>
        <v>0.0598749645613963</v>
      </c>
      <c r="F99" s="8" t="n">
        <f aca="true">NORMINV(RAND(),Assumptions!$B$14,Assumptions!$B$15)</f>
        <v>0.0613227824079938</v>
      </c>
      <c r="G99" s="8" t="n">
        <f aca="true">NORMINV(RAND(),Assumptions!$B$14,Assumptions!$B$15)</f>
        <v>0.050818928447457</v>
      </c>
      <c r="H99" s="8" t="n">
        <f aca="true">NORMINV(RAND(),Assumptions!$B$14,Assumptions!$B$15)</f>
        <v>0.0143476517951948</v>
      </c>
      <c r="I99" s="8" t="n">
        <f aca="true">NORMINV(RAND(),Assumptions!$B$14,Assumptions!$B$15)</f>
        <v>0.0783047684249449</v>
      </c>
      <c r="J99" s="8" t="n">
        <f aca="true">NORMINV(RAND(),Assumptions!$B$14,Assumptions!$B$15)</f>
        <v>0.0828052138602101</v>
      </c>
      <c r="K99" s="8" t="n">
        <f aca="true">NORMINV(RAND(),Assumptions!$B$14,Assumptions!$B$15)</f>
        <v>0.0446588931228992</v>
      </c>
      <c r="L99" s="8" t="n">
        <f aca="true">NORMINV(RAND(),Assumptions!$B$14,Assumptions!$B$15)</f>
        <v>0.0558455972453943</v>
      </c>
      <c r="M99" s="6" t="n">
        <f aca="false">B99-Assumptions!$B$29</f>
        <v>391263.996662504</v>
      </c>
      <c r="N99" s="6" t="n">
        <f aca="false">W99-Assumptions!$B$29</f>
        <v>355466.364335062</v>
      </c>
      <c r="O99" s="6" t="n">
        <f aca="false">X99-Assumptions!$B$29</f>
        <v>322851.757696997</v>
      </c>
      <c r="P99" s="6" t="n">
        <f aca="false">Y99-Assumptions!$B$29</f>
        <v>292182.495247689</v>
      </c>
      <c r="Q99" s="6" t="n">
        <f aca="false">Z99-Assumptions!$B$29</f>
        <v>260099.938827188</v>
      </c>
      <c r="R99" s="6" t="n">
        <f aca="false">AA99-Assumptions!$B$29</f>
        <v>223317.939007635</v>
      </c>
      <c r="S99" s="6" t="n">
        <f aca="false">AB99-Assumptions!$B$29</f>
        <v>176522.027036137</v>
      </c>
      <c r="T99" s="6" t="n">
        <f aca="false">AC99-Assumptions!$B$29</f>
        <v>140344.543485103</v>
      </c>
      <c r="U99" s="6" t="n">
        <f aca="false">AD99-Assumptions!$B$29</f>
        <v>101965.803422501</v>
      </c>
      <c r="V99" s="6" t="n">
        <f aca="false">AE99-Assumptions!$B$29</f>
        <v>56519.4833397369</v>
      </c>
      <c r="W99" s="6" t="n">
        <f aca="false">M99*(1+C99)</f>
        <v>405466.364335062</v>
      </c>
      <c r="X99" s="6" t="n">
        <f aca="false">N99*(1+D99)</f>
        <v>372851.757696997</v>
      </c>
      <c r="Y99" s="6" t="n">
        <f aca="false">O99*(1+E99)</f>
        <v>342182.495247689</v>
      </c>
      <c r="Z99" s="6" t="n">
        <f aca="false">P99*(1+F99)</f>
        <v>310099.938827188</v>
      </c>
      <c r="AA99" s="6" t="n">
        <f aca="false">Q99*(1+G99)</f>
        <v>273317.939007635</v>
      </c>
      <c r="AB99" s="6" t="n">
        <f aca="false">R99*(1+H99)</f>
        <v>226522.027036137</v>
      </c>
      <c r="AC99" s="6" t="n">
        <f aca="false">S99*(1+I99)</f>
        <v>190344.543485103</v>
      </c>
      <c r="AD99" s="6" t="n">
        <f aca="false">T99*(1+J99)</f>
        <v>151965.803422501</v>
      </c>
      <c r="AE99" s="6" t="n">
        <f aca="false">U99*(1+K99)</f>
        <v>106519.483339737</v>
      </c>
      <c r="AF99" s="6" t="n">
        <f aca="false">V99*(1+L99)</f>
        <v>59675.8476428456</v>
      </c>
      <c r="AG99" s="6" t="n">
        <f aca="false">MIN(M99:V99)</f>
        <v>56519.4833397369</v>
      </c>
      <c r="AH99" s="19" t="n">
        <f aca="false">IF(AG99&gt;=0,1,0)</f>
        <v>1</v>
      </c>
    </row>
    <row r="100" customFormat="false" ht="15" hidden="false" customHeight="false" outlineLevel="0" collapsed="false">
      <c r="A100" s="0" t="n">
        <f aca="false">ROW()-1</f>
        <v>99</v>
      </c>
      <c r="B100" s="6" t="n">
        <f aca="false">Assumptions!$B$35</f>
        <v>441263.996662504</v>
      </c>
      <c r="C100" s="8" t="n">
        <f aca="true">NORMINV(RAND(),Assumptions!$B$14,Assumptions!$B$15)</f>
        <v>0.0851384187411184</v>
      </c>
      <c r="D100" s="8" t="n">
        <f aca="true">NORMINV(RAND(),Assumptions!$B$14,Assumptions!$B$15)</f>
        <v>0.0959653175689244</v>
      </c>
      <c r="E100" s="8" t="n">
        <f aca="true">NORMINV(RAND(),Assumptions!$B$14,Assumptions!$B$15)</f>
        <v>0.05781492084855</v>
      </c>
      <c r="F100" s="8" t="n">
        <f aca="true">NORMINV(RAND(),Assumptions!$B$14,Assumptions!$B$15)</f>
        <v>0.0382874545140132</v>
      </c>
      <c r="G100" s="8" t="n">
        <f aca="true">NORMINV(RAND(),Assumptions!$B$14,Assumptions!$B$15)</f>
        <v>0.112241637888001</v>
      </c>
      <c r="H100" s="8" t="n">
        <f aca="true">NORMINV(RAND(),Assumptions!$B$14,Assumptions!$B$15)</f>
        <v>0.047163127328411</v>
      </c>
      <c r="I100" s="8" t="n">
        <f aca="true">NORMINV(RAND(),Assumptions!$B$14,Assumptions!$B$15)</f>
        <v>0.0222300555457896</v>
      </c>
      <c r="J100" s="8" t="n">
        <f aca="true">NORMINV(RAND(),Assumptions!$B$14,Assumptions!$B$15)</f>
        <v>0.0596016673214504</v>
      </c>
      <c r="K100" s="8" t="n">
        <f aca="true">NORMINV(RAND(),Assumptions!$B$14,Assumptions!$B$15)</f>
        <v>0.0542009461484179</v>
      </c>
      <c r="L100" s="8" t="n">
        <f aca="true">NORMINV(RAND(),Assumptions!$B$14,Assumptions!$B$15)</f>
        <v>0.0823587640318405</v>
      </c>
      <c r="M100" s="6" t="n">
        <f aca="false">B100-Assumptions!$B$29</f>
        <v>391263.996662504</v>
      </c>
      <c r="N100" s="6" t="n">
        <f aca="false">W100-Assumptions!$B$29</f>
        <v>374575.594648679</v>
      </c>
      <c r="O100" s="6" t="n">
        <f aca="false">X100-Assumptions!$B$29</f>
        <v>360521.860542709</v>
      </c>
      <c r="P100" s="6" t="n">
        <f aca="false">Y100-Assumptions!$B$29</f>
        <v>331365.403374157</v>
      </c>
      <c r="Q100" s="6" t="n">
        <f aca="false">Z100-Assumptions!$B$29</f>
        <v>294052.541183363</v>
      </c>
      <c r="R100" s="6" t="n">
        <f aca="false">AA100-Assumptions!$B$29</f>
        <v>277057.480030912</v>
      </c>
      <c r="S100" s="6" t="n">
        <f aca="false">AB100-Assumptions!$B$29</f>
        <v>240124.377238899</v>
      </c>
      <c r="T100" s="6" t="n">
        <f aca="false">AC100-Assumptions!$B$29</f>
        <v>195462.355482818</v>
      </c>
      <c r="U100" s="6" t="n">
        <f aca="false">AD100-Assumptions!$B$29</f>
        <v>157112.237768172</v>
      </c>
      <c r="V100" s="6" t="n">
        <f aca="false">AE100-Assumptions!$B$29</f>
        <v>115627.869706702</v>
      </c>
      <c r="W100" s="6" t="n">
        <f aca="false">M100*(1+C100)</f>
        <v>424575.594648679</v>
      </c>
      <c r="X100" s="6" t="n">
        <f aca="false">N100*(1+D100)</f>
        <v>410521.860542709</v>
      </c>
      <c r="Y100" s="6" t="n">
        <f aca="false">O100*(1+E100)</f>
        <v>381365.403374157</v>
      </c>
      <c r="Z100" s="6" t="n">
        <f aca="false">P100*(1+F100)</f>
        <v>344052.541183363</v>
      </c>
      <c r="AA100" s="6" t="n">
        <f aca="false">Q100*(1+G100)</f>
        <v>327057.480030912</v>
      </c>
      <c r="AB100" s="6" t="n">
        <f aca="false">R100*(1+H100)</f>
        <v>290124.377238899</v>
      </c>
      <c r="AC100" s="6" t="n">
        <f aca="false">S100*(1+I100)</f>
        <v>245462.355482818</v>
      </c>
      <c r="AD100" s="6" t="n">
        <f aca="false">T100*(1+J100)</f>
        <v>207112.237768172</v>
      </c>
      <c r="AE100" s="6" t="n">
        <f aca="false">U100*(1+K100)</f>
        <v>165627.869706702</v>
      </c>
      <c r="AF100" s="6" t="n">
        <f aca="false">V100*(1+L100)</f>
        <v>125150.83814338</v>
      </c>
      <c r="AG100" s="6" t="n">
        <f aca="false">MIN(M100:V100)</f>
        <v>115627.869706702</v>
      </c>
      <c r="AH100" s="19" t="n">
        <f aca="false">IF(AG100&gt;=0,1,0)</f>
        <v>1</v>
      </c>
    </row>
    <row r="101" customFormat="false" ht="15" hidden="false" customHeight="false" outlineLevel="0" collapsed="false">
      <c r="A101" s="0" t="n">
        <f aca="false">ROW()-1</f>
        <v>100</v>
      </c>
      <c r="B101" s="6" t="n">
        <f aca="false">Assumptions!$B$35</f>
        <v>441263.996662504</v>
      </c>
      <c r="C101" s="8" t="n">
        <f aca="true">NORMINV(RAND(),Assumptions!$B$14,Assumptions!$B$15)</f>
        <v>0.0340120034688542</v>
      </c>
      <c r="D101" s="8" t="n">
        <f aca="true">NORMINV(RAND(),Assumptions!$B$14,Assumptions!$B$15)</f>
        <v>-0.0248859365269266</v>
      </c>
      <c r="E101" s="8" t="n">
        <f aca="true">NORMINV(RAND(),Assumptions!$B$14,Assumptions!$B$15)</f>
        <v>0.033900131911314</v>
      </c>
      <c r="F101" s="8" t="n">
        <f aca="true">NORMINV(RAND(),Assumptions!$B$14,Assumptions!$B$15)</f>
        <v>0.0963073651806013</v>
      </c>
      <c r="G101" s="8" t="n">
        <f aca="true">NORMINV(RAND(),Assumptions!$B$14,Assumptions!$B$15)</f>
        <v>0.0496951027417505</v>
      </c>
      <c r="H101" s="8" t="n">
        <f aca="true">NORMINV(RAND(),Assumptions!$B$14,Assumptions!$B$15)</f>
        <v>0.0395411264321634</v>
      </c>
      <c r="I101" s="8" t="n">
        <f aca="true">NORMINV(RAND(),Assumptions!$B$14,Assumptions!$B$15)</f>
        <v>0.0784451358799737</v>
      </c>
      <c r="J101" s="8" t="n">
        <f aca="true">NORMINV(RAND(),Assumptions!$B$14,Assumptions!$B$15)</f>
        <v>0.0672994711488253</v>
      </c>
      <c r="K101" s="8" t="n">
        <f aca="true">NORMINV(RAND(),Assumptions!$B$14,Assumptions!$B$15)</f>
        <v>0.0289422150213263</v>
      </c>
      <c r="L101" s="8" t="n">
        <f aca="true">NORMINV(RAND(),Assumptions!$B$14,Assumptions!$B$15)</f>
        <v>0.0231341501239112</v>
      </c>
      <c r="M101" s="6" t="n">
        <f aca="false">B101-Assumptions!$B$29</f>
        <v>391263.996662504</v>
      </c>
      <c r="N101" s="6" t="n">
        <f aca="false">W101-Assumptions!$B$29</f>
        <v>354571.669074226</v>
      </c>
      <c r="O101" s="6" t="n">
        <f aca="false">X101-Assumptions!$B$29</f>
        <v>295747.821023399</v>
      </c>
      <c r="P101" s="6" t="n">
        <f aca="false">Y101-Assumptions!$B$29</f>
        <v>255773.711168576</v>
      </c>
      <c r="Q101" s="6" t="n">
        <f aca="false">Z101-Assumptions!$B$29</f>
        <v>230406.603373685</v>
      </c>
      <c r="R101" s="6" t="n">
        <f aca="false">AA101-Assumptions!$B$29</f>
        <v>191856.683200718</v>
      </c>
      <c r="S101" s="6" t="n">
        <f aca="false">AB101-Assumptions!$B$29</f>
        <v>149442.912568013</v>
      </c>
      <c r="T101" s="6" t="n">
        <f aca="false">AC101-Assumptions!$B$29</f>
        <v>111165.98215071</v>
      </c>
      <c r="U101" s="6" t="n">
        <f aca="false">AD101-Assumptions!$B$29</f>
        <v>68647.3939591928</v>
      </c>
      <c r="V101" s="6" t="n">
        <f aca="false">AE101-Assumptions!$B$29</f>
        <v>20634.2015958134</v>
      </c>
      <c r="W101" s="6" t="n">
        <f aca="false">M101*(1+C101)</f>
        <v>404571.669074226</v>
      </c>
      <c r="X101" s="6" t="n">
        <f aca="false">N101*(1+D101)</f>
        <v>345747.821023399</v>
      </c>
      <c r="Y101" s="6" t="n">
        <f aca="false">O101*(1+E101)</f>
        <v>305773.711168576</v>
      </c>
      <c r="Z101" s="6" t="n">
        <f aca="false">P101*(1+F101)</f>
        <v>280406.603373685</v>
      </c>
      <c r="AA101" s="6" t="n">
        <f aca="false">Q101*(1+G101)</f>
        <v>241856.683200718</v>
      </c>
      <c r="AB101" s="6" t="n">
        <f aca="false">R101*(1+H101)</f>
        <v>199442.912568013</v>
      </c>
      <c r="AC101" s="6" t="n">
        <f aca="false">S101*(1+I101)</f>
        <v>161165.98215071</v>
      </c>
      <c r="AD101" s="6" t="n">
        <f aca="false">T101*(1+J101)</f>
        <v>118647.393959193</v>
      </c>
      <c r="AE101" s="6" t="n">
        <f aca="false">U101*(1+K101)</f>
        <v>70634.2015958134</v>
      </c>
      <c r="AF101" s="6" t="n">
        <f aca="false">V101*(1+L101)</f>
        <v>21111.556313218</v>
      </c>
      <c r="AG101" s="6" t="n">
        <f aca="false">MIN(M101:V101)</f>
        <v>20634.2015958134</v>
      </c>
      <c r="AH101" s="19" t="n">
        <f aca="false">IF(AG101&gt;=0,1,0)</f>
        <v>1</v>
      </c>
    </row>
    <row r="102" customFormat="false" ht="15" hidden="false" customHeight="false" outlineLevel="0" collapsed="false">
      <c r="A102" s="0" t="n">
        <f aca="false">ROW()-1</f>
        <v>101</v>
      </c>
      <c r="B102" s="6" t="n">
        <f aca="false">Assumptions!$B$35</f>
        <v>441263.996662504</v>
      </c>
      <c r="C102" s="8" t="n">
        <f aca="true">NORMINV(RAND(),Assumptions!$B$14,Assumptions!$B$15)</f>
        <v>0.0672254226403625</v>
      </c>
      <c r="D102" s="8" t="n">
        <f aca="true">NORMINV(RAND(),Assumptions!$B$14,Assumptions!$B$15)</f>
        <v>0.0522054990586172</v>
      </c>
      <c r="E102" s="8" t="n">
        <f aca="true">NORMINV(RAND(),Assumptions!$B$14,Assumptions!$B$15)</f>
        <v>0.0456003616412534</v>
      </c>
      <c r="F102" s="8" t="n">
        <f aca="true">NORMINV(RAND(),Assumptions!$B$14,Assumptions!$B$15)</f>
        <v>0.0465854692608713</v>
      </c>
      <c r="G102" s="8" t="n">
        <f aca="true">NORMINV(RAND(),Assumptions!$B$14,Assumptions!$B$15)</f>
        <v>0.0410278281254509</v>
      </c>
      <c r="H102" s="8" t="n">
        <f aca="true">NORMINV(RAND(),Assumptions!$B$14,Assumptions!$B$15)</f>
        <v>0.0738011200855514</v>
      </c>
      <c r="I102" s="8" t="n">
        <f aca="true">NORMINV(RAND(),Assumptions!$B$14,Assumptions!$B$15)</f>
        <v>0.0444368931408316</v>
      </c>
      <c r="J102" s="8" t="n">
        <f aca="true">NORMINV(RAND(),Assumptions!$B$14,Assumptions!$B$15)</f>
        <v>0.0365797839216502</v>
      </c>
      <c r="K102" s="8" t="n">
        <f aca="true">NORMINV(RAND(),Assumptions!$B$14,Assumptions!$B$15)</f>
        <v>0.0154496125741802</v>
      </c>
      <c r="L102" s="8" t="n">
        <f aca="true">NORMINV(RAND(),Assumptions!$B$14,Assumptions!$B$15)</f>
        <v>0.0401031223886976</v>
      </c>
      <c r="M102" s="6" t="n">
        <f aca="false">B102-Assumptions!$B$29</f>
        <v>391263.996662504</v>
      </c>
      <c r="N102" s="6" t="n">
        <f aca="false">W102-Assumptions!$B$29</f>
        <v>367566.884202098</v>
      </c>
      <c r="O102" s="6" t="n">
        <f aca="false">X102-Assumptions!$B$29</f>
        <v>336755.896829289</v>
      </c>
      <c r="P102" s="6" t="n">
        <f aca="false">Y102-Assumptions!$B$29</f>
        <v>302112.087509529</v>
      </c>
      <c r="Q102" s="6" t="n">
        <f aca="false">Z102-Assumptions!$B$29</f>
        <v>266186.120875542</v>
      </c>
      <c r="R102" s="6" t="n">
        <f aca="false">AA102-Assumptions!$B$29</f>
        <v>227107.159292204</v>
      </c>
      <c r="S102" s="6" t="n">
        <f aca="false">AB102-Assumptions!$B$29</f>
        <v>193867.922027417</v>
      </c>
      <c r="T102" s="6" t="n">
        <f aca="false">AC102-Assumptions!$B$29</f>
        <v>152482.810161984</v>
      </c>
      <c r="U102" s="6" t="n">
        <f aca="false">AD102-Assumptions!$B$29</f>
        <v>108060.598409476</v>
      </c>
      <c r="V102" s="6" t="n">
        <f aca="false">AE102-Assumptions!$B$29</f>
        <v>59730.092789436</v>
      </c>
      <c r="W102" s="6" t="n">
        <f aca="false">M102*(1+C102)</f>
        <v>417566.884202098</v>
      </c>
      <c r="X102" s="6" t="n">
        <f aca="false">N102*(1+D102)</f>
        <v>386755.896829289</v>
      </c>
      <c r="Y102" s="6" t="n">
        <f aca="false">O102*(1+E102)</f>
        <v>352112.087509529</v>
      </c>
      <c r="Z102" s="6" t="n">
        <f aca="false">P102*(1+F102)</f>
        <v>316186.120875542</v>
      </c>
      <c r="AA102" s="6" t="n">
        <f aca="false">Q102*(1+G102)</f>
        <v>277107.159292204</v>
      </c>
      <c r="AB102" s="6" t="n">
        <f aca="false">R102*(1+H102)</f>
        <v>243867.922027417</v>
      </c>
      <c r="AC102" s="6" t="n">
        <f aca="false">S102*(1+I102)</f>
        <v>202482.810161984</v>
      </c>
      <c r="AD102" s="6" t="n">
        <f aca="false">T102*(1+J102)</f>
        <v>158060.598409476</v>
      </c>
      <c r="AE102" s="6" t="n">
        <f aca="false">U102*(1+K102)</f>
        <v>109730.092789436</v>
      </c>
      <c r="AF102" s="6" t="n">
        <f aca="false">V102*(1+L102)</f>
        <v>62125.456010859</v>
      </c>
      <c r="AG102" s="6" t="n">
        <f aca="false">MIN(M102:V102)</f>
        <v>59730.092789436</v>
      </c>
      <c r="AH102" s="19" t="n">
        <f aca="false">IF(AG102&gt;=0,1,0)</f>
        <v>1</v>
      </c>
    </row>
    <row r="103" customFormat="false" ht="15" hidden="false" customHeight="false" outlineLevel="0" collapsed="false">
      <c r="A103" s="0" t="n">
        <f aca="false">ROW()-1</f>
        <v>102</v>
      </c>
      <c r="B103" s="6" t="n">
        <f aca="false">Assumptions!$B$35</f>
        <v>441263.996662504</v>
      </c>
      <c r="C103" s="8" t="n">
        <f aca="true">NORMINV(RAND(),Assumptions!$B$14,Assumptions!$B$15)</f>
        <v>0.0411828122658836</v>
      </c>
      <c r="D103" s="8" t="n">
        <f aca="true">NORMINV(RAND(),Assumptions!$B$14,Assumptions!$B$15)</f>
        <v>0.028721310983145</v>
      </c>
      <c r="E103" s="8" t="n">
        <f aca="true">NORMINV(RAND(),Assumptions!$B$14,Assumptions!$B$15)</f>
        <v>0.039000761520219</v>
      </c>
      <c r="F103" s="8" t="n">
        <f aca="true">NORMINV(RAND(),Assumptions!$B$14,Assumptions!$B$15)</f>
        <v>0.0685525861499674</v>
      </c>
      <c r="G103" s="8" t="n">
        <f aca="true">NORMINV(RAND(),Assumptions!$B$14,Assumptions!$B$15)</f>
        <v>0.0194837008529937</v>
      </c>
      <c r="H103" s="8" t="n">
        <f aca="true">NORMINV(RAND(),Assumptions!$B$14,Assumptions!$B$15)</f>
        <v>0.0486289768690422</v>
      </c>
      <c r="I103" s="8" t="n">
        <f aca="true">NORMINV(RAND(),Assumptions!$B$14,Assumptions!$B$15)</f>
        <v>0.0762589394407273</v>
      </c>
      <c r="J103" s="8" t="n">
        <f aca="true">NORMINV(RAND(),Assumptions!$B$14,Assumptions!$B$15)</f>
        <v>0.0658476042274192</v>
      </c>
      <c r="K103" s="8" t="n">
        <f aca="true">NORMINV(RAND(),Assumptions!$B$14,Assumptions!$B$15)</f>
        <v>0.0554932269267085</v>
      </c>
      <c r="L103" s="8" t="n">
        <f aca="true">NORMINV(RAND(),Assumptions!$B$14,Assumptions!$B$15)</f>
        <v>0.0897947292873752</v>
      </c>
      <c r="M103" s="6" t="n">
        <f aca="false">B103-Assumptions!$B$29</f>
        <v>391263.996662504</v>
      </c>
      <c r="N103" s="6" t="n">
        <f aca="false">W103-Assumptions!$B$29</f>
        <v>357377.348383455</v>
      </c>
      <c r="O103" s="6" t="n">
        <f aca="false">X103-Assumptions!$B$29</f>
        <v>317641.694344708</v>
      </c>
      <c r="P103" s="6" t="n">
        <f aca="false">Y103-Assumptions!$B$29</f>
        <v>280029.962314724</v>
      </c>
      <c r="Q103" s="6" t="n">
        <f aca="false">Z103-Assumptions!$B$29</f>
        <v>249226.740430876</v>
      </c>
      <c r="R103" s="6" t="n">
        <f aca="false">AA103-Assumptions!$B$29</f>
        <v>204082.599685998</v>
      </c>
      <c r="S103" s="6" t="n">
        <f aca="false">AB103-Assumptions!$B$29</f>
        <v>164006.927705502</v>
      </c>
      <c r="T103" s="6" t="n">
        <f aca="false">AC103-Assumptions!$B$29</f>
        <v>126513.922073256</v>
      </c>
      <c r="U103" s="6" t="n">
        <f aca="false">AD103-Assumptions!$B$29</f>
        <v>84844.5607431944</v>
      </c>
      <c r="V103" s="6" t="n">
        <f aca="false">AE103-Assumptions!$B$29</f>
        <v>39552.8592060134</v>
      </c>
      <c r="W103" s="6" t="n">
        <f aca="false">M103*(1+C103)</f>
        <v>407377.348383455</v>
      </c>
      <c r="X103" s="6" t="n">
        <f aca="false">N103*(1+D103)</f>
        <v>367641.694344708</v>
      </c>
      <c r="Y103" s="6" t="n">
        <f aca="false">O103*(1+E103)</f>
        <v>330029.962314724</v>
      </c>
      <c r="Z103" s="6" t="n">
        <f aca="false">P103*(1+F103)</f>
        <v>299226.740430876</v>
      </c>
      <c r="AA103" s="6" t="n">
        <f aca="false">Q103*(1+G103)</f>
        <v>254082.599685998</v>
      </c>
      <c r="AB103" s="6" t="n">
        <f aca="false">R103*(1+H103)</f>
        <v>214006.927705502</v>
      </c>
      <c r="AC103" s="6" t="n">
        <f aca="false">S103*(1+I103)</f>
        <v>176513.922073256</v>
      </c>
      <c r="AD103" s="6" t="n">
        <f aca="false">T103*(1+J103)</f>
        <v>134844.560743194</v>
      </c>
      <c r="AE103" s="6" t="n">
        <f aca="false">U103*(1+K103)</f>
        <v>89552.8592060134</v>
      </c>
      <c r="AF103" s="6" t="n">
        <f aca="false">V103*(1+L103)</f>
        <v>43104.497490959</v>
      </c>
      <c r="AG103" s="6" t="n">
        <f aca="false">MIN(M103:V103)</f>
        <v>39552.8592060134</v>
      </c>
      <c r="AH103" s="19" t="n">
        <f aca="false">IF(AG103&gt;=0,1,0)</f>
        <v>1</v>
      </c>
    </row>
    <row r="104" customFormat="false" ht="15" hidden="false" customHeight="false" outlineLevel="0" collapsed="false">
      <c r="A104" s="0" t="n">
        <f aca="false">ROW()-1</f>
        <v>103</v>
      </c>
      <c r="B104" s="6" t="n">
        <f aca="false">Assumptions!$B$35</f>
        <v>441263.996662504</v>
      </c>
      <c r="C104" s="8" t="n">
        <f aca="true">NORMINV(RAND(),Assumptions!$B$14,Assumptions!$B$15)</f>
        <v>-0.0372365105528233</v>
      </c>
      <c r="D104" s="8" t="n">
        <f aca="true">NORMINV(RAND(),Assumptions!$B$14,Assumptions!$B$15)</f>
        <v>0.0122725482750506</v>
      </c>
      <c r="E104" s="8" t="n">
        <f aca="true">NORMINV(RAND(),Assumptions!$B$14,Assumptions!$B$15)</f>
        <v>0.0636744655912341</v>
      </c>
      <c r="F104" s="8" t="n">
        <f aca="true">NORMINV(RAND(),Assumptions!$B$14,Assumptions!$B$15)</f>
        <v>0.0119958329116322</v>
      </c>
      <c r="G104" s="8" t="n">
        <f aca="true">NORMINV(RAND(),Assumptions!$B$14,Assumptions!$B$15)</f>
        <v>0.0254218605383459</v>
      </c>
      <c r="H104" s="8" t="n">
        <f aca="true">NORMINV(RAND(),Assumptions!$B$14,Assumptions!$B$15)</f>
        <v>0.0432204282791781</v>
      </c>
      <c r="I104" s="8" t="n">
        <f aca="true">NORMINV(RAND(),Assumptions!$B$14,Assumptions!$B$15)</f>
        <v>0.0713804847348896</v>
      </c>
      <c r="J104" s="8" t="n">
        <f aca="true">NORMINV(RAND(),Assumptions!$B$14,Assumptions!$B$15)</f>
        <v>0.024434282608542</v>
      </c>
      <c r="K104" s="8" t="n">
        <f aca="true">NORMINV(RAND(),Assumptions!$B$14,Assumptions!$B$15)</f>
        <v>0.00217908274445187</v>
      </c>
      <c r="L104" s="8" t="n">
        <f aca="true">NORMINV(RAND(),Assumptions!$B$14,Assumptions!$B$15)</f>
        <v>0.0571499754396608</v>
      </c>
      <c r="M104" s="6" t="n">
        <f aca="false">B104-Assumptions!$B$29</f>
        <v>391263.996662504</v>
      </c>
      <c r="N104" s="6" t="n">
        <f aca="false">W104-Assumptions!$B$29</f>
        <v>326694.69072184</v>
      </c>
      <c r="O104" s="6" t="n">
        <f aca="false">X104-Assumptions!$B$29</f>
        <v>280704.067084927</v>
      </c>
      <c r="P104" s="6" t="n">
        <f aca="false">Y104-Assumptions!$B$29</f>
        <v>248577.748545846</v>
      </c>
      <c r="Q104" s="6" t="n">
        <f aca="false">Z104-Assumptions!$B$29</f>
        <v>201559.645682951</v>
      </c>
      <c r="R104" s="6" t="n">
        <f aca="false">AA104-Assumptions!$B$29</f>
        <v>156683.666885662</v>
      </c>
      <c r="S104" s="6" t="n">
        <f aca="false">AB104-Assumptions!$B$29</f>
        <v>113455.602072812</v>
      </c>
      <c r="T104" s="6" t="n">
        <f aca="false">AC104-Assumptions!$B$29</f>
        <v>71554.117944658</v>
      </c>
      <c r="U104" s="6" t="n">
        <f aca="false">AD104-Assumptions!$B$29</f>
        <v>23302.4914843228</v>
      </c>
      <c r="V104" s="6" t="n">
        <f aca="false">AE104-Assumptions!$B$29</f>
        <v>-26646.730458581</v>
      </c>
      <c r="W104" s="6" t="n">
        <f aca="false">M104*(1+C104)</f>
        <v>376694.69072184</v>
      </c>
      <c r="X104" s="6" t="n">
        <f aca="false">N104*(1+D104)</f>
        <v>330704.067084927</v>
      </c>
      <c r="Y104" s="6" t="n">
        <f aca="false">O104*(1+E104)</f>
        <v>298577.748545846</v>
      </c>
      <c r="Z104" s="6" t="n">
        <f aca="false">P104*(1+F104)</f>
        <v>251559.645682951</v>
      </c>
      <c r="AA104" s="6" t="n">
        <f aca="false">Q104*(1+G104)</f>
        <v>206683.666885662</v>
      </c>
      <c r="AB104" s="6" t="n">
        <f aca="false">R104*(1+H104)</f>
        <v>163455.602072812</v>
      </c>
      <c r="AC104" s="6" t="n">
        <f aca="false">S104*(1+I104)</f>
        <v>121554.117944658</v>
      </c>
      <c r="AD104" s="6" t="n">
        <f aca="false">T104*(1+J104)</f>
        <v>73302.4914843228</v>
      </c>
      <c r="AE104" s="6" t="n">
        <f aca="false">U104*(1+K104)</f>
        <v>23353.269541419</v>
      </c>
      <c r="AF104" s="6" t="n">
        <f aca="false">V104*(1+L104)</f>
        <v>-28169.5904498362</v>
      </c>
      <c r="AG104" s="6" t="n">
        <f aca="false">MIN(M104:V104)</f>
        <v>-26646.730458581</v>
      </c>
      <c r="AH104" s="19" t="n">
        <f aca="false">IF(AG104&gt;=0,1,0)</f>
        <v>0</v>
      </c>
    </row>
    <row r="105" customFormat="false" ht="15" hidden="false" customHeight="false" outlineLevel="0" collapsed="false">
      <c r="A105" s="0" t="n">
        <f aca="false">ROW()-1</f>
        <v>104</v>
      </c>
      <c r="B105" s="6" t="n">
        <f aca="false">Assumptions!$B$35</f>
        <v>441263.996662504</v>
      </c>
      <c r="C105" s="8" t="n">
        <f aca="true">NORMINV(RAND(),Assumptions!$B$14,Assumptions!$B$15)</f>
        <v>0.0405532236738109</v>
      </c>
      <c r="D105" s="8" t="n">
        <f aca="true">NORMINV(RAND(),Assumptions!$B$14,Assumptions!$B$15)</f>
        <v>0.0231700307053772</v>
      </c>
      <c r="E105" s="8" t="n">
        <f aca="true">NORMINV(RAND(),Assumptions!$B$14,Assumptions!$B$15)</f>
        <v>0.0551342157479853</v>
      </c>
      <c r="F105" s="8" t="n">
        <f aca="true">NORMINV(RAND(),Assumptions!$B$14,Assumptions!$B$15)</f>
        <v>0.0969511210237338</v>
      </c>
      <c r="G105" s="8" t="n">
        <f aca="true">NORMINV(RAND(),Assumptions!$B$14,Assumptions!$B$15)</f>
        <v>0.0242817070872421</v>
      </c>
      <c r="H105" s="8" t="n">
        <f aca="true">NORMINV(RAND(),Assumptions!$B$14,Assumptions!$B$15)</f>
        <v>0.0232409223739628</v>
      </c>
      <c r="I105" s="8" t="n">
        <f aca="true">NORMINV(RAND(),Assumptions!$B$14,Assumptions!$B$15)</f>
        <v>-0.00656259004619621</v>
      </c>
      <c r="J105" s="8" t="n">
        <f aca="true">NORMINV(RAND(),Assumptions!$B$14,Assumptions!$B$15)</f>
        <v>0.0971654992113783</v>
      </c>
      <c r="K105" s="8" t="n">
        <f aca="true">NORMINV(RAND(),Assumptions!$B$14,Assumptions!$B$15)</f>
        <v>0.0609121340904145</v>
      </c>
      <c r="L105" s="8" t="n">
        <f aca="true">NORMINV(RAND(),Assumptions!$B$14,Assumptions!$B$15)</f>
        <v>0.0793839757633464</v>
      </c>
      <c r="M105" s="6" t="n">
        <f aca="false">B105-Assumptions!$B$29</f>
        <v>391263.996662504</v>
      </c>
      <c r="N105" s="6" t="n">
        <f aca="false">W105-Assumptions!$B$29</f>
        <v>357131.013034667</v>
      </c>
      <c r="O105" s="6" t="n">
        <f aca="false">X105-Assumptions!$B$29</f>
        <v>315405.749572523</v>
      </c>
      <c r="P105" s="6" t="n">
        <f aca="false">Y105-Assumptions!$B$29</f>
        <v>282795.398217609</v>
      </c>
      <c r="Q105" s="6" t="n">
        <f aca="false">Z105-Assumptions!$B$29</f>
        <v>260212.72909516</v>
      </c>
      <c r="R105" s="6" t="n">
        <f aca="false">AA105-Assumptions!$B$29</f>
        <v>216531.13836342</v>
      </c>
      <c r="S105" s="6" t="n">
        <f aca="false">AB105-Assumptions!$B$29</f>
        <v>171563.52174167</v>
      </c>
      <c r="T105" s="6" t="n">
        <f aca="false">AC105-Assumptions!$B$29</f>
        <v>120437.620681598</v>
      </c>
      <c r="U105" s="6" t="n">
        <f aca="false">AD105-Assumptions!$B$29</f>
        <v>82140.0022189563</v>
      </c>
      <c r="V105" s="6" t="n">
        <f aca="false">AE105-Assumptions!$B$29</f>
        <v>37143.3250483043</v>
      </c>
      <c r="W105" s="6" t="n">
        <f aca="false">M105*(1+C105)</f>
        <v>407131.013034667</v>
      </c>
      <c r="X105" s="6" t="n">
        <f aca="false">N105*(1+D105)</f>
        <v>365405.749572523</v>
      </c>
      <c r="Y105" s="6" t="n">
        <f aca="false">O105*(1+E105)</f>
        <v>332795.398217609</v>
      </c>
      <c r="Z105" s="6" t="n">
        <f aca="false">P105*(1+F105)</f>
        <v>310212.72909516</v>
      </c>
      <c r="AA105" s="6" t="n">
        <f aca="false">Q105*(1+G105)</f>
        <v>266531.13836342</v>
      </c>
      <c r="AB105" s="6" t="n">
        <f aca="false">R105*(1+H105)</f>
        <v>221563.52174167</v>
      </c>
      <c r="AC105" s="6" t="n">
        <f aca="false">S105*(1+I105)</f>
        <v>170437.620681598</v>
      </c>
      <c r="AD105" s="6" t="n">
        <f aca="false">T105*(1+J105)</f>
        <v>132140.002218956</v>
      </c>
      <c r="AE105" s="6" t="n">
        <f aca="false">U105*(1+K105)</f>
        <v>87143.3250483043</v>
      </c>
      <c r="AF105" s="6" t="n">
        <f aca="false">V105*(1+L105)</f>
        <v>40091.909863709</v>
      </c>
      <c r="AG105" s="6" t="n">
        <f aca="false">MIN(M105:V105)</f>
        <v>37143.3250483043</v>
      </c>
      <c r="AH105" s="19" t="n">
        <f aca="false">IF(AG105&gt;=0,1,0)</f>
        <v>1</v>
      </c>
    </row>
    <row r="106" customFormat="false" ht="15" hidden="false" customHeight="false" outlineLevel="0" collapsed="false">
      <c r="A106" s="0" t="n">
        <f aca="false">ROW()-1</f>
        <v>105</v>
      </c>
      <c r="B106" s="6" t="n">
        <f aca="false">Assumptions!$B$35</f>
        <v>441263.996662504</v>
      </c>
      <c r="C106" s="8" t="n">
        <f aca="true">NORMINV(RAND(),Assumptions!$B$14,Assumptions!$B$15)</f>
        <v>0.0584830509800334</v>
      </c>
      <c r="D106" s="8" t="n">
        <f aca="true">NORMINV(RAND(),Assumptions!$B$14,Assumptions!$B$15)</f>
        <v>0.0314445469228339</v>
      </c>
      <c r="E106" s="8" t="n">
        <f aca="true">NORMINV(RAND(),Assumptions!$B$14,Assumptions!$B$15)</f>
        <v>0.0736892646388256</v>
      </c>
      <c r="F106" s="8" t="n">
        <f aca="true">NORMINV(RAND(),Assumptions!$B$14,Assumptions!$B$15)</f>
        <v>0.0342044936366847</v>
      </c>
      <c r="G106" s="8" t="n">
        <f aca="true">NORMINV(RAND(),Assumptions!$B$14,Assumptions!$B$15)</f>
        <v>0.0364569868009963</v>
      </c>
      <c r="H106" s="8" t="n">
        <f aca="true">NORMINV(RAND(),Assumptions!$B$14,Assumptions!$B$15)</f>
        <v>0.0230322101168643</v>
      </c>
      <c r="I106" s="8" t="n">
        <f aca="true">NORMINV(RAND(),Assumptions!$B$14,Assumptions!$B$15)</f>
        <v>0.00946954859062153</v>
      </c>
      <c r="J106" s="8" t="n">
        <f aca="true">NORMINV(RAND(),Assumptions!$B$14,Assumptions!$B$15)</f>
        <v>0.010567871348656</v>
      </c>
      <c r="K106" s="8" t="n">
        <f aca="true">NORMINV(RAND(),Assumptions!$B$14,Assumptions!$B$15)</f>
        <v>0.0343083629643682</v>
      </c>
      <c r="L106" s="8" t="n">
        <f aca="true">NORMINV(RAND(),Assumptions!$B$14,Assumptions!$B$15)</f>
        <v>0.0393272826686913</v>
      </c>
      <c r="M106" s="6" t="n">
        <f aca="false">B106-Assumptions!$B$29</f>
        <v>391263.996662504</v>
      </c>
      <c r="N106" s="6" t="n">
        <f aca="false">W106-Assumptions!$B$29</f>
        <v>364146.308925968</v>
      </c>
      <c r="O106" s="6" t="n">
        <f aca="false">X106-Assumptions!$B$29</f>
        <v>325596.724623768</v>
      </c>
      <c r="P106" s="6" t="n">
        <f aca="false">Y106-Assumptions!$B$29</f>
        <v>299589.707830103</v>
      </c>
      <c r="Q106" s="6" t="n">
        <f aca="false">Z106-Assumptions!$B$29</f>
        <v>259837.022085194</v>
      </c>
      <c r="R106" s="6" t="n">
        <f aca="false">AA106-Assumptions!$B$29</f>
        <v>219309.896969765</v>
      </c>
      <c r="S106" s="6" t="n">
        <f aca="false">AB106-Assumptions!$B$29</f>
        <v>174361.08859748</v>
      </c>
      <c r="T106" s="6" t="n">
        <f aca="false">AC106-Assumptions!$B$29</f>
        <v>126012.209398267</v>
      </c>
      <c r="U106" s="6" t="n">
        <f aca="false">AD106-Assumptions!$B$29</f>
        <v>77343.8902155483</v>
      </c>
      <c r="V106" s="6" t="n">
        <f aca="false">AE106-Assumptions!$B$29</f>
        <v>29997.4324741396</v>
      </c>
      <c r="W106" s="6" t="n">
        <f aca="false">M106*(1+C106)</f>
        <v>414146.308925968</v>
      </c>
      <c r="X106" s="6" t="n">
        <f aca="false">N106*(1+D106)</f>
        <v>375596.724623768</v>
      </c>
      <c r="Y106" s="6" t="n">
        <f aca="false">O106*(1+E106)</f>
        <v>349589.707830103</v>
      </c>
      <c r="Z106" s="6" t="n">
        <f aca="false">P106*(1+F106)</f>
        <v>309837.022085194</v>
      </c>
      <c r="AA106" s="6" t="n">
        <f aca="false">Q106*(1+G106)</f>
        <v>269309.896969765</v>
      </c>
      <c r="AB106" s="6" t="n">
        <f aca="false">R106*(1+H106)</f>
        <v>224361.08859748</v>
      </c>
      <c r="AC106" s="6" t="n">
        <f aca="false">S106*(1+I106)</f>
        <v>176012.209398267</v>
      </c>
      <c r="AD106" s="6" t="n">
        <f aca="false">T106*(1+J106)</f>
        <v>127343.890215548</v>
      </c>
      <c r="AE106" s="6" t="n">
        <f aca="false">U106*(1+K106)</f>
        <v>79997.4324741396</v>
      </c>
      <c r="AF106" s="6" t="n">
        <f aca="false">V106*(1+L106)</f>
        <v>31177.149980385</v>
      </c>
      <c r="AG106" s="6" t="n">
        <f aca="false">MIN(M106:V106)</f>
        <v>29997.4324741396</v>
      </c>
      <c r="AH106" s="19" t="n">
        <f aca="false">IF(AG106&gt;=0,1,0)</f>
        <v>1</v>
      </c>
    </row>
    <row r="107" customFormat="false" ht="15" hidden="false" customHeight="false" outlineLevel="0" collapsed="false">
      <c r="A107" s="0" t="n">
        <f aca="false">ROW()-1</f>
        <v>106</v>
      </c>
      <c r="B107" s="6" t="n">
        <f aca="false">Assumptions!$B$35</f>
        <v>441263.996662504</v>
      </c>
      <c r="C107" s="8" t="n">
        <f aca="true">NORMINV(RAND(),Assumptions!$B$14,Assumptions!$B$15)</f>
        <v>0.0473507908444601</v>
      </c>
      <c r="D107" s="8" t="n">
        <f aca="true">NORMINV(RAND(),Assumptions!$B$14,Assumptions!$B$15)</f>
        <v>0.00905044137825869</v>
      </c>
      <c r="E107" s="8" t="n">
        <f aca="true">NORMINV(RAND(),Assumptions!$B$14,Assumptions!$B$15)</f>
        <v>0.0569048330134236</v>
      </c>
      <c r="F107" s="8" t="n">
        <f aca="true">NORMINV(RAND(),Assumptions!$B$14,Assumptions!$B$15)</f>
        <v>0.0815597453049673</v>
      </c>
      <c r="G107" s="8" t="n">
        <f aca="true">NORMINV(RAND(),Assumptions!$B$14,Assumptions!$B$15)</f>
        <v>0.0703897214589476</v>
      </c>
      <c r="H107" s="8" t="n">
        <f aca="true">NORMINV(RAND(),Assumptions!$B$14,Assumptions!$B$15)</f>
        <v>0.0347305688574707</v>
      </c>
      <c r="I107" s="8" t="n">
        <f aca="true">NORMINV(RAND(),Assumptions!$B$14,Assumptions!$B$15)</f>
        <v>0.0753794877285937</v>
      </c>
      <c r="J107" s="8" t="n">
        <f aca="true">NORMINV(RAND(),Assumptions!$B$14,Assumptions!$B$15)</f>
        <v>0.0371941736826551</v>
      </c>
      <c r="K107" s="8" t="n">
        <f aca="true">NORMINV(RAND(),Assumptions!$B$14,Assumptions!$B$15)</f>
        <v>-0.00826113900239139</v>
      </c>
      <c r="L107" s="8" t="n">
        <f aca="true">NORMINV(RAND(),Assumptions!$B$14,Assumptions!$B$15)</f>
        <v>0.0802117292573722</v>
      </c>
      <c r="M107" s="6" t="n">
        <f aca="false">B107-Assumptions!$B$29</f>
        <v>391263.996662504</v>
      </c>
      <c r="N107" s="6" t="n">
        <f aca="false">W107-Assumptions!$B$29</f>
        <v>359790.656333437</v>
      </c>
      <c r="O107" s="6" t="n">
        <f aca="false">X107-Assumptions!$B$29</f>
        <v>313046.920577028</v>
      </c>
      <c r="P107" s="6" t="n">
        <f aca="false">Y107-Assumptions!$B$29</f>
        <v>280860.803317831</v>
      </c>
      <c r="Q107" s="6" t="n">
        <f aca="false">Z107-Assumptions!$B$29</f>
        <v>253767.738902581</v>
      </c>
      <c r="R107" s="6" t="n">
        <f aca="false">AA107-Assumptions!$B$29</f>
        <v>221630.379359201</v>
      </c>
      <c r="S107" s="6" t="n">
        <f aca="false">AB107-Assumptions!$B$29</f>
        <v>179327.728510443</v>
      </c>
      <c r="T107" s="6" t="n">
        <f aca="false">AC107-Assumptions!$B$29</f>
        <v>142845.360821092</v>
      </c>
      <c r="U107" s="6" t="n">
        <f aca="false">AD107-Assumptions!$B$29</f>
        <v>98158.3759812336</v>
      </c>
      <c r="V107" s="6" t="n">
        <f aca="false">AE107-Assumptions!$B$29</f>
        <v>47347.4759930037</v>
      </c>
      <c r="W107" s="6" t="n">
        <f aca="false">M107*(1+C107)</f>
        <v>409790.656333437</v>
      </c>
      <c r="X107" s="6" t="n">
        <f aca="false">N107*(1+D107)</f>
        <v>363046.920577028</v>
      </c>
      <c r="Y107" s="6" t="n">
        <f aca="false">O107*(1+E107)</f>
        <v>330860.803317831</v>
      </c>
      <c r="Z107" s="6" t="n">
        <f aca="false">P107*(1+F107)</f>
        <v>303767.738902581</v>
      </c>
      <c r="AA107" s="6" t="n">
        <f aca="false">Q107*(1+G107)</f>
        <v>271630.379359201</v>
      </c>
      <c r="AB107" s="6" t="n">
        <f aca="false">R107*(1+H107)</f>
        <v>229327.728510443</v>
      </c>
      <c r="AC107" s="6" t="n">
        <f aca="false">S107*(1+I107)</f>
        <v>192845.360821092</v>
      </c>
      <c r="AD107" s="6" t="n">
        <f aca="false">T107*(1+J107)</f>
        <v>148158.375981234</v>
      </c>
      <c r="AE107" s="6" t="n">
        <f aca="false">U107*(1+K107)</f>
        <v>97347.4759930037</v>
      </c>
      <c r="AF107" s="6" t="n">
        <f aca="false">V107*(1+L107)</f>
        <v>51145.2989183744</v>
      </c>
      <c r="AG107" s="6" t="n">
        <f aca="false">MIN(M107:V107)</f>
        <v>47347.4759930037</v>
      </c>
      <c r="AH107" s="19" t="n">
        <f aca="false">IF(AG107&gt;=0,1,0)</f>
        <v>1</v>
      </c>
    </row>
    <row r="108" customFormat="false" ht="15" hidden="false" customHeight="false" outlineLevel="0" collapsed="false">
      <c r="A108" s="0" t="n">
        <f aca="false">ROW()-1</f>
        <v>107</v>
      </c>
      <c r="B108" s="6" t="n">
        <f aca="false">Assumptions!$B$35</f>
        <v>441263.996662504</v>
      </c>
      <c r="C108" s="8" t="n">
        <f aca="true">NORMINV(RAND(),Assumptions!$B$14,Assumptions!$B$15)</f>
        <v>0.0881136102245629</v>
      </c>
      <c r="D108" s="8" t="n">
        <f aca="true">NORMINV(RAND(),Assumptions!$B$14,Assumptions!$B$15)</f>
        <v>0.0705948878837865</v>
      </c>
      <c r="E108" s="8" t="n">
        <f aca="true">NORMINV(RAND(),Assumptions!$B$14,Assumptions!$B$15)</f>
        <v>-0.0141005289080484</v>
      </c>
      <c r="F108" s="8" t="n">
        <f aca="true">NORMINV(RAND(),Assumptions!$B$14,Assumptions!$B$15)</f>
        <v>0.0626824798295693</v>
      </c>
      <c r="G108" s="8" t="n">
        <f aca="true">NORMINV(RAND(),Assumptions!$B$14,Assumptions!$B$15)</f>
        <v>0.0118334790611866</v>
      </c>
      <c r="H108" s="8" t="n">
        <f aca="true">NORMINV(RAND(),Assumptions!$B$14,Assumptions!$B$15)</f>
        <v>0.0698397771360484</v>
      </c>
      <c r="I108" s="8" t="n">
        <f aca="true">NORMINV(RAND(),Assumptions!$B$14,Assumptions!$B$15)</f>
        <v>0.0726513134859706</v>
      </c>
      <c r="J108" s="8" t="n">
        <f aca="true">NORMINV(RAND(),Assumptions!$B$14,Assumptions!$B$15)</f>
        <v>0.0138924625336319</v>
      </c>
      <c r="K108" s="8" t="n">
        <f aca="true">NORMINV(RAND(),Assumptions!$B$14,Assumptions!$B$15)</f>
        <v>0.0583018058735205</v>
      </c>
      <c r="L108" s="8" t="n">
        <f aca="true">NORMINV(RAND(),Assumptions!$B$14,Assumptions!$B$15)</f>
        <v>0.0268035811127441</v>
      </c>
      <c r="M108" s="6" t="n">
        <f aca="false">B108-Assumptions!$B$29</f>
        <v>391263.996662504</v>
      </c>
      <c r="N108" s="6" t="n">
        <f aca="false">W108-Assumptions!$B$29</f>
        <v>375739.679959328</v>
      </c>
      <c r="O108" s="6" t="n">
        <f aca="false">X108-Assumptions!$B$29</f>
        <v>352264.980539547</v>
      </c>
      <c r="P108" s="6" t="n">
        <f aca="false">Y108-Assumptions!$B$29</f>
        <v>297297.857998156</v>
      </c>
      <c r="Q108" s="6" t="n">
        <f aca="false">Z108-Assumptions!$B$29</f>
        <v>265933.224985499</v>
      </c>
      <c r="R108" s="6" t="n">
        <f aca="false">AA108-Assumptions!$B$29</f>
        <v>219080.140235039</v>
      </c>
      <c r="S108" s="6" t="n">
        <f aca="false">AB108-Assumptions!$B$29</f>
        <v>184380.648403988</v>
      </c>
      <c r="T108" s="6" t="n">
        <f aca="false">AC108-Assumptions!$B$29</f>
        <v>147776.144691933</v>
      </c>
      <c r="U108" s="6" t="n">
        <f aca="false">AD108-Assumptions!$B$29</f>
        <v>99829.1192454303</v>
      </c>
      <c r="V108" s="6" t="n">
        <f aca="false">AE108-Assumptions!$B$29</f>
        <v>55649.3371762019</v>
      </c>
      <c r="W108" s="6" t="n">
        <f aca="false">M108*(1+C108)</f>
        <v>425739.679959328</v>
      </c>
      <c r="X108" s="6" t="n">
        <f aca="false">N108*(1+D108)</f>
        <v>402264.980539547</v>
      </c>
      <c r="Y108" s="6" t="n">
        <f aca="false">O108*(1+E108)</f>
        <v>347297.857998156</v>
      </c>
      <c r="Z108" s="6" t="n">
        <f aca="false">P108*(1+F108)</f>
        <v>315933.224985499</v>
      </c>
      <c r="AA108" s="6" t="n">
        <f aca="false">Q108*(1+G108)</f>
        <v>269080.140235039</v>
      </c>
      <c r="AB108" s="6" t="n">
        <f aca="false">R108*(1+H108)</f>
        <v>234380.648403988</v>
      </c>
      <c r="AC108" s="6" t="n">
        <f aca="false">S108*(1+I108)</f>
        <v>197776.144691933</v>
      </c>
      <c r="AD108" s="6" t="n">
        <f aca="false">T108*(1+J108)</f>
        <v>149829.11924543</v>
      </c>
      <c r="AE108" s="6" t="n">
        <f aca="false">U108*(1+K108)</f>
        <v>105649.337176202</v>
      </c>
      <c r="AF108" s="6" t="n">
        <f aca="false">V108*(1+L108)</f>
        <v>57140.9386990746</v>
      </c>
      <c r="AG108" s="6" t="n">
        <f aca="false">MIN(M108:V108)</f>
        <v>55649.3371762019</v>
      </c>
      <c r="AH108" s="19" t="n">
        <f aca="false">IF(AG108&gt;=0,1,0)</f>
        <v>1</v>
      </c>
    </row>
    <row r="109" customFormat="false" ht="15" hidden="false" customHeight="false" outlineLevel="0" collapsed="false">
      <c r="A109" s="0" t="n">
        <f aca="false">ROW()-1</f>
        <v>108</v>
      </c>
      <c r="B109" s="6" t="n">
        <f aca="false">Assumptions!$B$35</f>
        <v>441263.996662504</v>
      </c>
      <c r="C109" s="8" t="n">
        <f aca="true">NORMINV(RAND(),Assumptions!$B$14,Assumptions!$B$15)</f>
        <v>0.0263893376441412</v>
      </c>
      <c r="D109" s="8" t="n">
        <f aca="true">NORMINV(RAND(),Assumptions!$B$14,Assumptions!$B$15)</f>
        <v>0.0719754399352367</v>
      </c>
      <c r="E109" s="8" t="n">
        <f aca="true">NORMINV(RAND(),Assumptions!$B$14,Assumptions!$B$15)</f>
        <v>0.0374205226433102</v>
      </c>
      <c r="F109" s="8" t="n">
        <f aca="true">NORMINV(RAND(),Assumptions!$B$14,Assumptions!$B$15)</f>
        <v>0.00162806209889133</v>
      </c>
      <c r="G109" s="8" t="n">
        <f aca="true">NORMINV(RAND(),Assumptions!$B$14,Assumptions!$B$15)</f>
        <v>0.0451850483898694</v>
      </c>
      <c r="H109" s="8" t="n">
        <f aca="true">NORMINV(RAND(),Assumptions!$B$14,Assumptions!$B$15)</f>
        <v>-0.0105068129289397</v>
      </c>
      <c r="I109" s="8" t="n">
        <f aca="true">NORMINV(RAND(),Assumptions!$B$14,Assumptions!$B$15)</f>
        <v>-0.00235974159761066</v>
      </c>
      <c r="J109" s="8" t="n">
        <f aca="true">NORMINV(RAND(),Assumptions!$B$14,Assumptions!$B$15)</f>
        <v>0.0632981167167695</v>
      </c>
      <c r="K109" s="8" t="n">
        <f aca="true">NORMINV(RAND(),Assumptions!$B$14,Assumptions!$B$15)</f>
        <v>0.0202270472822232</v>
      </c>
      <c r="L109" s="8" t="n">
        <f aca="true">NORMINV(RAND(),Assumptions!$B$14,Assumptions!$B$15)</f>
        <v>0.0450751850659527</v>
      </c>
      <c r="M109" s="6" t="n">
        <f aca="false">B109-Assumptions!$B$29</f>
        <v>391263.996662504</v>
      </c>
      <c r="N109" s="6" t="n">
        <f aca="false">W109-Assumptions!$B$29</f>
        <v>351589.194378426</v>
      </c>
      <c r="O109" s="6" t="n">
        <f aca="false">X109-Assumptions!$B$29</f>
        <v>326894.981320289</v>
      </c>
      <c r="P109" s="6" t="n">
        <f aca="false">Y109-Assumptions!$B$29</f>
        <v>289127.562370769</v>
      </c>
      <c r="Q109" s="6" t="n">
        <f aca="false">Z109-Assumptions!$B$29</f>
        <v>239598.27999681</v>
      </c>
      <c r="R109" s="6" t="n">
        <f aca="false">AA109-Assumptions!$B$29</f>
        <v>200424.539872596</v>
      </c>
      <c r="S109" s="6" t="n">
        <f aca="false">AB109-Assumptions!$B$29</f>
        <v>148318.716725785</v>
      </c>
      <c r="T109" s="6" t="n">
        <f aca="false">AC109-Assumptions!$B$29</f>
        <v>97968.7228802232</v>
      </c>
      <c r="U109" s="6" t="n">
        <f aca="false">AD109-Assumptions!$B$29</f>
        <v>54169.9585356885</v>
      </c>
      <c r="V109" s="6" t="n">
        <f aca="false">AE109-Assumptions!$B$29</f>
        <v>5265.65684826589</v>
      </c>
      <c r="W109" s="6" t="n">
        <f aca="false">M109*(1+C109)</f>
        <v>401589.194378426</v>
      </c>
      <c r="X109" s="6" t="n">
        <f aca="false">N109*(1+D109)</f>
        <v>376894.981320289</v>
      </c>
      <c r="Y109" s="6" t="n">
        <f aca="false">O109*(1+E109)</f>
        <v>339127.562370769</v>
      </c>
      <c r="Z109" s="6" t="n">
        <f aca="false">P109*(1+F109)</f>
        <v>289598.27999681</v>
      </c>
      <c r="AA109" s="6" t="n">
        <f aca="false">Q109*(1+G109)</f>
        <v>250424.539872596</v>
      </c>
      <c r="AB109" s="6" t="n">
        <f aca="false">R109*(1+H109)</f>
        <v>198318.716725785</v>
      </c>
      <c r="AC109" s="6" t="n">
        <f aca="false">S109*(1+I109)</f>
        <v>147968.722880223</v>
      </c>
      <c r="AD109" s="6" t="n">
        <f aca="false">T109*(1+J109)</f>
        <v>104169.958535688</v>
      </c>
      <c r="AE109" s="6" t="n">
        <f aca="false">U109*(1+K109)</f>
        <v>55265.6568482659</v>
      </c>
      <c r="AF109" s="6" t="n">
        <f aca="false">V109*(1+L109)</f>
        <v>5503.00730519528</v>
      </c>
      <c r="AG109" s="6" t="n">
        <f aca="false">MIN(M109:V109)</f>
        <v>5265.65684826589</v>
      </c>
      <c r="AH109" s="19" t="n">
        <f aca="false">IF(AG109&gt;=0,1,0)</f>
        <v>1</v>
      </c>
    </row>
    <row r="110" customFormat="false" ht="15" hidden="false" customHeight="false" outlineLevel="0" collapsed="false">
      <c r="A110" s="0" t="n">
        <f aca="false">ROW()-1</f>
        <v>109</v>
      </c>
      <c r="B110" s="6" t="n">
        <f aca="false">Assumptions!$B$35</f>
        <v>441263.996662504</v>
      </c>
      <c r="C110" s="8" t="n">
        <f aca="true">NORMINV(RAND(),Assumptions!$B$14,Assumptions!$B$15)</f>
        <v>0.0694720340261829</v>
      </c>
      <c r="D110" s="8" t="n">
        <f aca="true">NORMINV(RAND(),Assumptions!$B$14,Assumptions!$B$15)</f>
        <v>-5.52284499171496E-005</v>
      </c>
      <c r="E110" s="8" t="n">
        <f aca="true">NORMINV(RAND(),Assumptions!$B$14,Assumptions!$B$15)</f>
        <v>0.0868233648577948</v>
      </c>
      <c r="F110" s="8" t="n">
        <f aca="true">NORMINV(RAND(),Assumptions!$B$14,Assumptions!$B$15)</f>
        <v>0.0590191425717054</v>
      </c>
      <c r="G110" s="8" t="n">
        <f aca="true">NORMINV(RAND(),Assumptions!$B$14,Assumptions!$B$15)</f>
        <v>2.79978145815984E-006</v>
      </c>
      <c r="H110" s="8" t="n">
        <f aca="true">NORMINV(RAND(),Assumptions!$B$14,Assumptions!$B$15)</f>
        <v>0.0411609415274877</v>
      </c>
      <c r="I110" s="8" t="n">
        <f aca="true">NORMINV(RAND(),Assumptions!$B$14,Assumptions!$B$15)</f>
        <v>0.0289727191904782</v>
      </c>
      <c r="J110" s="8" t="n">
        <f aca="true">NORMINV(RAND(),Assumptions!$B$14,Assumptions!$B$15)</f>
        <v>0.0120003234809752</v>
      </c>
      <c r="K110" s="8" t="n">
        <f aca="true">NORMINV(RAND(),Assumptions!$B$14,Assumptions!$B$15)</f>
        <v>0.0739503319385821</v>
      </c>
      <c r="L110" s="8" t="n">
        <f aca="true">NORMINV(RAND(),Assumptions!$B$14,Assumptions!$B$15)</f>
        <v>0.024083277032682</v>
      </c>
      <c r="M110" s="6" t="n">
        <f aca="false">B110-Assumptions!$B$29</f>
        <v>391263.996662504</v>
      </c>
      <c r="N110" s="6" t="n">
        <f aca="false">W110-Assumptions!$B$29</f>
        <v>368445.902351861</v>
      </c>
      <c r="O110" s="6" t="n">
        <f aca="false">X110-Assumptions!$B$29</f>
        <v>318425.553655796</v>
      </c>
      <c r="P110" s="6" t="n">
        <f aca="false">Y110-Assumptions!$B$29</f>
        <v>296072.331680899</v>
      </c>
      <c r="Q110" s="6" t="n">
        <f aca="false">Z110-Assumptions!$B$29</f>
        <v>263546.266835911</v>
      </c>
      <c r="R110" s="6" t="n">
        <f aca="false">AA110-Assumptions!$B$29</f>
        <v>213547.004707862</v>
      </c>
      <c r="S110" s="6" t="n">
        <f aca="false">AB110-Assumptions!$B$29</f>
        <v>172336.800482012</v>
      </c>
      <c r="T110" s="6" t="n">
        <f aca="false">AC110-Assumptions!$B$29</f>
        <v>127329.866208563</v>
      </c>
      <c r="U110" s="6" t="n">
        <f aca="false">AD110-Assumptions!$B$29</f>
        <v>78857.8657918553</v>
      </c>
      <c r="V110" s="6" t="n">
        <f aca="false">AE110-Assumptions!$B$29</f>
        <v>34689.4311431311</v>
      </c>
      <c r="W110" s="6" t="n">
        <f aca="false">M110*(1+C110)</f>
        <v>418445.902351861</v>
      </c>
      <c r="X110" s="6" t="n">
        <f aca="false">N110*(1+D110)</f>
        <v>368425.553655796</v>
      </c>
      <c r="Y110" s="6" t="n">
        <f aca="false">O110*(1+E110)</f>
        <v>346072.331680899</v>
      </c>
      <c r="Z110" s="6" t="n">
        <f aca="false">P110*(1+F110)</f>
        <v>313546.266835911</v>
      </c>
      <c r="AA110" s="6" t="n">
        <f aca="false">Q110*(1+G110)</f>
        <v>263547.004707862</v>
      </c>
      <c r="AB110" s="6" t="n">
        <f aca="false">R110*(1+H110)</f>
        <v>222336.800482012</v>
      </c>
      <c r="AC110" s="6" t="n">
        <f aca="false">S110*(1+I110)</f>
        <v>177329.866208563</v>
      </c>
      <c r="AD110" s="6" t="n">
        <f aca="false">T110*(1+J110)</f>
        <v>128857.865791855</v>
      </c>
      <c r="AE110" s="6" t="n">
        <f aca="false">U110*(1+K110)</f>
        <v>84689.4311431311</v>
      </c>
      <c r="AF110" s="6" t="n">
        <f aca="false">V110*(1+L110)</f>
        <v>35524.8663234573</v>
      </c>
      <c r="AG110" s="6" t="n">
        <f aca="false">MIN(M110:V110)</f>
        <v>34689.4311431311</v>
      </c>
      <c r="AH110" s="19" t="n">
        <f aca="false">IF(AG110&gt;=0,1,0)</f>
        <v>1</v>
      </c>
    </row>
    <row r="111" customFormat="false" ht="15" hidden="false" customHeight="false" outlineLevel="0" collapsed="false">
      <c r="A111" s="0" t="n">
        <f aca="false">ROW()-1</f>
        <v>110</v>
      </c>
      <c r="B111" s="6" t="n">
        <f aca="false">Assumptions!$B$35</f>
        <v>441263.996662504</v>
      </c>
      <c r="C111" s="8" t="n">
        <f aca="true">NORMINV(RAND(),Assumptions!$B$14,Assumptions!$B$15)</f>
        <v>0.0556632004533068</v>
      </c>
      <c r="D111" s="8" t="n">
        <f aca="true">NORMINV(RAND(),Assumptions!$B$14,Assumptions!$B$15)</f>
        <v>0.0344683127191596</v>
      </c>
      <c r="E111" s="8" t="n">
        <f aca="true">NORMINV(RAND(),Assumptions!$B$14,Assumptions!$B$15)</f>
        <v>0.0175006838516667</v>
      </c>
      <c r="F111" s="8" t="n">
        <f aca="true">NORMINV(RAND(),Assumptions!$B$14,Assumptions!$B$15)</f>
        <v>0.0241926542135509</v>
      </c>
      <c r="G111" s="8" t="n">
        <f aca="true">NORMINV(RAND(),Assumptions!$B$14,Assumptions!$B$15)</f>
        <v>0.118697978653585</v>
      </c>
      <c r="H111" s="8" t="n">
        <f aca="true">NORMINV(RAND(),Assumptions!$B$14,Assumptions!$B$15)</f>
        <v>0.0625476316732727</v>
      </c>
      <c r="I111" s="8" t="n">
        <f aca="true">NORMINV(RAND(),Assumptions!$B$14,Assumptions!$B$15)</f>
        <v>0.037099960923276</v>
      </c>
      <c r="J111" s="8" t="n">
        <f aca="true">NORMINV(RAND(),Assumptions!$B$14,Assumptions!$B$15)</f>
        <v>0.0532949893397325</v>
      </c>
      <c r="K111" s="8" t="n">
        <f aca="true">NORMINV(RAND(),Assumptions!$B$14,Assumptions!$B$15)</f>
        <v>0.0836961135472838</v>
      </c>
      <c r="L111" s="8" t="n">
        <f aca="true">NORMINV(RAND(),Assumptions!$B$14,Assumptions!$B$15)</f>
        <v>0.0808347641918036</v>
      </c>
      <c r="M111" s="6" t="n">
        <f aca="false">B111-Assumptions!$B$29</f>
        <v>391263.996662504</v>
      </c>
      <c r="N111" s="6" t="n">
        <f aca="false">W111-Assumptions!$B$29</f>
        <v>363043.00293889</v>
      </c>
      <c r="O111" s="6" t="n">
        <f aca="false">X111-Assumptions!$B$29</f>
        <v>325556.482694691</v>
      </c>
      <c r="P111" s="6" t="n">
        <f aca="false">Y111-Assumptions!$B$29</f>
        <v>281253.943774191</v>
      </c>
      <c r="Q111" s="6" t="n">
        <f aca="false">Z111-Assumptions!$B$29</f>
        <v>238058.223182118</v>
      </c>
      <c r="R111" s="6" t="n">
        <f aca="false">AA111-Assumptions!$B$29</f>
        <v>216315.253075699</v>
      </c>
      <c r="S111" s="6" t="n">
        <f aca="false">AB111-Assumptions!$B$29</f>
        <v>179845.259850389</v>
      </c>
      <c r="T111" s="6" t="n">
        <f aca="false">AC111-Assumptions!$B$29</f>
        <v>136517.511963074</v>
      </c>
      <c r="U111" s="6" t="n">
        <f aca="false">AD111-Assumptions!$B$29</f>
        <v>93793.2113078334</v>
      </c>
      <c r="V111" s="6" t="n">
        <f aca="false">AE111-Assumptions!$B$29</f>
        <v>51643.3385714182</v>
      </c>
      <c r="W111" s="6" t="n">
        <f aca="false">M111*(1+C111)</f>
        <v>413043.00293889</v>
      </c>
      <c r="X111" s="6" t="n">
        <f aca="false">N111*(1+D111)</f>
        <v>375556.482694691</v>
      </c>
      <c r="Y111" s="6" t="n">
        <f aca="false">O111*(1+E111)</f>
        <v>331253.943774191</v>
      </c>
      <c r="Z111" s="6" t="n">
        <f aca="false">P111*(1+F111)</f>
        <v>288058.223182118</v>
      </c>
      <c r="AA111" s="6" t="n">
        <f aca="false">Q111*(1+G111)</f>
        <v>266315.253075699</v>
      </c>
      <c r="AB111" s="6" t="n">
        <f aca="false">R111*(1+H111)</f>
        <v>229845.259850389</v>
      </c>
      <c r="AC111" s="6" t="n">
        <f aca="false">S111*(1+I111)</f>
        <v>186517.511963074</v>
      </c>
      <c r="AD111" s="6" t="n">
        <f aca="false">T111*(1+J111)</f>
        <v>143793.211307833</v>
      </c>
      <c r="AE111" s="6" t="n">
        <f aca="false">U111*(1+K111)</f>
        <v>101643.338571418</v>
      </c>
      <c r="AF111" s="6" t="n">
        <f aca="false">V111*(1+L111)</f>
        <v>55817.9156669162</v>
      </c>
      <c r="AG111" s="6" t="n">
        <f aca="false">MIN(M111:V111)</f>
        <v>51643.3385714182</v>
      </c>
      <c r="AH111" s="19" t="n">
        <f aca="false">IF(AG111&gt;=0,1,0)</f>
        <v>1</v>
      </c>
    </row>
    <row r="112" customFormat="false" ht="15" hidden="false" customHeight="false" outlineLevel="0" collapsed="false">
      <c r="A112" s="0" t="n">
        <f aca="false">ROW()-1</f>
        <v>111</v>
      </c>
      <c r="B112" s="6" t="n">
        <f aca="false">Assumptions!$B$35</f>
        <v>441263.996662504</v>
      </c>
      <c r="C112" s="8" t="n">
        <f aca="true">NORMINV(RAND(),Assumptions!$B$14,Assumptions!$B$15)</f>
        <v>-0.0410775090975111</v>
      </c>
      <c r="D112" s="8" t="n">
        <f aca="true">NORMINV(RAND(),Assumptions!$B$14,Assumptions!$B$15)</f>
        <v>0.0829825522967368</v>
      </c>
      <c r="E112" s="8" t="n">
        <f aca="true">NORMINV(RAND(),Assumptions!$B$14,Assumptions!$B$15)</f>
        <v>0.0531618461176007</v>
      </c>
      <c r="F112" s="8" t="n">
        <f aca="true">NORMINV(RAND(),Assumptions!$B$14,Assumptions!$B$15)</f>
        <v>0.052017042823499</v>
      </c>
      <c r="G112" s="8" t="n">
        <f aca="true">NORMINV(RAND(),Assumptions!$B$14,Assumptions!$B$15)</f>
        <v>0.0247452819697113</v>
      </c>
      <c r="H112" s="8" t="n">
        <f aca="true">NORMINV(RAND(),Assumptions!$B$14,Assumptions!$B$15)</f>
        <v>0.067736633519417</v>
      </c>
      <c r="I112" s="8" t="n">
        <f aca="true">NORMINV(RAND(),Assumptions!$B$14,Assumptions!$B$15)</f>
        <v>0.038438102392255</v>
      </c>
      <c r="J112" s="8" t="n">
        <f aca="true">NORMINV(RAND(),Assumptions!$B$14,Assumptions!$B$15)</f>
        <v>0.0494020295547467</v>
      </c>
      <c r="K112" s="8" t="n">
        <f aca="true">NORMINV(RAND(),Assumptions!$B$14,Assumptions!$B$15)</f>
        <v>0.067164018947084</v>
      </c>
      <c r="L112" s="8" t="n">
        <f aca="true">NORMINV(RAND(),Assumptions!$B$14,Assumptions!$B$15)</f>
        <v>0.0914915030899959</v>
      </c>
      <c r="M112" s="6" t="n">
        <f aca="false">B112-Assumptions!$B$29</f>
        <v>391263.996662504</v>
      </c>
      <c r="N112" s="6" t="n">
        <f aca="false">W112-Assumptions!$B$29</f>
        <v>325191.846280071</v>
      </c>
      <c r="O112" s="6" t="n">
        <f aca="false">X112-Assumptions!$B$29</f>
        <v>302177.095670479</v>
      </c>
      <c r="P112" s="6" t="n">
        <f aca="false">Y112-Assumptions!$B$29</f>
        <v>268241.387930777</v>
      </c>
      <c r="Q112" s="6" t="n">
        <f aca="false">Z112-Assumptions!$B$29</f>
        <v>232194.511693807</v>
      </c>
      <c r="R112" s="6" t="n">
        <f aca="false">AA112-Assumptions!$B$29</f>
        <v>187940.23035749</v>
      </c>
      <c r="S112" s="6" t="n">
        <f aca="false">AB112-Assumptions!$B$29</f>
        <v>150670.66886477</v>
      </c>
      <c r="T112" s="6" t="n">
        <f aca="false">AC112-Assumptions!$B$29</f>
        <v>106462.163462103</v>
      </c>
      <c r="U112" s="6" t="n">
        <f aca="false">AD112-Assumptions!$B$29</f>
        <v>61721.6104079204</v>
      </c>
      <c r="V112" s="6" t="n">
        <f aca="false">AE112-Assumptions!$B$29</f>
        <v>15867.0818188025</v>
      </c>
      <c r="W112" s="6" t="n">
        <f aca="false">M112*(1+C112)</f>
        <v>375191.846280071</v>
      </c>
      <c r="X112" s="6" t="n">
        <f aca="false">N112*(1+D112)</f>
        <v>352177.095670479</v>
      </c>
      <c r="Y112" s="6" t="n">
        <f aca="false">O112*(1+E112)</f>
        <v>318241.387930777</v>
      </c>
      <c r="Z112" s="6" t="n">
        <f aca="false">P112*(1+F112)</f>
        <v>282194.511693807</v>
      </c>
      <c r="AA112" s="6" t="n">
        <f aca="false">Q112*(1+G112)</f>
        <v>237940.23035749</v>
      </c>
      <c r="AB112" s="6" t="n">
        <f aca="false">R112*(1+H112)</f>
        <v>200670.66886477</v>
      </c>
      <c r="AC112" s="6" t="n">
        <f aca="false">S112*(1+I112)</f>
        <v>156462.163462103</v>
      </c>
      <c r="AD112" s="6" t="n">
        <f aca="false">T112*(1+J112)</f>
        <v>111721.61040792</v>
      </c>
      <c r="AE112" s="6" t="n">
        <f aca="false">U112*(1+K112)</f>
        <v>65867.0818188025</v>
      </c>
      <c r="AF112" s="6" t="n">
        <f aca="false">V112*(1+L112)</f>
        <v>17318.7849840567</v>
      </c>
      <c r="AG112" s="6" t="n">
        <f aca="false">MIN(M112:V112)</f>
        <v>15867.0818188025</v>
      </c>
      <c r="AH112" s="19" t="n">
        <f aca="false">IF(AG112&gt;=0,1,0)</f>
        <v>1</v>
      </c>
    </row>
    <row r="113" customFormat="false" ht="15" hidden="false" customHeight="false" outlineLevel="0" collapsed="false">
      <c r="A113" s="0" t="n">
        <f aca="false">ROW()-1</f>
        <v>112</v>
      </c>
      <c r="B113" s="6" t="n">
        <f aca="false">Assumptions!$B$35</f>
        <v>441263.996662504</v>
      </c>
      <c r="C113" s="8" t="n">
        <f aca="true">NORMINV(RAND(),Assumptions!$B$14,Assumptions!$B$15)</f>
        <v>0.0555639905161736</v>
      </c>
      <c r="D113" s="8" t="n">
        <f aca="true">NORMINV(RAND(),Assumptions!$B$14,Assumptions!$B$15)</f>
        <v>0.109971506252865</v>
      </c>
      <c r="E113" s="8" t="n">
        <f aca="true">NORMINV(RAND(),Assumptions!$B$14,Assumptions!$B$15)</f>
        <v>0.0445100412992869</v>
      </c>
      <c r="F113" s="8" t="n">
        <f aca="true">NORMINV(RAND(),Assumptions!$B$14,Assumptions!$B$15)</f>
        <v>0.0790850452508341</v>
      </c>
      <c r="G113" s="8" t="n">
        <f aca="true">NORMINV(RAND(),Assumptions!$B$14,Assumptions!$B$15)</f>
        <v>0.0497770153870116</v>
      </c>
      <c r="H113" s="8" t="n">
        <f aca="true">NORMINV(RAND(),Assumptions!$B$14,Assumptions!$B$15)</f>
        <v>0.0344896307636655</v>
      </c>
      <c r="I113" s="8" t="n">
        <f aca="true">NORMINV(RAND(),Assumptions!$B$14,Assumptions!$B$15)</f>
        <v>0.0707149337418243</v>
      </c>
      <c r="J113" s="8" t="n">
        <f aca="true">NORMINV(RAND(),Assumptions!$B$14,Assumptions!$B$15)</f>
        <v>0.0599283505345554</v>
      </c>
      <c r="K113" s="8" t="n">
        <f aca="true">NORMINV(RAND(),Assumptions!$B$14,Assumptions!$B$15)</f>
        <v>0.0414438382419655</v>
      </c>
      <c r="L113" s="8" t="n">
        <f aca="true">NORMINV(RAND(),Assumptions!$B$14,Assumptions!$B$15)</f>
        <v>0.0552095133973831</v>
      </c>
      <c r="M113" s="6" t="n">
        <f aca="false">B113-Assumptions!$B$29</f>
        <v>391263.996662504</v>
      </c>
      <c r="N113" s="6" t="n">
        <f aca="false">W113-Assumptions!$B$29</f>
        <v>363004.185662379</v>
      </c>
      <c r="O113" s="6" t="n">
        <f aca="false">X113-Assumptions!$B$29</f>
        <v>352924.302735765</v>
      </c>
      <c r="P113" s="6" t="n">
        <f aca="false">Y113-Assumptions!$B$29</f>
        <v>318632.978026056</v>
      </c>
      <c r="Q113" s="6" t="n">
        <f aca="false">Z113-Assumptions!$B$29</f>
        <v>293832.081511655</v>
      </c>
      <c r="R113" s="6" t="n">
        <f aca="false">AA113-Assumptions!$B$29</f>
        <v>258458.165554258</v>
      </c>
      <c r="S113" s="6" t="n">
        <f aca="false">AB113-Assumptions!$B$29</f>
        <v>217372.292252079</v>
      </c>
      <c r="T113" s="6" t="n">
        <f aca="false">AC113-Assumptions!$B$29</f>
        <v>182743.759495993</v>
      </c>
      <c r="U113" s="6" t="n">
        <f aca="false">AD113-Assumptions!$B$29</f>
        <v>143695.291573072</v>
      </c>
      <c r="V113" s="6" t="n">
        <f aca="false">AE113-Assumptions!$B$29</f>
        <v>99650.5759931582</v>
      </c>
      <c r="W113" s="6" t="n">
        <f aca="false">M113*(1+C113)</f>
        <v>413004.185662379</v>
      </c>
      <c r="X113" s="6" t="n">
        <f aca="false">N113*(1+D113)</f>
        <v>402924.302735765</v>
      </c>
      <c r="Y113" s="6" t="n">
        <f aca="false">O113*(1+E113)</f>
        <v>368632.978026056</v>
      </c>
      <c r="Z113" s="6" t="n">
        <f aca="false">P113*(1+F113)</f>
        <v>343832.081511655</v>
      </c>
      <c r="AA113" s="6" t="n">
        <f aca="false">Q113*(1+G113)</f>
        <v>308458.165554258</v>
      </c>
      <c r="AB113" s="6" t="n">
        <f aca="false">R113*(1+H113)</f>
        <v>267372.292252079</v>
      </c>
      <c r="AC113" s="6" t="n">
        <f aca="false">S113*(1+I113)</f>
        <v>232743.759495993</v>
      </c>
      <c r="AD113" s="6" t="n">
        <f aca="false">T113*(1+J113)</f>
        <v>193695.291573072</v>
      </c>
      <c r="AE113" s="6" t="n">
        <f aca="false">U113*(1+K113)</f>
        <v>149650.575993158</v>
      </c>
      <c r="AF113" s="6" t="n">
        <f aca="false">V113*(1+L113)</f>
        <v>105152.235803509</v>
      </c>
      <c r="AG113" s="6" t="n">
        <f aca="false">MIN(M113:V113)</f>
        <v>99650.5759931582</v>
      </c>
      <c r="AH113" s="19" t="n">
        <f aca="false">IF(AG113&gt;=0,1,0)</f>
        <v>1</v>
      </c>
    </row>
    <row r="114" customFormat="false" ht="15" hidden="false" customHeight="false" outlineLevel="0" collapsed="false">
      <c r="A114" s="0" t="n">
        <f aca="false">ROW()-1</f>
        <v>113</v>
      </c>
      <c r="B114" s="6" t="n">
        <f aca="false">Assumptions!$B$35</f>
        <v>441263.996662504</v>
      </c>
      <c r="C114" s="8" t="n">
        <f aca="true">NORMINV(RAND(),Assumptions!$B$14,Assumptions!$B$15)</f>
        <v>0.0631400155500395</v>
      </c>
      <c r="D114" s="8" t="n">
        <f aca="true">NORMINV(RAND(),Assumptions!$B$14,Assumptions!$B$15)</f>
        <v>0.0653252164627418</v>
      </c>
      <c r="E114" s="8" t="n">
        <f aca="true">NORMINV(RAND(),Assumptions!$B$14,Assumptions!$B$15)</f>
        <v>-0.0592979444385026</v>
      </c>
      <c r="F114" s="8" t="n">
        <f aca="true">NORMINV(RAND(),Assumptions!$B$14,Assumptions!$B$15)</f>
        <v>0.0657365813077463</v>
      </c>
      <c r="G114" s="8" t="n">
        <f aca="true">NORMINV(RAND(),Assumptions!$B$14,Assumptions!$B$15)</f>
        <v>0.0625515461899837</v>
      </c>
      <c r="H114" s="8" t="n">
        <f aca="true">NORMINV(RAND(),Assumptions!$B$14,Assumptions!$B$15)</f>
        <v>0.0875268953947986</v>
      </c>
      <c r="I114" s="8" t="n">
        <f aca="true">NORMINV(RAND(),Assumptions!$B$14,Assumptions!$B$15)</f>
        <v>0.0563799506957143</v>
      </c>
      <c r="J114" s="8" t="n">
        <f aca="true">NORMINV(RAND(),Assumptions!$B$14,Assumptions!$B$15)</f>
        <v>0.0160367219314198</v>
      </c>
      <c r="K114" s="8" t="n">
        <f aca="true">NORMINV(RAND(),Assumptions!$B$14,Assumptions!$B$15)</f>
        <v>0.0533637365001812</v>
      </c>
      <c r="L114" s="8" t="n">
        <f aca="true">NORMINV(RAND(),Assumptions!$B$14,Assumptions!$B$15)</f>
        <v>0.0375362043859653</v>
      </c>
      <c r="M114" s="6" t="n">
        <f aca="false">B114-Assumptions!$B$29</f>
        <v>391263.996662504</v>
      </c>
      <c r="N114" s="6" t="n">
        <f aca="false">W114-Assumptions!$B$29</f>
        <v>365968.411495945</v>
      </c>
      <c r="O114" s="6" t="n">
        <f aca="false">X114-Assumptions!$B$29</f>
        <v>339875.377195443</v>
      </c>
      <c r="P114" s="6" t="n">
        <f aca="false">Y114-Assumptions!$B$29</f>
        <v>269721.465962492</v>
      </c>
      <c r="Q114" s="6" t="n">
        <f aca="false">Z114-Assumptions!$B$29</f>
        <v>237452.03304018</v>
      </c>
      <c r="R114" s="6" t="n">
        <f aca="false">AA114-Assumptions!$B$29</f>
        <v>202305.024852799</v>
      </c>
      <c r="S114" s="6" t="n">
        <f aca="false">AB114-Assumptions!$B$29</f>
        <v>170012.155600932</v>
      </c>
      <c r="T114" s="6" t="n">
        <f aca="false">AC114-Assumptions!$B$29</f>
        <v>129597.432551384</v>
      </c>
      <c r="U114" s="6" t="n">
        <f aca="false">AD114-Assumptions!$B$29</f>
        <v>81675.7505402369</v>
      </c>
      <c r="V114" s="6" t="n">
        <f aca="false">AE114-Assumptions!$B$29</f>
        <v>36034.2737705207</v>
      </c>
      <c r="W114" s="6" t="n">
        <f aca="false">M114*(1+C114)</f>
        <v>415968.411495945</v>
      </c>
      <c r="X114" s="6" t="n">
        <f aca="false">N114*(1+D114)</f>
        <v>389875.377195443</v>
      </c>
      <c r="Y114" s="6" t="n">
        <f aca="false">O114*(1+E114)</f>
        <v>319721.465962492</v>
      </c>
      <c r="Z114" s="6" t="n">
        <f aca="false">P114*(1+F114)</f>
        <v>287452.03304018</v>
      </c>
      <c r="AA114" s="6" t="n">
        <f aca="false">Q114*(1+G114)</f>
        <v>252305.024852799</v>
      </c>
      <c r="AB114" s="6" t="n">
        <f aca="false">R114*(1+H114)</f>
        <v>220012.155600932</v>
      </c>
      <c r="AC114" s="6" t="n">
        <f aca="false">S114*(1+I114)</f>
        <v>179597.432551384</v>
      </c>
      <c r="AD114" s="6" t="n">
        <f aca="false">T114*(1+J114)</f>
        <v>131675.750540237</v>
      </c>
      <c r="AE114" s="6" t="n">
        <f aca="false">U114*(1+K114)</f>
        <v>86034.2737705207</v>
      </c>
      <c r="AF114" s="6" t="n">
        <f aca="false">V114*(1+L114)</f>
        <v>37386.8636356708</v>
      </c>
      <c r="AG114" s="6" t="n">
        <f aca="false">MIN(M114:V114)</f>
        <v>36034.2737705207</v>
      </c>
      <c r="AH114" s="19" t="n">
        <f aca="false">IF(AG114&gt;=0,1,0)</f>
        <v>1</v>
      </c>
    </row>
    <row r="115" customFormat="false" ht="15" hidden="false" customHeight="false" outlineLevel="0" collapsed="false">
      <c r="A115" s="0" t="n">
        <f aca="false">ROW()-1</f>
        <v>114</v>
      </c>
      <c r="B115" s="6" t="n">
        <f aca="false">Assumptions!$B$35</f>
        <v>441263.996662504</v>
      </c>
      <c r="C115" s="8" t="n">
        <f aca="true">NORMINV(RAND(),Assumptions!$B$14,Assumptions!$B$15)</f>
        <v>0.0987216897793106</v>
      </c>
      <c r="D115" s="8" t="n">
        <f aca="true">NORMINV(RAND(),Assumptions!$B$14,Assumptions!$B$15)</f>
        <v>0.0495981029067602</v>
      </c>
      <c r="E115" s="8" t="n">
        <f aca="true">NORMINV(RAND(),Assumptions!$B$14,Assumptions!$B$15)</f>
        <v>0.0651630111505076</v>
      </c>
      <c r="F115" s="8" t="n">
        <f aca="true">NORMINV(RAND(),Assumptions!$B$14,Assumptions!$B$15)</f>
        <v>0.0236061013228626</v>
      </c>
      <c r="G115" s="8" t="n">
        <f aca="true">NORMINV(RAND(),Assumptions!$B$14,Assumptions!$B$15)</f>
        <v>-0.00214197185602689</v>
      </c>
      <c r="H115" s="8" t="n">
        <f aca="true">NORMINV(RAND(),Assumptions!$B$14,Assumptions!$B$15)</f>
        <v>0.034527366067126</v>
      </c>
      <c r="I115" s="8" t="n">
        <f aca="true">NORMINV(RAND(),Assumptions!$B$14,Assumptions!$B$15)</f>
        <v>0.055842596381689</v>
      </c>
      <c r="J115" s="8" t="n">
        <f aca="true">NORMINV(RAND(),Assumptions!$B$14,Assumptions!$B$15)</f>
        <v>-0.00687933170131601</v>
      </c>
      <c r="K115" s="8" t="n">
        <f aca="true">NORMINV(RAND(),Assumptions!$B$14,Assumptions!$B$15)</f>
        <v>-0.0047431656300973</v>
      </c>
      <c r="L115" s="8" t="n">
        <f aca="true">NORMINV(RAND(),Assumptions!$B$14,Assumptions!$B$15)</f>
        <v>0.0959086793739377</v>
      </c>
      <c r="M115" s="6" t="n">
        <f aca="false">B115-Assumptions!$B$29</f>
        <v>391263.996662504</v>
      </c>
      <c r="N115" s="6" t="n">
        <f aca="false">W115-Assumptions!$B$29</f>
        <v>379890.239562832</v>
      </c>
      <c r="O115" s="6" t="n">
        <f aca="false">X115-Assumptions!$B$29</f>
        <v>348732.074757944</v>
      </c>
      <c r="P115" s="6" t="n">
        <f aca="false">Y115-Assumptions!$B$29</f>
        <v>321456.506833935</v>
      </c>
      <c r="Q115" s="6" t="n">
        <f aca="false">Z115-Assumptions!$B$29</f>
        <v>279044.841705151</v>
      </c>
      <c r="R115" s="6" t="n">
        <f aca="false">AA115-Assumptions!$B$29</f>
        <v>228447.135507649</v>
      </c>
      <c r="S115" s="6" t="n">
        <f aca="false">AB115-Assumptions!$B$29</f>
        <v>186334.813382307</v>
      </c>
      <c r="T115" s="6" t="n">
        <f aca="false">AC115-Assumptions!$B$29</f>
        <v>146740.233157873</v>
      </c>
      <c r="U115" s="6" t="n">
        <f aca="false">AD115-Assumptions!$B$29</f>
        <v>95730.7584200515</v>
      </c>
      <c r="V115" s="6" t="n">
        <f aca="false">AE115-Assumptions!$B$29</f>
        <v>45276.6915769704</v>
      </c>
      <c r="W115" s="6" t="n">
        <f aca="false">M115*(1+C115)</f>
        <v>429890.239562832</v>
      </c>
      <c r="X115" s="6" t="n">
        <f aca="false">N115*(1+D115)</f>
        <v>398732.074757944</v>
      </c>
      <c r="Y115" s="6" t="n">
        <f aca="false">O115*(1+E115)</f>
        <v>371456.506833935</v>
      </c>
      <c r="Z115" s="6" t="n">
        <f aca="false">P115*(1+F115)</f>
        <v>329044.841705151</v>
      </c>
      <c r="AA115" s="6" t="n">
        <f aca="false">Q115*(1+G115)</f>
        <v>278447.135507649</v>
      </c>
      <c r="AB115" s="6" t="n">
        <f aca="false">R115*(1+H115)</f>
        <v>236334.813382307</v>
      </c>
      <c r="AC115" s="6" t="n">
        <f aca="false">S115*(1+I115)</f>
        <v>196740.233157873</v>
      </c>
      <c r="AD115" s="6" t="n">
        <f aca="false">T115*(1+J115)</f>
        <v>145730.758420052</v>
      </c>
      <c r="AE115" s="6" t="n">
        <f aca="false">U115*(1+K115)</f>
        <v>95276.6915769704</v>
      </c>
      <c r="AF115" s="6" t="n">
        <f aca="false">V115*(1+L115)</f>
        <v>49619.1192725387</v>
      </c>
      <c r="AG115" s="6" t="n">
        <f aca="false">MIN(M115:V115)</f>
        <v>45276.6915769704</v>
      </c>
      <c r="AH115" s="19" t="n">
        <f aca="false">IF(AG115&gt;=0,1,0)</f>
        <v>1</v>
      </c>
    </row>
    <row r="116" customFormat="false" ht="15" hidden="false" customHeight="false" outlineLevel="0" collapsed="false">
      <c r="A116" s="0" t="n">
        <f aca="false">ROW()-1</f>
        <v>115</v>
      </c>
      <c r="B116" s="6" t="n">
        <f aca="false">Assumptions!$B$35</f>
        <v>441263.996662504</v>
      </c>
      <c r="C116" s="8" t="n">
        <f aca="true">NORMINV(RAND(),Assumptions!$B$14,Assumptions!$B$15)</f>
        <v>0.0572579110859291</v>
      </c>
      <c r="D116" s="8" t="n">
        <f aca="true">NORMINV(RAND(),Assumptions!$B$14,Assumptions!$B$15)</f>
        <v>0.0251551059939677</v>
      </c>
      <c r="E116" s="8" t="n">
        <f aca="true">NORMINV(RAND(),Assumptions!$B$14,Assumptions!$B$15)</f>
        <v>0.0162806791687727</v>
      </c>
      <c r="F116" s="8" t="n">
        <f aca="true">NORMINV(RAND(),Assumptions!$B$14,Assumptions!$B$15)</f>
        <v>0.0804010780584526</v>
      </c>
      <c r="G116" s="8" t="n">
        <f aca="true">NORMINV(RAND(),Assumptions!$B$14,Assumptions!$B$15)</f>
        <v>0.0853719453266988</v>
      </c>
      <c r="H116" s="8" t="n">
        <f aca="true">NORMINV(RAND(),Assumptions!$B$14,Assumptions!$B$15)</f>
        <v>0.0598842840699408</v>
      </c>
      <c r="I116" s="8" t="n">
        <f aca="true">NORMINV(RAND(),Assumptions!$B$14,Assumptions!$B$15)</f>
        <v>0.0411372668170421</v>
      </c>
      <c r="J116" s="8" t="n">
        <f aca="true">NORMINV(RAND(),Assumptions!$B$14,Assumptions!$B$15)</f>
        <v>0.00774523976613509</v>
      </c>
      <c r="K116" s="8" t="n">
        <f aca="true">NORMINV(RAND(),Assumptions!$B$14,Assumptions!$B$15)</f>
        <v>0.0501789219108101</v>
      </c>
      <c r="L116" s="8" t="n">
        <f aca="true">NORMINV(RAND(),Assumptions!$B$14,Assumptions!$B$15)</f>
        <v>0.0157947498854184</v>
      </c>
      <c r="M116" s="6" t="n">
        <f aca="false">B116-Assumptions!$B$29</f>
        <v>391263.996662504</v>
      </c>
      <c r="N116" s="6" t="n">
        <f aca="false">W116-Assumptions!$B$29</f>
        <v>363666.95579453</v>
      </c>
      <c r="O116" s="6" t="n">
        <f aca="false">X116-Assumptions!$B$29</f>
        <v>322815.036614045</v>
      </c>
      <c r="P116" s="6" t="n">
        <f aca="false">Y116-Assumptions!$B$29</f>
        <v>278070.684656014</v>
      </c>
      <c r="Q116" s="6" t="n">
        <f aca="false">Z116-Assumptions!$B$29</f>
        <v>250427.86747881</v>
      </c>
      <c r="R116" s="6" t="n">
        <f aca="false">AA116-Assumptions!$B$29</f>
        <v>221807.381689492</v>
      </c>
      <c r="S116" s="6" t="n">
        <f aca="false">AB116-Assumptions!$B$29</f>
        <v>185090.157943396</v>
      </c>
      <c r="T116" s="6" t="n">
        <f aca="false">AC116-Assumptions!$B$29</f>
        <v>142704.261155922</v>
      </c>
      <c r="U116" s="6" t="n">
        <f aca="false">AD116-Assumptions!$B$29</f>
        <v>93809.5398742235</v>
      </c>
      <c r="V116" s="6" t="n">
        <f aca="false">AE116-Assumptions!$B$29</f>
        <v>48516.8014500612</v>
      </c>
      <c r="W116" s="6" t="n">
        <f aca="false">M116*(1+C116)</f>
        <v>413666.95579453</v>
      </c>
      <c r="X116" s="6" t="n">
        <f aca="false">N116*(1+D116)</f>
        <v>372815.036614045</v>
      </c>
      <c r="Y116" s="6" t="n">
        <f aca="false">O116*(1+E116)</f>
        <v>328070.684656014</v>
      </c>
      <c r="Z116" s="6" t="n">
        <f aca="false">P116*(1+F116)</f>
        <v>300427.86747881</v>
      </c>
      <c r="AA116" s="6" t="n">
        <f aca="false">Q116*(1+G116)</f>
        <v>271807.381689492</v>
      </c>
      <c r="AB116" s="6" t="n">
        <f aca="false">R116*(1+H116)</f>
        <v>235090.157943396</v>
      </c>
      <c r="AC116" s="6" t="n">
        <f aca="false">S116*(1+I116)</f>
        <v>192704.261155922</v>
      </c>
      <c r="AD116" s="6" t="n">
        <f aca="false">T116*(1+J116)</f>
        <v>143809.539874224</v>
      </c>
      <c r="AE116" s="6" t="n">
        <f aca="false">U116*(1+K116)</f>
        <v>98516.8014500612</v>
      </c>
      <c r="AF116" s="6" t="n">
        <f aca="false">V116*(1+L116)</f>
        <v>49283.1121942054</v>
      </c>
      <c r="AG116" s="6" t="n">
        <f aca="false">MIN(M116:V116)</f>
        <v>48516.8014500612</v>
      </c>
      <c r="AH116" s="19" t="n">
        <f aca="false">IF(AG116&gt;=0,1,0)</f>
        <v>1</v>
      </c>
    </row>
    <row r="117" customFormat="false" ht="15" hidden="false" customHeight="false" outlineLevel="0" collapsed="false">
      <c r="A117" s="0" t="n">
        <f aca="false">ROW()-1</f>
        <v>116</v>
      </c>
      <c r="B117" s="6" t="n">
        <f aca="false">Assumptions!$B$35</f>
        <v>441263.996662504</v>
      </c>
      <c r="C117" s="8" t="n">
        <f aca="true">NORMINV(RAND(),Assumptions!$B$14,Assumptions!$B$15)</f>
        <v>-5.71769491629764E-005</v>
      </c>
      <c r="D117" s="8" t="n">
        <f aca="true">NORMINV(RAND(),Assumptions!$B$14,Assumptions!$B$15)</f>
        <v>0.0387038092068369</v>
      </c>
      <c r="E117" s="8" t="n">
        <f aca="true">NORMINV(RAND(),Assumptions!$B$14,Assumptions!$B$15)</f>
        <v>0.0305964620834202</v>
      </c>
      <c r="F117" s="8" t="n">
        <f aca="true">NORMINV(RAND(),Assumptions!$B$14,Assumptions!$B$15)</f>
        <v>0.0458853048640584</v>
      </c>
      <c r="G117" s="8" t="n">
        <f aca="true">NORMINV(RAND(),Assumptions!$B$14,Assumptions!$B$15)</f>
        <v>0.0999829602766951</v>
      </c>
      <c r="H117" s="8" t="n">
        <f aca="true">NORMINV(RAND(),Assumptions!$B$14,Assumptions!$B$15)</f>
        <v>0.052512080753603</v>
      </c>
      <c r="I117" s="8" t="n">
        <f aca="true">NORMINV(RAND(),Assumptions!$B$14,Assumptions!$B$15)</f>
        <v>0.0651076681163544</v>
      </c>
      <c r="J117" s="8" t="n">
        <f aca="true">NORMINV(RAND(),Assumptions!$B$14,Assumptions!$B$15)</f>
        <v>0.0473177179008915</v>
      </c>
      <c r="K117" s="8" t="n">
        <f aca="true">NORMINV(RAND(),Assumptions!$B$14,Assumptions!$B$15)</f>
        <v>0.0337423978244026</v>
      </c>
      <c r="L117" s="8" t="n">
        <f aca="true">NORMINV(RAND(),Assumptions!$B$14,Assumptions!$B$15)</f>
        <v>0.0739282437842031</v>
      </c>
      <c r="M117" s="6" t="n">
        <f aca="false">B117-Assumptions!$B$29</f>
        <v>391263.996662504</v>
      </c>
      <c r="N117" s="6" t="n">
        <f aca="false">W117-Assumptions!$B$29</f>
        <v>341241.625380857</v>
      </c>
      <c r="O117" s="6" t="n">
        <f aca="false">X117-Assumptions!$B$29</f>
        <v>304448.976143029</v>
      </c>
      <c r="P117" s="6" t="n">
        <f aca="false">Y117-Assumptions!$B$29</f>
        <v>263764.037697925</v>
      </c>
      <c r="Q117" s="6" t="n">
        <f aca="false">Z117-Assumptions!$B$29</f>
        <v>225866.930979869</v>
      </c>
      <c r="R117" s="6" t="n">
        <f aca="false">AA117-Assumptions!$B$29</f>
        <v>198449.775367848</v>
      </c>
      <c r="S117" s="6" t="n">
        <f aca="false">AB117-Assumptions!$B$29</f>
        <v>158870.785997499</v>
      </c>
      <c r="T117" s="6" t="n">
        <f aca="false">AC117-Assumptions!$B$29</f>
        <v>119214.492405609</v>
      </c>
      <c r="U117" s="6" t="n">
        <f aca="false">AD117-Assumptions!$B$29</f>
        <v>74855.4501269554</v>
      </c>
      <c r="V117" s="6" t="n">
        <f aca="false">AE117-Assumptions!$B$29</f>
        <v>27381.2525044638</v>
      </c>
      <c r="W117" s="6" t="n">
        <f aca="false">M117*(1+C117)</f>
        <v>391241.625380857</v>
      </c>
      <c r="X117" s="6" t="n">
        <f aca="false">N117*(1+D117)</f>
        <v>354448.976143029</v>
      </c>
      <c r="Y117" s="6" t="n">
        <f aca="false">O117*(1+E117)</f>
        <v>313764.037697925</v>
      </c>
      <c r="Z117" s="6" t="n">
        <f aca="false">P117*(1+F117)</f>
        <v>275866.930979869</v>
      </c>
      <c r="AA117" s="6" t="n">
        <f aca="false">Q117*(1+G117)</f>
        <v>248449.775367848</v>
      </c>
      <c r="AB117" s="6" t="n">
        <f aca="false">R117*(1+H117)</f>
        <v>208870.785997499</v>
      </c>
      <c r="AC117" s="6" t="n">
        <f aca="false">S117*(1+I117)</f>
        <v>169214.492405609</v>
      </c>
      <c r="AD117" s="6" t="n">
        <f aca="false">T117*(1+J117)</f>
        <v>124855.450126955</v>
      </c>
      <c r="AE117" s="6" t="n">
        <f aca="false">U117*(1+K117)</f>
        <v>77381.2525044638</v>
      </c>
      <c r="AF117" s="6" t="n">
        <f aca="false">V117*(1+L117)</f>
        <v>29405.5004147306</v>
      </c>
      <c r="AG117" s="6" t="n">
        <f aca="false">MIN(M117:V117)</f>
        <v>27381.2525044638</v>
      </c>
      <c r="AH117" s="19" t="n">
        <f aca="false">IF(AG117&gt;=0,1,0)</f>
        <v>1</v>
      </c>
    </row>
    <row r="118" customFormat="false" ht="15" hidden="false" customHeight="false" outlineLevel="0" collapsed="false">
      <c r="A118" s="0" t="n">
        <f aca="false">ROW()-1</f>
        <v>117</v>
      </c>
      <c r="B118" s="6" t="n">
        <f aca="false">Assumptions!$B$35</f>
        <v>441263.996662504</v>
      </c>
      <c r="C118" s="8" t="n">
        <f aca="true">NORMINV(RAND(),Assumptions!$B$14,Assumptions!$B$15)</f>
        <v>-0.00927610322910547</v>
      </c>
      <c r="D118" s="8" t="n">
        <f aca="true">NORMINV(RAND(),Assumptions!$B$14,Assumptions!$B$15)</f>
        <v>0.0500166499620107</v>
      </c>
      <c r="E118" s="8" t="n">
        <f aca="true">NORMINV(RAND(),Assumptions!$B$14,Assumptions!$B$15)</f>
        <v>0.0678661478724549</v>
      </c>
      <c r="F118" s="8" t="n">
        <f aca="true">NORMINV(RAND(),Assumptions!$B$14,Assumptions!$B$15)</f>
        <v>0.0205922936593579</v>
      </c>
      <c r="G118" s="8" t="n">
        <f aca="true">NORMINV(RAND(),Assumptions!$B$14,Assumptions!$B$15)</f>
        <v>0.011136271541404</v>
      </c>
      <c r="H118" s="8" t="n">
        <f aca="true">NORMINV(RAND(),Assumptions!$B$14,Assumptions!$B$15)</f>
        <v>0.0756327335006366</v>
      </c>
      <c r="I118" s="8" t="n">
        <f aca="true">NORMINV(RAND(),Assumptions!$B$14,Assumptions!$B$15)</f>
        <v>0.0530056207328992</v>
      </c>
      <c r="J118" s="8" t="n">
        <f aca="true">NORMINV(RAND(),Assumptions!$B$14,Assumptions!$B$15)</f>
        <v>0.0533359181043147</v>
      </c>
      <c r="K118" s="8" t="n">
        <f aca="true">NORMINV(RAND(),Assumptions!$B$14,Assumptions!$B$15)</f>
        <v>0.0242286558978293</v>
      </c>
      <c r="L118" s="8" t="n">
        <f aca="true">NORMINV(RAND(),Assumptions!$B$14,Assumptions!$B$15)</f>
        <v>-0.0293214498315523</v>
      </c>
      <c r="M118" s="6" t="n">
        <f aca="false">B118-Assumptions!$B$29</f>
        <v>391263.996662504</v>
      </c>
      <c r="N118" s="6" t="n">
        <f aca="false">W118-Assumptions!$B$29</f>
        <v>337634.59143963</v>
      </c>
      <c r="O118" s="6" t="n">
        <f aca="false">X118-Assumptions!$B$29</f>
        <v>304521.942614732</v>
      </c>
      <c r="P118" s="6" t="n">
        <f aca="false">Y118-Assumptions!$B$29</f>
        <v>275188.673802631</v>
      </c>
      <c r="Q118" s="6" t="n">
        <f aca="false">Z118-Assumptions!$B$29</f>
        <v>230855.439785304</v>
      </c>
      <c r="R118" s="6" t="n">
        <f aca="false">AA118-Assumptions!$B$29</f>
        <v>183426.308649563</v>
      </c>
      <c r="S118" s="6" t="n">
        <f aca="false">AB118-Assumptions!$B$29</f>
        <v>147299.341768661</v>
      </c>
      <c r="T118" s="6" t="n">
        <f aca="false">AC118-Assumptions!$B$29</f>
        <v>105107.034812657</v>
      </c>
      <c r="U118" s="6" t="n">
        <f aca="false">AD118-Assumptions!$B$29</f>
        <v>60713.0150136119</v>
      </c>
      <c r="V118" s="6" t="n">
        <f aca="false">AE118-Assumptions!$B$29</f>
        <v>12184.0097628964</v>
      </c>
      <c r="W118" s="6" t="n">
        <f aca="false">M118*(1+C118)</f>
        <v>387634.59143963</v>
      </c>
      <c r="X118" s="6" t="n">
        <f aca="false">N118*(1+D118)</f>
        <v>354521.942614732</v>
      </c>
      <c r="Y118" s="6" t="n">
        <f aca="false">O118*(1+E118)</f>
        <v>325188.673802631</v>
      </c>
      <c r="Z118" s="6" t="n">
        <f aca="false">P118*(1+F118)</f>
        <v>280855.439785304</v>
      </c>
      <c r="AA118" s="6" t="n">
        <f aca="false">Q118*(1+G118)</f>
        <v>233426.308649563</v>
      </c>
      <c r="AB118" s="6" t="n">
        <f aca="false">R118*(1+H118)</f>
        <v>197299.341768661</v>
      </c>
      <c r="AC118" s="6" t="n">
        <f aca="false">S118*(1+I118)</f>
        <v>155107.034812657</v>
      </c>
      <c r="AD118" s="6" t="n">
        <f aca="false">T118*(1+J118)</f>
        <v>110713.015013612</v>
      </c>
      <c r="AE118" s="6" t="n">
        <f aca="false">U118*(1+K118)</f>
        <v>62184.0097628964</v>
      </c>
      <c r="AF118" s="6" t="n">
        <f aca="false">V118*(1+L118)</f>
        <v>11826.7569318865</v>
      </c>
      <c r="AG118" s="6" t="n">
        <f aca="false">MIN(M118:V118)</f>
        <v>12184.0097628964</v>
      </c>
      <c r="AH118" s="19" t="n">
        <f aca="false">IF(AG118&gt;=0,1,0)</f>
        <v>1</v>
      </c>
    </row>
    <row r="119" customFormat="false" ht="15" hidden="false" customHeight="false" outlineLevel="0" collapsed="false">
      <c r="A119" s="0" t="n">
        <f aca="false">ROW()-1</f>
        <v>118</v>
      </c>
      <c r="B119" s="6" t="n">
        <f aca="false">Assumptions!$B$35</f>
        <v>441263.996662504</v>
      </c>
      <c r="C119" s="8" t="n">
        <f aca="true">NORMINV(RAND(),Assumptions!$B$14,Assumptions!$B$15)</f>
        <v>0.0519275429863903</v>
      </c>
      <c r="D119" s="8" t="n">
        <f aca="true">NORMINV(RAND(),Assumptions!$B$14,Assumptions!$B$15)</f>
        <v>0.0141233415141394</v>
      </c>
      <c r="E119" s="8" t="n">
        <f aca="true">NORMINV(RAND(),Assumptions!$B$14,Assumptions!$B$15)</f>
        <v>0.0398219538927738</v>
      </c>
      <c r="F119" s="8" t="n">
        <f aca="true">NORMINV(RAND(),Assumptions!$B$14,Assumptions!$B$15)</f>
        <v>0.0347225229207906</v>
      </c>
      <c r="G119" s="8" t="n">
        <f aca="true">NORMINV(RAND(),Assumptions!$B$14,Assumptions!$B$15)</f>
        <v>0.00490853587002308</v>
      </c>
      <c r="H119" s="8" t="n">
        <f aca="true">NORMINV(RAND(),Assumptions!$B$14,Assumptions!$B$15)</f>
        <v>0.0156123574740934</v>
      </c>
      <c r="I119" s="8" t="n">
        <f aca="true">NORMINV(RAND(),Assumptions!$B$14,Assumptions!$B$15)</f>
        <v>0.0754194474775696</v>
      </c>
      <c r="J119" s="8" t="n">
        <f aca="true">NORMINV(RAND(),Assumptions!$B$14,Assumptions!$B$15)</f>
        <v>0.0489983629350896</v>
      </c>
      <c r="K119" s="8" t="n">
        <f aca="true">NORMINV(RAND(),Assumptions!$B$14,Assumptions!$B$15)</f>
        <v>0.0137716492819645</v>
      </c>
      <c r="L119" s="8" t="n">
        <f aca="true">NORMINV(RAND(),Assumptions!$B$14,Assumptions!$B$15)</f>
        <v>0.0808034610527778</v>
      </c>
      <c r="M119" s="6" t="n">
        <f aca="false">B119-Assumptions!$B$29</f>
        <v>391263.996662504</v>
      </c>
      <c r="N119" s="6" t="n">
        <f aca="false">W119-Assumptions!$B$29</f>
        <v>361581.374668223</v>
      </c>
      <c r="O119" s="6" t="n">
        <f aca="false">X119-Assumptions!$B$29</f>
        <v>316688.111907814</v>
      </c>
      <c r="P119" s="6" t="n">
        <f aca="false">Y119-Assumptions!$B$29</f>
        <v>279299.251298597</v>
      </c>
      <c r="Q119" s="6" t="n">
        <f aca="false">Z119-Assumptions!$B$29</f>
        <v>238997.225953572</v>
      </c>
      <c r="R119" s="6" t="n">
        <f aca="false">AA119-Assumptions!$B$29</f>
        <v>190170.352410001</v>
      </c>
      <c r="S119" s="6" t="n">
        <f aca="false">AB119-Assumptions!$B$29</f>
        <v>143139.3599328</v>
      </c>
      <c r="T119" s="6" t="n">
        <f aca="false">AC119-Assumptions!$B$29</f>
        <v>103934.851371225</v>
      </c>
      <c r="U119" s="6" t="n">
        <f aca="false">AD119-Assumptions!$B$29</f>
        <v>59027.4889403167</v>
      </c>
      <c r="V119" s="6" t="n">
        <f aca="false">AE119-Assumptions!$B$29</f>
        <v>9840.39481599773</v>
      </c>
      <c r="W119" s="6" t="n">
        <f aca="false">M119*(1+C119)</f>
        <v>411581.374668223</v>
      </c>
      <c r="X119" s="6" t="n">
        <f aca="false">N119*(1+D119)</f>
        <v>366688.111907814</v>
      </c>
      <c r="Y119" s="6" t="n">
        <f aca="false">O119*(1+E119)</f>
        <v>329299.251298597</v>
      </c>
      <c r="Z119" s="6" t="n">
        <f aca="false">P119*(1+F119)</f>
        <v>288997.225953572</v>
      </c>
      <c r="AA119" s="6" t="n">
        <f aca="false">Q119*(1+G119)</f>
        <v>240170.352410001</v>
      </c>
      <c r="AB119" s="6" t="n">
        <f aca="false">R119*(1+H119)</f>
        <v>193139.3599328</v>
      </c>
      <c r="AC119" s="6" t="n">
        <f aca="false">S119*(1+I119)</f>
        <v>153934.851371225</v>
      </c>
      <c r="AD119" s="6" t="n">
        <f aca="false">T119*(1+J119)</f>
        <v>109027.488940317</v>
      </c>
      <c r="AE119" s="6" t="n">
        <f aca="false">U119*(1+K119)</f>
        <v>59840.3948159977</v>
      </c>
      <c r="AF119" s="6" t="n">
        <f aca="false">V119*(1+L119)</f>
        <v>10635.5327752562</v>
      </c>
      <c r="AG119" s="6" t="n">
        <f aca="false">MIN(M119:V119)</f>
        <v>9840.39481599773</v>
      </c>
      <c r="AH119" s="19" t="n">
        <f aca="false">IF(AG119&gt;=0,1,0)</f>
        <v>1</v>
      </c>
    </row>
    <row r="120" customFormat="false" ht="15" hidden="false" customHeight="false" outlineLevel="0" collapsed="false">
      <c r="A120" s="0" t="n">
        <f aca="false">ROW()-1</f>
        <v>119</v>
      </c>
      <c r="B120" s="6" t="n">
        <f aca="false">Assumptions!$B$35</f>
        <v>441263.996662504</v>
      </c>
      <c r="C120" s="8" t="n">
        <f aca="true">NORMINV(RAND(),Assumptions!$B$14,Assumptions!$B$15)</f>
        <v>0.0322395970176575</v>
      </c>
      <c r="D120" s="8" t="n">
        <f aca="true">NORMINV(RAND(),Assumptions!$B$14,Assumptions!$B$15)</f>
        <v>0.114489303165967</v>
      </c>
      <c r="E120" s="8" t="n">
        <f aca="true">NORMINV(RAND(),Assumptions!$B$14,Assumptions!$B$15)</f>
        <v>0.105027506766921</v>
      </c>
      <c r="F120" s="8" t="n">
        <f aca="true">NORMINV(RAND(),Assumptions!$B$14,Assumptions!$B$15)</f>
        <v>0.019589595273302</v>
      </c>
      <c r="G120" s="8" t="n">
        <f aca="true">NORMINV(RAND(),Assumptions!$B$14,Assumptions!$B$15)</f>
        <v>0.0451346230572162</v>
      </c>
      <c r="H120" s="8" t="n">
        <f aca="true">NORMINV(RAND(),Assumptions!$B$14,Assumptions!$B$15)</f>
        <v>0.0283453380573056</v>
      </c>
      <c r="I120" s="8" t="n">
        <f aca="true">NORMINV(RAND(),Assumptions!$B$14,Assumptions!$B$15)</f>
        <v>0.126827336641112</v>
      </c>
      <c r="J120" s="8" t="n">
        <f aca="true">NORMINV(RAND(),Assumptions!$B$14,Assumptions!$B$15)</f>
        <v>-0.00507611614225712</v>
      </c>
      <c r="K120" s="8" t="n">
        <f aca="true">NORMINV(RAND(),Assumptions!$B$14,Assumptions!$B$15)</f>
        <v>0.0549367384840078</v>
      </c>
      <c r="L120" s="8" t="n">
        <f aca="true">NORMINV(RAND(),Assumptions!$B$14,Assumptions!$B$15)</f>
        <v>0.0430515501296749</v>
      </c>
      <c r="M120" s="6" t="n">
        <f aca="false">B120-Assumptions!$B$29</f>
        <v>391263.996662504</v>
      </c>
      <c r="N120" s="6" t="n">
        <f aca="false">W120-Assumptions!$B$29</f>
        <v>353878.190242421</v>
      </c>
      <c r="O120" s="6" t="n">
        <f aca="false">X120-Assumptions!$B$29</f>
        <v>344393.457648909</v>
      </c>
      <c r="P120" s="6" t="n">
        <f aca="false">Y120-Assumptions!$B$29</f>
        <v>330564.243852613</v>
      </c>
      <c r="Q120" s="6" t="n">
        <f aca="false">Z120-Assumptions!$B$29</f>
        <v>287039.863601511</v>
      </c>
      <c r="R120" s="6" t="n">
        <f aca="false">AA120-Assumptions!$B$29</f>
        <v>249995.29964756</v>
      </c>
      <c r="S120" s="6" t="n">
        <f aca="false">AB120-Assumptions!$B$29</f>
        <v>207081.500928807</v>
      </c>
      <c r="T120" s="6" t="n">
        <f aca="false">AC120-Assumptions!$B$29</f>
        <v>183345.096159252</v>
      </c>
      <c r="U120" s="6" t="n">
        <f aca="false">AD120-Assumptions!$B$29</f>
        <v>132414.415157034</v>
      </c>
      <c r="V120" s="6" t="n">
        <f aca="false">AE120-Assumptions!$B$29</f>
        <v>89688.8312540287</v>
      </c>
      <c r="W120" s="6" t="n">
        <f aca="false">M120*(1+C120)</f>
        <v>403878.190242421</v>
      </c>
      <c r="X120" s="6" t="n">
        <f aca="false">N120*(1+D120)</f>
        <v>394393.457648909</v>
      </c>
      <c r="Y120" s="6" t="n">
        <f aca="false">O120*(1+E120)</f>
        <v>380564.243852613</v>
      </c>
      <c r="Z120" s="6" t="n">
        <f aca="false">P120*(1+F120)</f>
        <v>337039.863601511</v>
      </c>
      <c r="AA120" s="6" t="n">
        <f aca="false">Q120*(1+G120)</f>
        <v>299995.29964756</v>
      </c>
      <c r="AB120" s="6" t="n">
        <f aca="false">R120*(1+H120)</f>
        <v>257081.500928807</v>
      </c>
      <c r="AC120" s="6" t="n">
        <f aca="false">S120*(1+I120)</f>
        <v>233345.096159252</v>
      </c>
      <c r="AD120" s="6" t="n">
        <f aca="false">T120*(1+J120)</f>
        <v>182414.415157034</v>
      </c>
      <c r="AE120" s="6" t="n">
        <f aca="false">U120*(1+K120)</f>
        <v>139688.831254029</v>
      </c>
      <c r="AF120" s="6" t="n">
        <f aca="false">V120*(1+L120)</f>
        <v>93550.0744688335</v>
      </c>
      <c r="AG120" s="6" t="n">
        <f aca="false">MIN(M120:V120)</f>
        <v>89688.8312540287</v>
      </c>
      <c r="AH120" s="19" t="n">
        <f aca="false">IF(AG120&gt;=0,1,0)</f>
        <v>1</v>
      </c>
    </row>
    <row r="121" customFormat="false" ht="15" hidden="false" customHeight="false" outlineLevel="0" collapsed="false">
      <c r="A121" s="0" t="n">
        <f aca="false">ROW()-1</f>
        <v>120</v>
      </c>
      <c r="B121" s="6" t="n">
        <f aca="false">Assumptions!$B$35</f>
        <v>441263.996662504</v>
      </c>
      <c r="C121" s="8" t="n">
        <f aca="true">NORMINV(RAND(),Assumptions!$B$14,Assumptions!$B$15)</f>
        <v>0.124692670571573</v>
      </c>
      <c r="D121" s="8" t="n">
        <f aca="true">NORMINV(RAND(),Assumptions!$B$14,Assumptions!$B$15)</f>
        <v>0.0557311812206955</v>
      </c>
      <c r="E121" s="8" t="n">
        <f aca="true">NORMINV(RAND(),Assumptions!$B$14,Assumptions!$B$15)</f>
        <v>0.0982827166393175</v>
      </c>
      <c r="F121" s="8" t="n">
        <f aca="true">NORMINV(RAND(),Assumptions!$B$14,Assumptions!$B$15)</f>
        <v>0.0630322658485155</v>
      </c>
      <c r="G121" s="8" t="n">
        <f aca="true">NORMINV(RAND(),Assumptions!$B$14,Assumptions!$B$15)</f>
        <v>0.0577187897739127</v>
      </c>
      <c r="H121" s="8" t="n">
        <f aca="true">NORMINV(RAND(),Assumptions!$B$14,Assumptions!$B$15)</f>
        <v>0.0257738965487832</v>
      </c>
      <c r="I121" s="8" t="n">
        <f aca="true">NORMINV(RAND(),Assumptions!$B$14,Assumptions!$B$15)</f>
        <v>0.0360518431582901</v>
      </c>
      <c r="J121" s="8" t="n">
        <f aca="true">NORMINV(RAND(),Assumptions!$B$14,Assumptions!$B$15)</f>
        <v>0.0366332402916229</v>
      </c>
      <c r="K121" s="8" t="n">
        <f aca="true">NORMINV(RAND(),Assumptions!$B$14,Assumptions!$B$15)</f>
        <v>0.0532786327516428</v>
      </c>
      <c r="L121" s="8" t="n">
        <f aca="true">NORMINV(RAND(),Assumptions!$B$14,Assumptions!$B$15)</f>
        <v>0.0690877175641955</v>
      </c>
      <c r="M121" s="6" t="n">
        <f aca="false">B121-Assumptions!$B$29</f>
        <v>391263.996662504</v>
      </c>
      <c r="N121" s="6" t="n">
        <f aca="false">W121-Assumptions!$B$29</f>
        <v>390051.749304858</v>
      </c>
      <c r="O121" s="6" t="n">
        <f aca="false">X121-Assumptions!$B$29</f>
        <v>361789.794030817</v>
      </c>
      <c r="P121" s="6" t="n">
        <f aca="false">Y121-Assumptions!$B$29</f>
        <v>347347.477840544</v>
      </c>
      <c r="Q121" s="6" t="n">
        <f aca="false">Z121-Assumptions!$B$29</f>
        <v>319241.576405601</v>
      </c>
      <c r="R121" s="6" t="n">
        <f aca="false">AA121-Assumptions!$B$29</f>
        <v>287667.813841248</v>
      </c>
      <c r="S121" s="6" t="n">
        <f aca="false">AB121-Assumptions!$B$29</f>
        <v>245082.134315607</v>
      </c>
      <c r="T121" s="6" t="n">
        <f aca="false">AC121-Assumptions!$B$29</f>
        <v>203917.796982852</v>
      </c>
      <c r="U121" s="6" t="n">
        <f aca="false">AD121-Assumptions!$B$29</f>
        <v>161387.966639464</v>
      </c>
      <c r="V121" s="6" t="n">
        <f aca="false">AE121-Assumptions!$B$29</f>
        <v>119986.496844582</v>
      </c>
      <c r="W121" s="6" t="n">
        <f aca="false">M121*(1+C121)</f>
        <v>440051.749304858</v>
      </c>
      <c r="X121" s="6" t="n">
        <f aca="false">N121*(1+D121)</f>
        <v>411789.794030817</v>
      </c>
      <c r="Y121" s="6" t="n">
        <f aca="false">O121*(1+E121)</f>
        <v>397347.477840544</v>
      </c>
      <c r="Z121" s="6" t="n">
        <f aca="false">P121*(1+F121)</f>
        <v>369241.576405601</v>
      </c>
      <c r="AA121" s="6" t="n">
        <f aca="false">Q121*(1+G121)</f>
        <v>337667.813841248</v>
      </c>
      <c r="AB121" s="6" t="n">
        <f aca="false">R121*(1+H121)</f>
        <v>295082.134315607</v>
      </c>
      <c r="AC121" s="6" t="n">
        <f aca="false">S121*(1+I121)</f>
        <v>253917.796982852</v>
      </c>
      <c r="AD121" s="6" t="n">
        <f aca="false">T121*(1+J121)</f>
        <v>211387.966639464</v>
      </c>
      <c r="AE121" s="6" t="n">
        <f aca="false">U121*(1+K121)</f>
        <v>169986.496844582</v>
      </c>
      <c r="AF121" s="6" t="n">
        <f aca="false">V121*(1+L121)</f>
        <v>128276.090050098</v>
      </c>
      <c r="AG121" s="6" t="n">
        <f aca="false">MIN(M121:V121)</f>
        <v>119986.496844582</v>
      </c>
      <c r="AH121" s="19" t="n">
        <f aca="false">IF(AG121&gt;=0,1,0)</f>
        <v>1</v>
      </c>
    </row>
    <row r="122" customFormat="false" ht="15" hidden="false" customHeight="false" outlineLevel="0" collapsed="false">
      <c r="A122" s="0" t="n">
        <f aca="false">ROW()-1</f>
        <v>121</v>
      </c>
      <c r="B122" s="6" t="n">
        <f aca="false">Assumptions!$B$35</f>
        <v>441263.996662504</v>
      </c>
      <c r="C122" s="8" t="n">
        <f aca="true">NORMINV(RAND(),Assumptions!$B$14,Assumptions!$B$15)</f>
        <v>0.0482211850604954</v>
      </c>
      <c r="D122" s="8" t="n">
        <f aca="true">NORMINV(RAND(),Assumptions!$B$14,Assumptions!$B$15)</f>
        <v>0.0466620215192048</v>
      </c>
      <c r="E122" s="8" t="n">
        <f aca="true">NORMINV(RAND(),Assumptions!$B$14,Assumptions!$B$15)</f>
        <v>0.0393619581607478</v>
      </c>
      <c r="F122" s="8" t="n">
        <f aca="true">NORMINV(RAND(),Assumptions!$B$14,Assumptions!$B$15)</f>
        <v>0.0754960020113424</v>
      </c>
      <c r="G122" s="8" t="n">
        <f aca="true">NORMINV(RAND(),Assumptions!$B$14,Assumptions!$B$15)</f>
        <v>0.0462486896873795</v>
      </c>
      <c r="H122" s="8" t="n">
        <f aca="true">NORMINV(RAND(),Assumptions!$B$14,Assumptions!$B$15)</f>
        <v>0.0770976348322988</v>
      </c>
      <c r="I122" s="8" t="n">
        <f aca="true">NORMINV(RAND(),Assumptions!$B$14,Assumptions!$B$15)</f>
        <v>0.0459283073043187</v>
      </c>
      <c r="J122" s="8" t="n">
        <f aca="true">NORMINV(RAND(),Assumptions!$B$14,Assumptions!$B$15)</f>
        <v>0.0868518751319563</v>
      </c>
      <c r="K122" s="8" t="n">
        <f aca="true">NORMINV(RAND(),Assumptions!$B$14,Assumptions!$B$15)</f>
        <v>0.0503382725906176</v>
      </c>
      <c r="L122" s="8" t="n">
        <f aca="true">NORMINV(RAND(),Assumptions!$B$14,Assumptions!$B$15)</f>
        <v>0.0712628809378776</v>
      </c>
      <c r="M122" s="6" t="n">
        <f aca="false">B122-Assumptions!$B$29</f>
        <v>391263.996662504</v>
      </c>
      <c r="N122" s="6" t="n">
        <f aca="false">W122-Assumptions!$B$29</f>
        <v>360131.210253075</v>
      </c>
      <c r="O122" s="6" t="n">
        <f aca="false">X122-Assumptions!$B$29</f>
        <v>326935.660535641</v>
      </c>
      <c r="P122" s="6" t="n">
        <f aca="false">Y122-Assumptions!$B$29</f>
        <v>289804.488326902</v>
      </c>
      <c r="Q122" s="6" t="n">
        <f aca="false">Z122-Assumptions!$B$29</f>
        <v>261683.568560526</v>
      </c>
      <c r="R122" s="6" t="n">
        <f aca="false">AA122-Assumptions!$B$29</f>
        <v>223786.090719168</v>
      </c>
      <c r="S122" s="6" t="n">
        <f aca="false">AB122-Assumptions!$B$29</f>
        <v>191039.469021982</v>
      </c>
      <c r="T122" s="6" t="n">
        <f aca="false">AC122-Assumptions!$B$29</f>
        <v>149813.588462477</v>
      </c>
      <c r="U122" s="6" t="n">
        <f aca="false">AD122-Assumptions!$B$29</f>
        <v>112825.17954069</v>
      </c>
      <c r="V122" s="6" t="n">
        <f aca="false">AE122-Assumptions!$B$29</f>
        <v>68504.604183495</v>
      </c>
      <c r="W122" s="6" t="n">
        <f aca="false">M122*(1+C122)</f>
        <v>410131.210253075</v>
      </c>
      <c r="X122" s="6" t="n">
        <f aca="false">N122*(1+D122)</f>
        <v>376935.660535641</v>
      </c>
      <c r="Y122" s="6" t="n">
        <f aca="false">O122*(1+E122)</f>
        <v>339804.488326902</v>
      </c>
      <c r="Z122" s="6" t="n">
        <f aca="false">P122*(1+F122)</f>
        <v>311683.568560526</v>
      </c>
      <c r="AA122" s="6" t="n">
        <f aca="false">Q122*(1+G122)</f>
        <v>273786.090719168</v>
      </c>
      <c r="AB122" s="6" t="n">
        <f aca="false">R122*(1+H122)</f>
        <v>241039.469021982</v>
      </c>
      <c r="AC122" s="6" t="n">
        <f aca="false">S122*(1+I122)</f>
        <v>199813.588462477</v>
      </c>
      <c r="AD122" s="6" t="n">
        <f aca="false">T122*(1+J122)</f>
        <v>162825.17954069</v>
      </c>
      <c r="AE122" s="6" t="n">
        <f aca="false">U122*(1+K122)</f>
        <v>118504.604183495</v>
      </c>
      <c r="AF122" s="6" t="n">
        <f aca="false">V122*(1+L122)</f>
        <v>73386.4396351199</v>
      </c>
      <c r="AG122" s="6" t="n">
        <f aca="false">MIN(M122:V122)</f>
        <v>68504.604183495</v>
      </c>
      <c r="AH122" s="19" t="n">
        <f aca="false">IF(AG122&gt;=0,1,0)</f>
        <v>1</v>
      </c>
    </row>
    <row r="123" customFormat="false" ht="15" hidden="false" customHeight="false" outlineLevel="0" collapsed="false">
      <c r="A123" s="0" t="n">
        <f aca="false">ROW()-1</f>
        <v>122</v>
      </c>
      <c r="B123" s="6" t="n">
        <f aca="false">Assumptions!$B$35</f>
        <v>441263.996662504</v>
      </c>
      <c r="C123" s="8" t="n">
        <f aca="true">NORMINV(RAND(),Assumptions!$B$14,Assumptions!$B$15)</f>
        <v>0.0294454092247294</v>
      </c>
      <c r="D123" s="8" t="n">
        <f aca="true">NORMINV(RAND(),Assumptions!$B$14,Assumptions!$B$15)</f>
        <v>0.0732268096323528</v>
      </c>
      <c r="E123" s="8" t="n">
        <f aca="true">NORMINV(RAND(),Assumptions!$B$14,Assumptions!$B$15)</f>
        <v>0.0422584515620288</v>
      </c>
      <c r="F123" s="8" t="n">
        <f aca="true">NORMINV(RAND(),Assumptions!$B$14,Assumptions!$B$15)</f>
        <v>0.0522174761381226</v>
      </c>
      <c r="G123" s="8" t="n">
        <f aca="true">NORMINV(RAND(),Assumptions!$B$14,Assumptions!$B$15)</f>
        <v>0.0517306273697585</v>
      </c>
      <c r="H123" s="8" t="n">
        <f aca="true">NORMINV(RAND(),Assumptions!$B$14,Assumptions!$B$15)</f>
        <v>0.0847113856094203</v>
      </c>
      <c r="I123" s="8" t="n">
        <f aca="true">NORMINV(RAND(),Assumptions!$B$14,Assumptions!$B$15)</f>
        <v>0.0702953172905771</v>
      </c>
      <c r="J123" s="8" t="n">
        <f aca="true">NORMINV(RAND(),Assumptions!$B$14,Assumptions!$B$15)</f>
        <v>0.0939564882264183</v>
      </c>
      <c r="K123" s="8" t="n">
        <f aca="true">NORMINV(RAND(),Assumptions!$B$14,Assumptions!$B$15)</f>
        <v>0.0622435524752973</v>
      </c>
      <c r="L123" s="8" t="n">
        <f aca="true">NORMINV(RAND(),Assumptions!$B$14,Assumptions!$B$15)</f>
        <v>0.0286716908132274</v>
      </c>
      <c r="M123" s="6" t="n">
        <f aca="false">B123-Assumptions!$B$29</f>
        <v>391263.996662504</v>
      </c>
      <c r="N123" s="6" t="n">
        <f aca="false">W123-Assumptions!$B$29</f>
        <v>352784.925159134</v>
      </c>
      <c r="O123" s="6" t="n">
        <f aca="false">X123-Assumptions!$B$29</f>
        <v>328618.239714926</v>
      </c>
      <c r="P123" s="6" t="n">
        <f aca="false">Y123-Assumptions!$B$29</f>
        <v>292505.137680318</v>
      </c>
      <c r="Q123" s="6" t="n">
        <f aca="false">Z123-Assumptions!$B$29</f>
        <v>257779.017727418</v>
      </c>
      <c r="R123" s="6" t="n">
        <f aca="false">AA123-Assumptions!$B$29</f>
        <v>221114.088037218</v>
      </c>
      <c r="S123" s="6" t="n">
        <f aca="false">AB123-Assumptions!$B$29</f>
        <v>189844.968812614</v>
      </c>
      <c r="T123" s="6" t="n">
        <f aca="false">AC123-Assumptions!$B$29</f>
        <v>153190.181131316</v>
      </c>
      <c r="U123" s="6" t="n">
        <f aca="false">AD123-Assumptions!$B$29</f>
        <v>117583.392581184</v>
      </c>
      <c r="V123" s="6" t="n">
        <f aca="false">AE123-Assumptions!$B$29</f>
        <v>74902.2006475343</v>
      </c>
      <c r="W123" s="6" t="n">
        <f aca="false">M123*(1+C123)</f>
        <v>402784.925159134</v>
      </c>
      <c r="X123" s="6" t="n">
        <f aca="false">N123*(1+D123)</f>
        <v>378618.239714926</v>
      </c>
      <c r="Y123" s="6" t="n">
        <f aca="false">O123*(1+E123)</f>
        <v>342505.137680318</v>
      </c>
      <c r="Z123" s="6" t="n">
        <f aca="false">P123*(1+F123)</f>
        <v>307779.017727418</v>
      </c>
      <c r="AA123" s="6" t="n">
        <f aca="false">Q123*(1+G123)</f>
        <v>271114.088037218</v>
      </c>
      <c r="AB123" s="6" t="n">
        <f aca="false">R123*(1+H123)</f>
        <v>239844.968812614</v>
      </c>
      <c r="AC123" s="6" t="n">
        <f aca="false">S123*(1+I123)</f>
        <v>203190.181131316</v>
      </c>
      <c r="AD123" s="6" t="n">
        <f aca="false">T123*(1+J123)</f>
        <v>167583.392581184</v>
      </c>
      <c r="AE123" s="6" t="n">
        <f aca="false">U123*(1+K123)</f>
        <v>124902.200647534</v>
      </c>
      <c r="AF123" s="6" t="n">
        <f aca="false">V123*(1+L123)</f>
        <v>77049.7733857307</v>
      </c>
      <c r="AG123" s="6" t="n">
        <f aca="false">MIN(M123:V123)</f>
        <v>74902.2006475343</v>
      </c>
      <c r="AH123" s="19" t="n">
        <f aca="false">IF(AG123&gt;=0,1,0)</f>
        <v>1</v>
      </c>
    </row>
    <row r="124" customFormat="false" ht="15" hidden="false" customHeight="false" outlineLevel="0" collapsed="false">
      <c r="A124" s="0" t="n">
        <f aca="false">ROW()-1</f>
        <v>123</v>
      </c>
      <c r="B124" s="6" t="n">
        <f aca="false">Assumptions!$B$35</f>
        <v>441263.996662504</v>
      </c>
      <c r="C124" s="8" t="n">
        <f aca="true">NORMINV(RAND(),Assumptions!$B$14,Assumptions!$B$15)</f>
        <v>0.0551764933882313</v>
      </c>
      <c r="D124" s="8" t="n">
        <f aca="true">NORMINV(RAND(),Assumptions!$B$14,Assumptions!$B$15)</f>
        <v>0.0489409692822218</v>
      </c>
      <c r="E124" s="8" t="n">
        <f aca="true">NORMINV(RAND(),Assumptions!$B$14,Assumptions!$B$15)</f>
        <v>0.0654760316845289</v>
      </c>
      <c r="F124" s="8" t="n">
        <f aca="true">NORMINV(RAND(),Assumptions!$B$14,Assumptions!$B$15)</f>
        <v>0.0622651960891231</v>
      </c>
      <c r="G124" s="8" t="n">
        <f aca="true">NORMINV(RAND(),Assumptions!$B$14,Assumptions!$B$15)</f>
        <v>0.0700682315473539</v>
      </c>
      <c r="H124" s="8" t="n">
        <f aca="true">NORMINV(RAND(),Assumptions!$B$14,Assumptions!$B$15)</f>
        <v>0.0514470008876299</v>
      </c>
      <c r="I124" s="8" t="n">
        <f aca="true">NORMINV(RAND(),Assumptions!$B$14,Assumptions!$B$15)</f>
        <v>0.0532346292047514</v>
      </c>
      <c r="J124" s="8" t="n">
        <f aca="true">NORMINV(RAND(),Assumptions!$B$14,Assumptions!$B$15)</f>
        <v>0.0604173550591859</v>
      </c>
      <c r="K124" s="8" t="n">
        <f aca="true">NORMINV(RAND(),Assumptions!$B$14,Assumptions!$B$15)</f>
        <v>0.040817093140902</v>
      </c>
      <c r="L124" s="8" t="n">
        <f aca="true">NORMINV(RAND(),Assumptions!$B$14,Assumptions!$B$15)</f>
        <v>0.0327981859311154</v>
      </c>
      <c r="M124" s="6" t="n">
        <f aca="false">B124-Assumptions!$B$29</f>
        <v>391263.996662504</v>
      </c>
      <c r="N124" s="6" t="n">
        <f aca="false">W124-Assumptions!$B$29</f>
        <v>362852.571987405</v>
      </c>
      <c r="O124" s="6" t="n">
        <f aca="false">X124-Assumptions!$B$29</f>
        <v>330610.928567016</v>
      </c>
      <c r="P124" s="6" t="n">
        <f aca="false">Y124-Assumptions!$B$29</f>
        <v>302258.020201121</v>
      </c>
      <c r="Q124" s="6" t="n">
        <f aca="false">Z124-Assumptions!$B$29</f>
        <v>271078.175098454</v>
      </c>
      <c r="R124" s="6" t="n">
        <f aca="false">AA124-Assumptions!$B$29</f>
        <v>240072.143438687</v>
      </c>
      <c r="S124" s="6" t="n">
        <f aca="false">AB124-Assumptions!$B$29</f>
        <v>202423.135215272</v>
      </c>
      <c r="T124" s="6" t="n">
        <f aca="false">AC124-Assumptions!$B$29</f>
        <v>163199.05576092</v>
      </c>
      <c r="U124" s="6" t="n">
        <f aca="false">AD124-Assumptions!$B$29</f>
        <v>123059.111058152</v>
      </c>
      <c r="V124" s="6" t="n">
        <f aca="false">AE124-Assumptions!$B$29</f>
        <v>78082.0262560491</v>
      </c>
      <c r="W124" s="6" t="n">
        <f aca="false">M124*(1+C124)</f>
        <v>412852.571987405</v>
      </c>
      <c r="X124" s="6" t="n">
        <f aca="false">N124*(1+D124)</f>
        <v>380610.928567016</v>
      </c>
      <c r="Y124" s="6" t="n">
        <f aca="false">O124*(1+E124)</f>
        <v>352258.020201121</v>
      </c>
      <c r="Z124" s="6" t="n">
        <f aca="false">P124*(1+F124)</f>
        <v>321078.175098454</v>
      </c>
      <c r="AA124" s="6" t="n">
        <f aca="false">Q124*(1+G124)</f>
        <v>290072.143438687</v>
      </c>
      <c r="AB124" s="6" t="n">
        <f aca="false">R124*(1+H124)</f>
        <v>252423.135215272</v>
      </c>
      <c r="AC124" s="6" t="n">
        <f aca="false">S124*(1+I124)</f>
        <v>213199.05576092</v>
      </c>
      <c r="AD124" s="6" t="n">
        <f aca="false">T124*(1+J124)</f>
        <v>173059.111058152</v>
      </c>
      <c r="AE124" s="6" t="n">
        <f aca="false">U124*(1+K124)</f>
        <v>128082.026256049</v>
      </c>
      <c r="AF124" s="6" t="n">
        <f aca="false">V124*(1+L124)</f>
        <v>80642.9750710732</v>
      </c>
      <c r="AG124" s="6" t="n">
        <f aca="false">MIN(M124:V124)</f>
        <v>78082.0262560491</v>
      </c>
      <c r="AH124" s="19" t="n">
        <f aca="false">IF(AG124&gt;=0,1,0)</f>
        <v>1</v>
      </c>
    </row>
    <row r="125" customFormat="false" ht="15" hidden="false" customHeight="false" outlineLevel="0" collapsed="false">
      <c r="A125" s="0" t="n">
        <f aca="false">ROW()-1</f>
        <v>124</v>
      </c>
      <c r="B125" s="6" t="n">
        <f aca="false">Assumptions!$B$35</f>
        <v>441263.996662504</v>
      </c>
      <c r="C125" s="8" t="n">
        <f aca="true">NORMINV(RAND(),Assumptions!$B$14,Assumptions!$B$15)</f>
        <v>0.0517339223697841</v>
      </c>
      <c r="D125" s="8" t="n">
        <f aca="true">NORMINV(RAND(),Assumptions!$B$14,Assumptions!$B$15)</f>
        <v>0.0531892166969902</v>
      </c>
      <c r="E125" s="8" t="n">
        <f aca="true">NORMINV(RAND(),Assumptions!$B$14,Assumptions!$B$15)</f>
        <v>0.0374311475112606</v>
      </c>
      <c r="F125" s="8" t="n">
        <f aca="true">NORMINV(RAND(),Assumptions!$B$14,Assumptions!$B$15)</f>
        <v>0.0363559352587975</v>
      </c>
      <c r="G125" s="8" t="n">
        <f aca="true">NORMINV(RAND(),Assumptions!$B$14,Assumptions!$B$15)</f>
        <v>0.0355272755167653</v>
      </c>
      <c r="H125" s="8" t="n">
        <f aca="true">NORMINV(RAND(),Assumptions!$B$14,Assumptions!$B$15)</f>
        <v>0.0207235076298476</v>
      </c>
      <c r="I125" s="8" t="n">
        <f aca="true">NORMINV(RAND(),Assumptions!$B$14,Assumptions!$B$15)</f>
        <v>0.035172307199463</v>
      </c>
      <c r="J125" s="8" t="n">
        <f aca="true">NORMINV(RAND(),Assumptions!$B$14,Assumptions!$B$15)</f>
        <v>0.0229074224584836</v>
      </c>
      <c r="K125" s="8" t="n">
        <f aca="true">NORMINV(RAND(),Assumptions!$B$14,Assumptions!$B$15)</f>
        <v>0.0710109668251614</v>
      </c>
      <c r="L125" s="8" t="n">
        <f aca="true">NORMINV(RAND(),Assumptions!$B$14,Assumptions!$B$15)</f>
        <v>0.0661374781245037</v>
      </c>
      <c r="M125" s="6" t="n">
        <f aca="false">B125-Assumptions!$B$29</f>
        <v>391263.996662504</v>
      </c>
      <c r="N125" s="6" t="n">
        <f aca="false">W125-Assumptions!$B$29</f>
        <v>361505.617891933</v>
      </c>
      <c r="O125" s="6" t="n">
        <f aca="false">X125-Assumptions!$B$29</f>
        <v>330733.818539166</v>
      </c>
      <c r="P125" s="6" t="n">
        <f aca="false">Y125-Assumptions!$B$29</f>
        <v>293113.564887868</v>
      </c>
      <c r="Q125" s="6" t="n">
        <f aca="false">Z125-Assumptions!$B$29</f>
        <v>253769.982676407</v>
      </c>
      <c r="R125" s="6" t="n">
        <f aca="false">AA125-Assumptions!$B$29</f>
        <v>212785.738768836</v>
      </c>
      <c r="S125" s="6" t="n">
        <f aca="false">AB125-Assumptions!$B$29</f>
        <v>167195.405649735</v>
      </c>
      <c r="T125" s="6" t="n">
        <f aca="false">AC125-Assumptions!$B$29</f>
        <v>123076.053819587</v>
      </c>
      <c r="U125" s="6" t="n">
        <f aca="false">AD125-Assumptions!$B$29</f>
        <v>75895.4089789549</v>
      </c>
      <c r="V125" s="6" t="n">
        <f aca="false">AE125-Assumptions!$B$29</f>
        <v>31284.8153481415</v>
      </c>
      <c r="W125" s="6" t="n">
        <f aca="false">M125*(1+C125)</f>
        <v>411505.617891933</v>
      </c>
      <c r="X125" s="6" t="n">
        <f aca="false">N125*(1+D125)</f>
        <v>380733.818539166</v>
      </c>
      <c r="Y125" s="6" t="n">
        <f aca="false">O125*(1+E125)</f>
        <v>343113.564887868</v>
      </c>
      <c r="Z125" s="6" t="n">
        <f aca="false">P125*(1+F125)</f>
        <v>303769.982676407</v>
      </c>
      <c r="AA125" s="6" t="n">
        <f aca="false">Q125*(1+G125)</f>
        <v>262785.738768837</v>
      </c>
      <c r="AB125" s="6" t="n">
        <f aca="false">R125*(1+H125)</f>
        <v>217195.405649735</v>
      </c>
      <c r="AC125" s="6" t="n">
        <f aca="false">S125*(1+I125)</f>
        <v>173076.053819587</v>
      </c>
      <c r="AD125" s="6" t="n">
        <f aca="false">T125*(1+J125)</f>
        <v>125895.408978955</v>
      </c>
      <c r="AE125" s="6" t="n">
        <f aca="false">U125*(1+K125)</f>
        <v>81284.8153481415</v>
      </c>
      <c r="AF125" s="6" t="n">
        <f aca="false">V125*(1+L125)</f>
        <v>33353.9141388583</v>
      </c>
      <c r="AG125" s="6" t="n">
        <f aca="false">MIN(M125:V125)</f>
        <v>31284.8153481415</v>
      </c>
      <c r="AH125" s="19" t="n">
        <f aca="false">IF(AG125&gt;=0,1,0)</f>
        <v>1</v>
      </c>
    </row>
    <row r="126" customFormat="false" ht="15" hidden="false" customHeight="false" outlineLevel="0" collapsed="false">
      <c r="A126" s="0" t="n">
        <f aca="false">ROW()-1</f>
        <v>125</v>
      </c>
      <c r="B126" s="6" t="n">
        <f aca="false">Assumptions!$B$35</f>
        <v>441263.996662504</v>
      </c>
      <c r="C126" s="8" t="n">
        <f aca="true">NORMINV(RAND(),Assumptions!$B$14,Assumptions!$B$15)</f>
        <v>0.0647022198261454</v>
      </c>
      <c r="D126" s="8" t="n">
        <f aca="true">NORMINV(RAND(),Assumptions!$B$14,Assumptions!$B$15)</f>
        <v>0.035991280040669</v>
      </c>
      <c r="E126" s="8" t="n">
        <f aca="true">NORMINV(RAND(),Assumptions!$B$14,Assumptions!$B$15)</f>
        <v>0.0993910915192673</v>
      </c>
      <c r="F126" s="8" t="n">
        <f aca="true">NORMINV(RAND(),Assumptions!$B$14,Assumptions!$B$15)</f>
        <v>0.0127966540548273</v>
      </c>
      <c r="G126" s="8" t="n">
        <f aca="true">NORMINV(RAND(),Assumptions!$B$14,Assumptions!$B$15)</f>
        <v>0.0647364996272809</v>
      </c>
      <c r="H126" s="8" t="n">
        <f aca="true">NORMINV(RAND(),Assumptions!$B$14,Assumptions!$B$15)</f>
        <v>0.0632254396944611</v>
      </c>
      <c r="I126" s="8" t="n">
        <f aca="true">NORMINV(RAND(),Assumptions!$B$14,Assumptions!$B$15)</f>
        <v>0.0592368997735674</v>
      </c>
      <c r="J126" s="8" t="n">
        <f aca="true">NORMINV(RAND(),Assumptions!$B$14,Assumptions!$B$15)</f>
        <v>0.0283272773319875</v>
      </c>
      <c r="K126" s="8" t="n">
        <f aca="true">NORMINV(RAND(),Assumptions!$B$14,Assumptions!$B$15)</f>
        <v>0.124669090904347</v>
      </c>
      <c r="L126" s="8" t="n">
        <f aca="true">NORMINV(RAND(),Assumptions!$B$14,Assumptions!$B$15)</f>
        <v>0.0225062251536011</v>
      </c>
      <c r="M126" s="6" t="n">
        <f aca="false">B126-Assumptions!$B$29</f>
        <v>391263.996662504</v>
      </c>
      <c r="N126" s="6" t="n">
        <f aca="false">W126-Assumptions!$B$29</f>
        <v>366579.645784617</v>
      </c>
      <c r="O126" s="6" t="n">
        <f aca="false">X126-Assumptions!$B$29</f>
        <v>329773.31647326</v>
      </c>
      <c r="P126" s="6" t="n">
        <f aca="false">Y126-Assumptions!$B$29</f>
        <v>312549.846351467</v>
      </c>
      <c r="Q126" s="6" t="n">
        <f aca="false">Z126-Assumptions!$B$29</f>
        <v>266549.438610116</v>
      </c>
      <c r="R126" s="6" t="n">
        <f aca="false">AA126-Assumptions!$B$29</f>
        <v>233804.916243351</v>
      </c>
      <c r="S126" s="6" t="n">
        <f aca="false">AB126-Assumptions!$B$29</f>
        <v>198587.334875564</v>
      </c>
      <c r="T126" s="6" t="n">
        <f aca="false">AC126-Assumptions!$B$29</f>
        <v>160351.032927888</v>
      </c>
      <c r="U126" s="6" t="n">
        <f aca="false">AD126-Assumptions!$B$29</f>
        <v>114893.341108107</v>
      </c>
      <c r="V126" s="6" t="n">
        <f aca="false">AE126-Assumptions!$B$29</f>
        <v>79216.9894950172</v>
      </c>
      <c r="W126" s="6" t="n">
        <f aca="false">M126*(1+C126)</f>
        <v>416579.645784617</v>
      </c>
      <c r="X126" s="6" t="n">
        <f aca="false">N126*(1+D126)</f>
        <v>379773.31647326</v>
      </c>
      <c r="Y126" s="6" t="n">
        <f aca="false">O126*(1+E126)</f>
        <v>362549.846351467</v>
      </c>
      <c r="Z126" s="6" t="n">
        <f aca="false">P126*(1+F126)</f>
        <v>316549.438610116</v>
      </c>
      <c r="AA126" s="6" t="n">
        <f aca="false">Q126*(1+G126)</f>
        <v>283804.916243351</v>
      </c>
      <c r="AB126" s="6" t="n">
        <f aca="false">R126*(1+H126)</f>
        <v>248587.334875564</v>
      </c>
      <c r="AC126" s="6" t="n">
        <f aca="false">S126*(1+I126)</f>
        <v>210351.032927888</v>
      </c>
      <c r="AD126" s="6" t="n">
        <f aca="false">T126*(1+J126)</f>
        <v>164893.341108107</v>
      </c>
      <c r="AE126" s="6" t="n">
        <f aca="false">U126*(1+K126)</f>
        <v>129216.989495017</v>
      </c>
      <c r="AF126" s="6" t="n">
        <f aca="false">V126*(1+L126)</f>
        <v>80999.8648965825</v>
      </c>
      <c r="AG126" s="6" t="n">
        <f aca="false">MIN(M126:V126)</f>
        <v>79216.9894950172</v>
      </c>
      <c r="AH126" s="19" t="n">
        <f aca="false">IF(AG126&gt;=0,1,0)</f>
        <v>1</v>
      </c>
    </row>
    <row r="127" customFormat="false" ht="15" hidden="false" customHeight="false" outlineLevel="0" collapsed="false">
      <c r="A127" s="0" t="n">
        <f aca="false">ROW()-1</f>
        <v>126</v>
      </c>
      <c r="B127" s="6" t="n">
        <f aca="false">Assumptions!$B$35</f>
        <v>441263.996662504</v>
      </c>
      <c r="C127" s="8" t="n">
        <f aca="true">NORMINV(RAND(),Assumptions!$B$14,Assumptions!$B$15)</f>
        <v>0.0276347113729308</v>
      </c>
      <c r="D127" s="8" t="n">
        <f aca="true">NORMINV(RAND(),Assumptions!$B$14,Assumptions!$B$15)</f>
        <v>0.0104274712391997</v>
      </c>
      <c r="E127" s="8" t="n">
        <f aca="true">NORMINV(RAND(),Assumptions!$B$14,Assumptions!$B$15)</f>
        <v>0.067834897803984</v>
      </c>
      <c r="F127" s="8" t="n">
        <f aca="true">NORMINV(RAND(),Assumptions!$B$14,Assumptions!$B$15)</f>
        <v>0.0631645931986877</v>
      </c>
      <c r="G127" s="8" t="n">
        <f aca="true">NORMINV(RAND(),Assumptions!$B$14,Assumptions!$B$15)</f>
        <v>0.0353709158047548</v>
      </c>
      <c r="H127" s="8" t="n">
        <f aca="true">NORMINV(RAND(),Assumptions!$B$14,Assumptions!$B$15)</f>
        <v>0.0480033350345498</v>
      </c>
      <c r="I127" s="8" t="n">
        <f aca="true">NORMINV(RAND(),Assumptions!$B$14,Assumptions!$B$15)</f>
        <v>0.0592691069467131</v>
      </c>
      <c r="J127" s="8" t="n">
        <f aca="true">NORMINV(RAND(),Assumptions!$B$14,Assumptions!$B$15)</f>
        <v>0.0700742331924997</v>
      </c>
      <c r="K127" s="8" t="n">
        <f aca="true">NORMINV(RAND(),Assumptions!$B$14,Assumptions!$B$15)</f>
        <v>0.0174801490533825</v>
      </c>
      <c r="L127" s="8" t="n">
        <f aca="true">NORMINV(RAND(),Assumptions!$B$14,Assumptions!$B$15)</f>
        <v>0.00403248595939548</v>
      </c>
      <c r="M127" s="6" t="n">
        <f aca="false">B127-Assumptions!$B$29</f>
        <v>391263.996662504</v>
      </c>
      <c r="N127" s="6" t="n">
        <f aca="false">W127-Assumptions!$B$29</f>
        <v>352076.464280891</v>
      </c>
      <c r="O127" s="6" t="n">
        <f aca="false">X127-Assumptions!$B$29</f>
        <v>305747.731486179</v>
      </c>
      <c r="P127" s="6" t="n">
        <f aca="false">Y127-Assumptions!$B$29</f>
        <v>276488.097605344</v>
      </c>
      <c r="Q127" s="6" t="n">
        <f aca="false">Z127-Assumptions!$B$29</f>
        <v>243952.355814865</v>
      </c>
      <c r="R127" s="6" t="n">
        <f aca="false">AA127-Assumptions!$B$29</f>
        <v>202581.174052764</v>
      </c>
      <c r="S127" s="6" t="n">
        <f aca="false">AB127-Assumptions!$B$29</f>
        <v>162305.746022511</v>
      </c>
      <c r="T127" s="6" t="n">
        <f aca="false">AC127-Assumptions!$B$29</f>
        <v>121925.462641585</v>
      </c>
      <c r="U127" s="6" t="n">
        <f aca="false">AD127-Assumptions!$B$29</f>
        <v>80469.2959428353</v>
      </c>
      <c r="V127" s="6" t="n">
        <f aca="false">AE127-Assumptions!$B$29</f>
        <v>31875.9112301368</v>
      </c>
      <c r="W127" s="6" t="n">
        <f aca="false">M127*(1+C127)</f>
        <v>402076.464280891</v>
      </c>
      <c r="X127" s="6" t="n">
        <f aca="false">N127*(1+D127)</f>
        <v>355747.731486179</v>
      </c>
      <c r="Y127" s="6" t="n">
        <f aca="false">O127*(1+E127)</f>
        <v>326488.097605344</v>
      </c>
      <c r="Z127" s="6" t="n">
        <f aca="false">P127*(1+F127)</f>
        <v>293952.355814865</v>
      </c>
      <c r="AA127" s="6" t="n">
        <f aca="false">Q127*(1+G127)</f>
        <v>252581.174052764</v>
      </c>
      <c r="AB127" s="6" t="n">
        <f aca="false">R127*(1+H127)</f>
        <v>212305.746022511</v>
      </c>
      <c r="AC127" s="6" t="n">
        <f aca="false">S127*(1+I127)</f>
        <v>171925.462641585</v>
      </c>
      <c r="AD127" s="6" t="n">
        <f aca="false">T127*(1+J127)</f>
        <v>130469.295942835</v>
      </c>
      <c r="AE127" s="6" t="n">
        <f aca="false">U127*(1+K127)</f>
        <v>81875.9112301368</v>
      </c>
      <c r="AF127" s="6" t="n">
        <f aca="false">V127*(1+L127)</f>
        <v>32004.4503946153</v>
      </c>
      <c r="AG127" s="6" t="n">
        <f aca="false">MIN(M127:V127)</f>
        <v>31875.9112301368</v>
      </c>
      <c r="AH127" s="19" t="n">
        <f aca="false">IF(AG127&gt;=0,1,0)</f>
        <v>1</v>
      </c>
    </row>
    <row r="128" customFormat="false" ht="15" hidden="false" customHeight="false" outlineLevel="0" collapsed="false">
      <c r="A128" s="0" t="n">
        <f aca="false">ROW()-1</f>
        <v>127</v>
      </c>
      <c r="B128" s="6" t="n">
        <f aca="false">Assumptions!$B$35</f>
        <v>441263.996662504</v>
      </c>
      <c r="C128" s="8" t="n">
        <f aca="true">NORMINV(RAND(),Assumptions!$B$14,Assumptions!$B$15)</f>
        <v>0.0638870834149106</v>
      </c>
      <c r="D128" s="8" t="n">
        <f aca="true">NORMINV(RAND(),Assumptions!$B$14,Assumptions!$B$15)</f>
        <v>0.0169932313893102</v>
      </c>
      <c r="E128" s="8" t="n">
        <f aca="true">NORMINV(RAND(),Assumptions!$B$14,Assumptions!$B$15)</f>
        <v>0.0854361988624927</v>
      </c>
      <c r="F128" s="8" t="n">
        <f aca="true">NORMINV(RAND(),Assumptions!$B$14,Assumptions!$B$15)</f>
        <v>-0.00247713777074615</v>
      </c>
      <c r="G128" s="8" t="n">
        <f aca="true">NORMINV(RAND(),Assumptions!$B$14,Assumptions!$B$15)</f>
        <v>0.0161776560943267</v>
      </c>
      <c r="H128" s="8" t="n">
        <f aca="true">NORMINV(RAND(),Assumptions!$B$14,Assumptions!$B$15)</f>
        <v>0.0373215334273635</v>
      </c>
      <c r="I128" s="8" t="n">
        <f aca="true">NORMINV(RAND(),Assumptions!$B$14,Assumptions!$B$15)</f>
        <v>0.0491357667467491</v>
      </c>
      <c r="J128" s="8" t="n">
        <f aca="true">NORMINV(RAND(),Assumptions!$B$14,Assumptions!$B$15)</f>
        <v>0.0580215684987328</v>
      </c>
      <c r="K128" s="8" t="n">
        <f aca="true">NORMINV(RAND(),Assumptions!$B$14,Assumptions!$B$15)</f>
        <v>0.0227133470194359</v>
      </c>
      <c r="L128" s="8" t="n">
        <f aca="true">NORMINV(RAND(),Assumptions!$B$14,Assumptions!$B$15)</f>
        <v>0.0243339471355475</v>
      </c>
      <c r="M128" s="6" t="n">
        <f aca="false">B128-Assumptions!$B$29</f>
        <v>391263.996662504</v>
      </c>
      <c r="N128" s="6" t="n">
        <f aca="false">W128-Assumptions!$B$29</f>
        <v>366260.712254532</v>
      </c>
      <c r="O128" s="6" t="n">
        <f aca="false">X128-Assumptions!$B$29</f>
        <v>322484.665286687</v>
      </c>
      <c r="P128" s="6" t="n">
        <f aca="false">Y128-Assumptions!$B$29</f>
        <v>300036.529280225</v>
      </c>
      <c r="Q128" s="6" t="n">
        <f aca="false">Z128-Assumptions!$B$29</f>
        <v>249293.297460941</v>
      </c>
      <c r="R128" s="6" t="n">
        <f aca="false">AA128-Assumptions!$B$29</f>
        <v>203326.278693885</v>
      </c>
      <c r="S128" s="6" t="n">
        <f aca="false">AB128-Assumptions!$B$29</f>
        <v>160914.72720082</v>
      </c>
      <c r="T128" s="6" t="n">
        <f aca="false">AC128-Assumptions!$B$29</f>
        <v>118821.395702676</v>
      </c>
      <c r="U128" s="6" t="n">
        <f aca="false">AD128-Assumptions!$B$29</f>
        <v>75715.5994525544</v>
      </c>
      <c r="V128" s="6" t="n">
        <f aca="false">AE128-Assumptions!$B$29</f>
        <v>27435.3541377048</v>
      </c>
      <c r="W128" s="6" t="n">
        <f aca="false">M128*(1+C128)</f>
        <v>416260.712254532</v>
      </c>
      <c r="X128" s="6" t="n">
        <f aca="false">N128*(1+D128)</f>
        <v>372484.665286687</v>
      </c>
      <c r="Y128" s="6" t="n">
        <f aca="false">O128*(1+E128)</f>
        <v>350036.529280225</v>
      </c>
      <c r="Z128" s="6" t="n">
        <f aca="false">P128*(1+F128)</f>
        <v>299293.297460941</v>
      </c>
      <c r="AA128" s="6" t="n">
        <f aca="false">Q128*(1+G128)</f>
        <v>253326.278693885</v>
      </c>
      <c r="AB128" s="6" t="n">
        <f aca="false">R128*(1+H128)</f>
        <v>210914.72720082</v>
      </c>
      <c r="AC128" s="6" t="n">
        <f aca="false">S128*(1+I128)</f>
        <v>168821.395702676</v>
      </c>
      <c r="AD128" s="6" t="n">
        <f aca="false">T128*(1+J128)</f>
        <v>125715.599452554</v>
      </c>
      <c r="AE128" s="6" t="n">
        <f aca="false">U128*(1+K128)</f>
        <v>77435.3541377048</v>
      </c>
      <c r="AF128" s="6" t="n">
        <f aca="false">V128*(1+L128)</f>
        <v>28102.9645949368</v>
      </c>
      <c r="AG128" s="6" t="n">
        <f aca="false">MIN(M128:V128)</f>
        <v>27435.3541377048</v>
      </c>
      <c r="AH128" s="19" t="n">
        <f aca="false">IF(AG128&gt;=0,1,0)</f>
        <v>1</v>
      </c>
    </row>
    <row r="129" customFormat="false" ht="15" hidden="false" customHeight="false" outlineLevel="0" collapsed="false">
      <c r="A129" s="0" t="n">
        <f aca="false">ROW()-1</f>
        <v>128</v>
      </c>
      <c r="B129" s="6" t="n">
        <f aca="false">Assumptions!$B$35</f>
        <v>441263.996662504</v>
      </c>
      <c r="C129" s="8" t="n">
        <f aca="true">NORMINV(RAND(),Assumptions!$B$14,Assumptions!$B$15)</f>
        <v>0.0396903037628843</v>
      </c>
      <c r="D129" s="8" t="n">
        <f aca="true">NORMINV(RAND(),Assumptions!$B$14,Assumptions!$B$15)</f>
        <v>0.0464456544499393</v>
      </c>
      <c r="E129" s="8" t="n">
        <f aca="true">NORMINV(RAND(),Assumptions!$B$14,Assumptions!$B$15)</f>
        <v>-0.00288575830131825</v>
      </c>
      <c r="F129" s="8" t="n">
        <f aca="true">NORMINV(RAND(),Assumptions!$B$14,Assumptions!$B$15)</f>
        <v>0.068761758649326</v>
      </c>
      <c r="G129" s="8" t="n">
        <f aca="true">NORMINV(RAND(),Assumptions!$B$14,Assumptions!$B$15)</f>
        <v>0.104074136002599</v>
      </c>
      <c r="H129" s="8" t="n">
        <f aca="true">NORMINV(RAND(),Assumptions!$B$14,Assumptions!$B$15)</f>
        <v>0.0534737777062284</v>
      </c>
      <c r="I129" s="8" t="n">
        <f aca="true">NORMINV(RAND(),Assumptions!$B$14,Assumptions!$B$15)</f>
        <v>0.0482204473870387</v>
      </c>
      <c r="J129" s="8" t="n">
        <f aca="true">NORMINV(RAND(),Assumptions!$B$14,Assumptions!$B$15)</f>
        <v>0.0316444992632872</v>
      </c>
      <c r="K129" s="8" t="n">
        <f aca="true">NORMINV(RAND(),Assumptions!$B$14,Assumptions!$B$15)</f>
        <v>0.016249381954387</v>
      </c>
      <c r="L129" s="8" t="n">
        <f aca="true">NORMINV(RAND(),Assumptions!$B$14,Assumptions!$B$15)</f>
        <v>0.0495884059357367</v>
      </c>
      <c r="M129" s="6" t="n">
        <f aca="false">B129-Assumptions!$B$29</f>
        <v>391263.996662504</v>
      </c>
      <c r="N129" s="6" t="n">
        <f aca="false">W129-Assumptions!$B$29</f>
        <v>356793.383541518</v>
      </c>
      <c r="O129" s="6" t="n">
        <f aca="false">X129-Assumptions!$B$29</f>
        <v>323364.885743512</v>
      </c>
      <c r="P129" s="6" t="n">
        <f aca="false">Y129-Assumptions!$B$29</f>
        <v>272431.732840123</v>
      </c>
      <c r="Q129" s="6" t="n">
        <f aca="false">Z129-Assumptions!$B$29</f>
        <v>241164.617902094</v>
      </c>
      <c r="R129" s="6" t="n">
        <f aca="false">AA129-Assumptions!$B$29</f>
        <v>216263.617144651</v>
      </c>
      <c r="S129" s="6" t="n">
        <f aca="false">AB129-Assumptions!$B$29</f>
        <v>177828.049733789</v>
      </c>
      <c r="T129" s="6" t="n">
        <f aca="false">AC129-Assumptions!$B$29</f>
        <v>136402.997849917</v>
      </c>
      <c r="U129" s="6" t="n">
        <f aca="false">AD129-Assumptions!$B$29</f>
        <v>90719.4024148886</v>
      </c>
      <c r="V129" s="6" t="n">
        <f aca="false">AE129-Assumptions!$B$29</f>
        <v>42193.5366354018</v>
      </c>
      <c r="W129" s="6" t="n">
        <f aca="false">M129*(1+C129)</f>
        <v>406793.383541518</v>
      </c>
      <c r="X129" s="6" t="n">
        <f aca="false">N129*(1+D129)</f>
        <v>373364.885743512</v>
      </c>
      <c r="Y129" s="6" t="n">
        <f aca="false">O129*(1+E129)</f>
        <v>322431.732840123</v>
      </c>
      <c r="Z129" s="6" t="n">
        <f aca="false">P129*(1+F129)</f>
        <v>291164.617902094</v>
      </c>
      <c r="AA129" s="6" t="n">
        <f aca="false">Q129*(1+G129)</f>
        <v>266263.617144651</v>
      </c>
      <c r="AB129" s="6" t="n">
        <f aca="false">R129*(1+H129)</f>
        <v>227828.049733789</v>
      </c>
      <c r="AC129" s="6" t="n">
        <f aca="false">S129*(1+I129)</f>
        <v>186402.997849917</v>
      </c>
      <c r="AD129" s="6" t="n">
        <f aca="false">T129*(1+J129)</f>
        <v>140719.402414889</v>
      </c>
      <c r="AE129" s="6" t="n">
        <f aca="false">U129*(1+K129)</f>
        <v>92193.5366354018</v>
      </c>
      <c r="AF129" s="6" t="n">
        <f aca="false">V129*(1+L129)</f>
        <v>44285.8468579425</v>
      </c>
      <c r="AG129" s="6" t="n">
        <f aca="false">MIN(M129:V129)</f>
        <v>42193.5366354018</v>
      </c>
      <c r="AH129" s="19" t="n">
        <f aca="false">IF(AG129&gt;=0,1,0)</f>
        <v>1</v>
      </c>
    </row>
    <row r="130" customFormat="false" ht="15" hidden="false" customHeight="false" outlineLevel="0" collapsed="false">
      <c r="A130" s="0" t="n">
        <f aca="false">ROW()-1</f>
        <v>129</v>
      </c>
      <c r="B130" s="6" t="n">
        <f aca="false">Assumptions!$B$35</f>
        <v>441263.996662504</v>
      </c>
      <c r="C130" s="8" t="n">
        <f aca="true">NORMINV(RAND(),Assumptions!$B$14,Assumptions!$B$15)</f>
        <v>0.0739855270899093</v>
      </c>
      <c r="D130" s="8" t="n">
        <f aca="true">NORMINV(RAND(),Assumptions!$B$14,Assumptions!$B$15)</f>
        <v>0.0561689743248636</v>
      </c>
      <c r="E130" s="8" t="n">
        <f aca="true">NORMINV(RAND(),Assumptions!$B$14,Assumptions!$B$15)</f>
        <v>0.0596329549173038</v>
      </c>
      <c r="F130" s="8" t="n">
        <f aca="true">NORMINV(RAND(),Assumptions!$B$14,Assumptions!$B$15)</f>
        <v>0.0465830447424337</v>
      </c>
      <c r="G130" s="8" t="n">
        <f aca="true">NORMINV(RAND(),Assumptions!$B$14,Assumptions!$B$15)</f>
        <v>0.0751509292225834</v>
      </c>
      <c r="H130" s="8" t="n">
        <f aca="true">NORMINV(RAND(),Assumptions!$B$14,Assumptions!$B$15)</f>
        <v>0.00955616349092541</v>
      </c>
      <c r="I130" s="8" t="n">
        <f aca="true">NORMINV(RAND(),Assumptions!$B$14,Assumptions!$B$15)</f>
        <v>0.119435583959827</v>
      </c>
      <c r="J130" s="8" t="n">
        <f aca="true">NORMINV(RAND(),Assumptions!$B$14,Assumptions!$B$15)</f>
        <v>0.120066729799887</v>
      </c>
      <c r="K130" s="8" t="n">
        <f aca="true">NORMINV(RAND(),Assumptions!$B$14,Assumptions!$B$15)</f>
        <v>0.0831482821157342</v>
      </c>
      <c r="L130" s="8" t="n">
        <f aca="true">NORMINV(RAND(),Assumptions!$B$14,Assumptions!$B$15)</f>
        <v>0.0132373718940869</v>
      </c>
      <c r="M130" s="6" t="n">
        <f aca="false">B130-Assumptions!$B$29</f>
        <v>391263.996662504</v>
      </c>
      <c r="N130" s="6" t="n">
        <f aca="false">W130-Assumptions!$B$29</f>
        <v>370211.869686883</v>
      </c>
      <c r="O130" s="6" t="n">
        <f aca="false">X130-Assumptions!$B$29</f>
        <v>341006.290690086</v>
      </c>
      <c r="P130" s="6" t="n">
        <f aca="false">Y130-Assumptions!$B$29</f>
        <v>311341.503449325</v>
      </c>
      <c r="Q130" s="6" t="n">
        <f aca="false">Z130-Assumptions!$B$29</f>
        <v>275844.738634681</v>
      </c>
      <c r="R130" s="6" t="n">
        <f aca="false">AA130-Assumptions!$B$29</f>
        <v>246574.727064238</v>
      </c>
      <c r="S130" s="6" t="n">
        <f aca="false">AB130-Assumptions!$B$29</f>
        <v>198931.035468794</v>
      </c>
      <c r="T130" s="6" t="n">
        <f aca="false">AC130-Assumptions!$B$29</f>
        <v>172690.479857743</v>
      </c>
      <c r="U130" s="6" t="n">
        <f aca="false">AD130-Assumptions!$B$29</f>
        <v>143424.861041835</v>
      </c>
      <c r="V130" s="6" t="n">
        <f aca="false">AE130-Assumptions!$B$29</f>
        <v>105350.391850151</v>
      </c>
      <c r="W130" s="6" t="n">
        <f aca="false">M130*(1+C130)</f>
        <v>420211.869686883</v>
      </c>
      <c r="X130" s="6" t="n">
        <f aca="false">N130*(1+D130)</f>
        <v>391006.290690086</v>
      </c>
      <c r="Y130" s="6" t="n">
        <f aca="false">O130*(1+E130)</f>
        <v>361341.503449325</v>
      </c>
      <c r="Z130" s="6" t="n">
        <f aca="false">P130*(1+F130)</f>
        <v>325844.738634681</v>
      </c>
      <c r="AA130" s="6" t="n">
        <f aca="false">Q130*(1+G130)</f>
        <v>296574.727064238</v>
      </c>
      <c r="AB130" s="6" t="n">
        <f aca="false">R130*(1+H130)</f>
        <v>248931.035468794</v>
      </c>
      <c r="AC130" s="6" t="n">
        <f aca="false">S130*(1+I130)</f>
        <v>222690.479857743</v>
      </c>
      <c r="AD130" s="6" t="n">
        <f aca="false">T130*(1+J130)</f>
        <v>193424.861041835</v>
      </c>
      <c r="AE130" s="6" t="n">
        <f aca="false">U130*(1+K130)</f>
        <v>155350.391850151</v>
      </c>
      <c r="AF130" s="6" t="n">
        <f aca="false">V130*(1+L130)</f>
        <v>106744.95416626</v>
      </c>
      <c r="AG130" s="6" t="n">
        <f aca="false">MIN(M130:V130)</f>
        <v>105350.391850151</v>
      </c>
      <c r="AH130" s="19" t="n">
        <f aca="false">IF(AG130&gt;=0,1,0)</f>
        <v>1</v>
      </c>
    </row>
    <row r="131" customFormat="false" ht="15" hidden="false" customHeight="false" outlineLevel="0" collapsed="false">
      <c r="A131" s="0" t="n">
        <f aca="false">ROW()-1</f>
        <v>130</v>
      </c>
      <c r="B131" s="6" t="n">
        <f aca="false">Assumptions!$B$35</f>
        <v>441263.996662504</v>
      </c>
      <c r="C131" s="8" t="n">
        <f aca="true">NORMINV(RAND(),Assumptions!$B$14,Assumptions!$B$15)</f>
        <v>0.041623182869633</v>
      </c>
      <c r="D131" s="8" t="n">
        <f aca="true">NORMINV(RAND(),Assumptions!$B$14,Assumptions!$B$15)</f>
        <v>0.0229605548174573</v>
      </c>
      <c r="E131" s="8" t="n">
        <f aca="true">NORMINV(RAND(),Assumptions!$B$14,Assumptions!$B$15)</f>
        <v>0.0667179549849891</v>
      </c>
      <c r="F131" s="8" t="n">
        <f aca="true">NORMINV(RAND(),Assumptions!$B$14,Assumptions!$B$15)</f>
        <v>-0.0171248963866681</v>
      </c>
      <c r="G131" s="8" t="n">
        <f aca="true">NORMINV(RAND(),Assumptions!$B$14,Assumptions!$B$15)</f>
        <v>0.0248929595275091</v>
      </c>
      <c r="H131" s="8" t="n">
        <f aca="true">NORMINV(RAND(),Assumptions!$B$14,Assumptions!$B$15)</f>
        <v>0.0277143261352195</v>
      </c>
      <c r="I131" s="8" t="n">
        <f aca="true">NORMINV(RAND(),Assumptions!$B$14,Assumptions!$B$15)</f>
        <v>0.0275728056627522</v>
      </c>
      <c r="J131" s="8" t="n">
        <f aca="true">NORMINV(RAND(),Assumptions!$B$14,Assumptions!$B$15)</f>
        <v>0.0535804822382723</v>
      </c>
      <c r="K131" s="8" t="n">
        <f aca="true">NORMINV(RAND(),Assumptions!$B$14,Assumptions!$B$15)</f>
        <v>0.0543160444296395</v>
      </c>
      <c r="L131" s="8" t="n">
        <f aca="true">NORMINV(RAND(),Assumptions!$B$14,Assumptions!$B$15)</f>
        <v>0.0581019733232371</v>
      </c>
      <c r="M131" s="6" t="n">
        <f aca="false">B131-Assumptions!$B$29</f>
        <v>391263.996662504</v>
      </c>
      <c r="N131" s="6" t="n">
        <f aca="false">W131-Assumptions!$B$29</f>
        <v>357549.64954589</v>
      </c>
      <c r="O131" s="6" t="n">
        <f aca="false">X131-Assumptions!$B$29</f>
        <v>315759.187874251</v>
      </c>
      <c r="P131" s="6" t="n">
        <f aca="false">Y131-Assumptions!$B$29</f>
        <v>286825.995156942</v>
      </c>
      <c r="Q131" s="6" t="n">
        <f aca="false">Z131-Assumptions!$B$29</f>
        <v>231914.129708877</v>
      </c>
      <c r="R131" s="6" t="n">
        <f aca="false">AA131-Assumptions!$B$29</f>
        <v>187687.158753577</v>
      </c>
      <c r="S131" s="6" t="n">
        <f aca="false">AB131-Assumptions!$B$29</f>
        <v>142888.781882667</v>
      </c>
      <c r="T131" s="6" t="n">
        <f aca="false">AC131-Assumptions!$B$29</f>
        <v>96828.6264969049</v>
      </c>
      <c r="U131" s="6" t="n">
        <f aca="false">AD131-Assumptions!$B$29</f>
        <v>52016.7509990786</v>
      </c>
      <c r="V131" s="6" t="n">
        <f aca="false">AE131-Assumptions!$B$29</f>
        <v>4842.09515743006</v>
      </c>
      <c r="W131" s="6" t="n">
        <f aca="false">M131*(1+C131)</f>
        <v>407549.64954589</v>
      </c>
      <c r="X131" s="6" t="n">
        <f aca="false">N131*(1+D131)</f>
        <v>365759.187874251</v>
      </c>
      <c r="Y131" s="6" t="n">
        <f aca="false">O131*(1+E131)</f>
        <v>336825.995156942</v>
      </c>
      <c r="Z131" s="6" t="n">
        <f aca="false">P131*(1+F131)</f>
        <v>281914.129708877</v>
      </c>
      <c r="AA131" s="6" t="n">
        <f aca="false">Q131*(1+G131)</f>
        <v>237687.158753577</v>
      </c>
      <c r="AB131" s="6" t="n">
        <f aca="false">R131*(1+H131)</f>
        <v>192888.781882667</v>
      </c>
      <c r="AC131" s="6" t="n">
        <f aca="false">S131*(1+I131)</f>
        <v>146828.626496905</v>
      </c>
      <c r="AD131" s="6" t="n">
        <f aca="false">T131*(1+J131)</f>
        <v>102016.750999079</v>
      </c>
      <c r="AE131" s="6" t="n">
        <f aca="false">U131*(1+K131)</f>
        <v>54842.0951574301</v>
      </c>
      <c r="AF131" s="6" t="n">
        <f aca="false">V131*(1+L131)</f>
        <v>5123.43044109563</v>
      </c>
      <c r="AG131" s="6" t="n">
        <f aca="false">MIN(M131:V131)</f>
        <v>4842.09515743006</v>
      </c>
      <c r="AH131" s="19" t="n">
        <f aca="false">IF(AG131&gt;=0,1,0)</f>
        <v>1</v>
      </c>
    </row>
    <row r="132" customFormat="false" ht="15" hidden="false" customHeight="false" outlineLevel="0" collapsed="false">
      <c r="A132" s="0" t="n">
        <f aca="false">ROW()-1</f>
        <v>131</v>
      </c>
      <c r="B132" s="6" t="n">
        <f aca="false">Assumptions!$B$35</f>
        <v>441263.996662504</v>
      </c>
      <c r="C132" s="8" t="n">
        <f aca="true">NORMINV(RAND(),Assumptions!$B$14,Assumptions!$B$15)</f>
        <v>0.0794539405181922</v>
      </c>
      <c r="D132" s="8" t="n">
        <f aca="true">NORMINV(RAND(),Assumptions!$B$14,Assumptions!$B$15)</f>
        <v>0.0184225961164608</v>
      </c>
      <c r="E132" s="8" t="n">
        <f aca="true">NORMINV(RAND(),Assumptions!$B$14,Assumptions!$B$15)</f>
        <v>0.0493945764127904</v>
      </c>
      <c r="F132" s="8" t="n">
        <f aca="true">NORMINV(RAND(),Assumptions!$B$14,Assumptions!$B$15)</f>
        <v>0.0593494458784768</v>
      </c>
      <c r="G132" s="8" t="n">
        <f aca="true">NORMINV(RAND(),Assumptions!$B$14,Assumptions!$B$15)</f>
        <v>0.0275673518960729</v>
      </c>
      <c r="H132" s="8" t="n">
        <f aca="true">NORMINV(RAND(),Assumptions!$B$14,Assumptions!$B$15)</f>
        <v>0.0612461481170167</v>
      </c>
      <c r="I132" s="8" t="n">
        <f aca="true">NORMINV(RAND(),Assumptions!$B$14,Assumptions!$B$15)</f>
        <v>0.0967950819793178</v>
      </c>
      <c r="J132" s="8" t="n">
        <f aca="true">NORMINV(RAND(),Assumptions!$B$14,Assumptions!$B$15)</f>
        <v>0.0754205702810623</v>
      </c>
      <c r="K132" s="8" t="n">
        <f aca="true">NORMINV(RAND(),Assumptions!$B$14,Assumptions!$B$15)</f>
        <v>0.0239614616657964</v>
      </c>
      <c r="L132" s="8" t="n">
        <f aca="true">NORMINV(RAND(),Assumptions!$B$14,Assumptions!$B$15)</f>
        <v>0.0423269233449</v>
      </c>
      <c r="M132" s="6" t="n">
        <f aca="false">B132-Assumptions!$B$29</f>
        <v>391263.996662504</v>
      </c>
      <c r="N132" s="6" t="n">
        <f aca="false">W132-Assumptions!$B$29</f>
        <v>372351.462980236</v>
      </c>
      <c r="O132" s="6" t="n">
        <f aca="false">X132-Assumptions!$B$29</f>
        <v>329211.143596094</v>
      </c>
      <c r="P132" s="6" t="n">
        <f aca="false">Y132-Assumptions!$B$29</f>
        <v>295472.388584394</v>
      </c>
      <c r="Q132" s="6" t="n">
        <f aca="false">Z132-Assumptions!$B$29</f>
        <v>263008.511119268</v>
      </c>
      <c r="R132" s="6" t="n">
        <f aca="false">AA132-Assumptions!$B$29</f>
        <v>220258.959296955</v>
      </c>
      <c r="S132" s="6" t="n">
        <f aca="false">AB132-Assumptions!$B$29</f>
        <v>183748.972142156</v>
      </c>
      <c r="T132" s="6" t="n">
        <f aca="false">AC132-Assumptions!$B$29</f>
        <v>151534.968964271</v>
      </c>
      <c r="U132" s="6" t="n">
        <f aca="false">AD132-Assumptions!$B$29</f>
        <v>112963.82274108</v>
      </c>
      <c r="V132" s="6" t="n">
        <f aca="false">AE132-Assumptions!$B$29</f>
        <v>65670.6010493118</v>
      </c>
      <c r="W132" s="6" t="n">
        <f aca="false">M132*(1+C132)</f>
        <v>422351.462980236</v>
      </c>
      <c r="X132" s="6" t="n">
        <f aca="false">N132*(1+D132)</f>
        <v>379211.143596094</v>
      </c>
      <c r="Y132" s="6" t="n">
        <f aca="false">O132*(1+E132)</f>
        <v>345472.388584394</v>
      </c>
      <c r="Z132" s="6" t="n">
        <f aca="false">P132*(1+F132)</f>
        <v>313008.511119268</v>
      </c>
      <c r="AA132" s="6" t="n">
        <f aca="false">Q132*(1+G132)</f>
        <v>270258.959296955</v>
      </c>
      <c r="AB132" s="6" t="n">
        <f aca="false">R132*(1+H132)</f>
        <v>233748.972142156</v>
      </c>
      <c r="AC132" s="6" t="n">
        <f aca="false">S132*(1+I132)</f>
        <v>201534.968964271</v>
      </c>
      <c r="AD132" s="6" t="n">
        <f aca="false">T132*(1+J132)</f>
        <v>162963.82274108</v>
      </c>
      <c r="AE132" s="6" t="n">
        <f aca="false">U132*(1+K132)</f>
        <v>115670.601049312</v>
      </c>
      <c r="AF132" s="6" t="n">
        <f aca="false">V132*(1+L132)</f>
        <v>68450.2355459395</v>
      </c>
      <c r="AG132" s="6" t="n">
        <f aca="false">MIN(M132:V132)</f>
        <v>65670.6010493118</v>
      </c>
      <c r="AH132" s="19" t="n">
        <f aca="false">IF(AG132&gt;=0,1,0)</f>
        <v>1</v>
      </c>
    </row>
    <row r="133" customFormat="false" ht="15" hidden="false" customHeight="false" outlineLevel="0" collapsed="false">
      <c r="A133" s="0" t="n">
        <f aca="false">ROW()-1</f>
        <v>132</v>
      </c>
      <c r="B133" s="6" t="n">
        <f aca="false">Assumptions!$B$35</f>
        <v>441263.996662504</v>
      </c>
      <c r="C133" s="8" t="n">
        <f aca="true">NORMINV(RAND(),Assumptions!$B$14,Assumptions!$B$15)</f>
        <v>0.0707437150094332</v>
      </c>
      <c r="D133" s="8" t="n">
        <f aca="true">NORMINV(RAND(),Assumptions!$B$14,Assumptions!$B$15)</f>
        <v>0.0359922931281972</v>
      </c>
      <c r="E133" s="8" t="n">
        <f aca="true">NORMINV(RAND(),Assumptions!$B$14,Assumptions!$B$15)</f>
        <v>0.118741479333233</v>
      </c>
      <c r="F133" s="8" t="n">
        <f aca="true">NORMINV(RAND(),Assumptions!$B$14,Assumptions!$B$15)</f>
        <v>0.0487285376066373</v>
      </c>
      <c r="G133" s="8" t="n">
        <f aca="true">NORMINV(RAND(),Assumptions!$B$14,Assumptions!$B$15)</f>
        <v>0.0317867473424526</v>
      </c>
      <c r="H133" s="8" t="n">
        <f aca="true">NORMINV(RAND(),Assumptions!$B$14,Assumptions!$B$15)</f>
        <v>-0.00063495431828061</v>
      </c>
      <c r="I133" s="8" t="n">
        <f aca="true">NORMINV(RAND(),Assumptions!$B$14,Assumptions!$B$15)</f>
        <v>0.000883130638399447</v>
      </c>
      <c r="J133" s="8" t="n">
        <f aca="true">NORMINV(RAND(),Assumptions!$B$14,Assumptions!$B$15)</f>
        <v>0.0263182090524591</v>
      </c>
      <c r="K133" s="8" t="n">
        <f aca="true">NORMINV(RAND(),Assumptions!$B$14,Assumptions!$B$15)</f>
        <v>0.0281782906860533</v>
      </c>
      <c r="L133" s="8" t="n">
        <f aca="true">NORMINV(RAND(),Assumptions!$B$14,Assumptions!$B$15)</f>
        <v>0.0375748844494782</v>
      </c>
      <c r="M133" s="6" t="n">
        <f aca="false">B133-Assumptions!$B$29</f>
        <v>391263.996662504</v>
      </c>
      <c r="N133" s="6" t="n">
        <f aca="false">W133-Assumptions!$B$29</f>
        <v>368943.465335848</v>
      </c>
      <c r="O133" s="6" t="n">
        <f aca="false">X133-Assumptions!$B$29</f>
        <v>332222.586687948</v>
      </c>
      <c r="P133" s="6" t="n">
        <f aca="false">Y133-Assumptions!$B$29</f>
        <v>321671.188099188</v>
      </c>
      <c r="Q133" s="6" t="n">
        <f aca="false">Z133-Assumptions!$B$29</f>
        <v>287345.754685451</v>
      </c>
      <c r="R133" s="6" t="n">
        <f aca="false">AA133-Assumptions!$B$29</f>
        <v>246479.541589564</v>
      </c>
      <c r="S133" s="6" t="n">
        <f aca="false">AB133-Assumptions!$B$29</f>
        <v>196323.038340264</v>
      </c>
      <c r="T133" s="6" t="n">
        <f aca="false">AC133-Assumptions!$B$29</f>
        <v>146496.417230446</v>
      </c>
      <c r="U133" s="6" t="n">
        <f aca="false">AD133-Assumptions!$B$29</f>
        <v>100351.940564553</v>
      </c>
      <c r="V133" s="6" t="n">
        <f aca="false">AE133-Assumptions!$B$29</f>
        <v>53179.6867166905</v>
      </c>
      <c r="W133" s="6" t="n">
        <f aca="false">M133*(1+C133)</f>
        <v>418943.465335848</v>
      </c>
      <c r="X133" s="6" t="n">
        <f aca="false">N133*(1+D133)</f>
        <v>382222.586687948</v>
      </c>
      <c r="Y133" s="6" t="n">
        <f aca="false">O133*(1+E133)</f>
        <v>371671.188099188</v>
      </c>
      <c r="Z133" s="6" t="n">
        <f aca="false">P133*(1+F133)</f>
        <v>337345.754685451</v>
      </c>
      <c r="AA133" s="6" t="n">
        <f aca="false">Q133*(1+G133)</f>
        <v>296479.541589564</v>
      </c>
      <c r="AB133" s="6" t="n">
        <f aca="false">R133*(1+H133)</f>
        <v>246323.038340264</v>
      </c>
      <c r="AC133" s="6" t="n">
        <f aca="false">S133*(1+I133)</f>
        <v>196496.417230446</v>
      </c>
      <c r="AD133" s="6" t="n">
        <f aca="false">T133*(1+J133)</f>
        <v>150351.940564553</v>
      </c>
      <c r="AE133" s="6" t="n">
        <f aca="false">U133*(1+K133)</f>
        <v>103179.686716691</v>
      </c>
      <c r="AF133" s="6" t="n">
        <f aca="false">V133*(1+L133)</f>
        <v>55177.9073001296</v>
      </c>
      <c r="AG133" s="6" t="n">
        <f aca="false">MIN(M133:V133)</f>
        <v>53179.6867166905</v>
      </c>
      <c r="AH133" s="19" t="n">
        <f aca="false">IF(AG133&gt;=0,1,0)</f>
        <v>1</v>
      </c>
    </row>
    <row r="134" customFormat="false" ht="15" hidden="false" customHeight="false" outlineLevel="0" collapsed="false">
      <c r="A134" s="0" t="n">
        <f aca="false">ROW()-1</f>
        <v>133</v>
      </c>
      <c r="B134" s="6" t="n">
        <f aca="false">Assumptions!$B$35</f>
        <v>441263.996662504</v>
      </c>
      <c r="C134" s="8" t="n">
        <f aca="true">NORMINV(RAND(),Assumptions!$B$14,Assumptions!$B$15)</f>
        <v>0.0754585230850986</v>
      </c>
      <c r="D134" s="8" t="n">
        <f aca="true">NORMINV(RAND(),Assumptions!$B$14,Assumptions!$B$15)</f>
        <v>0.0619318966312781</v>
      </c>
      <c r="E134" s="8" t="n">
        <f aca="true">NORMINV(RAND(),Assumptions!$B$14,Assumptions!$B$15)</f>
        <v>0.0604334172203028</v>
      </c>
      <c r="F134" s="8" t="n">
        <f aca="true">NORMINV(RAND(),Assumptions!$B$14,Assumptions!$B$15)</f>
        <v>0.0605324627187963</v>
      </c>
      <c r="G134" s="8" t="n">
        <f aca="true">NORMINV(RAND(),Assumptions!$B$14,Assumptions!$B$15)</f>
        <v>0.0396146879289636</v>
      </c>
      <c r="H134" s="8" t="n">
        <f aca="true">NORMINV(RAND(),Assumptions!$B$14,Assumptions!$B$15)</f>
        <v>0.0280463356582275</v>
      </c>
      <c r="I134" s="8" t="n">
        <f aca="true">NORMINV(RAND(),Assumptions!$B$14,Assumptions!$B$15)</f>
        <v>0.0149081930919432</v>
      </c>
      <c r="J134" s="8" t="n">
        <f aca="true">NORMINV(RAND(),Assumptions!$B$14,Assumptions!$B$15)</f>
        <v>0.0265305055808017</v>
      </c>
      <c r="K134" s="8" t="n">
        <f aca="true">NORMINV(RAND(),Assumptions!$B$14,Assumptions!$B$15)</f>
        <v>0.062964315472954</v>
      </c>
      <c r="L134" s="8" t="n">
        <f aca="true">NORMINV(RAND(),Assumptions!$B$14,Assumptions!$B$15)</f>
        <v>0.0533523593624454</v>
      </c>
      <c r="M134" s="6" t="n">
        <f aca="false">B134-Assumptions!$B$29</f>
        <v>391263.996662504</v>
      </c>
      <c r="N134" s="6" t="n">
        <f aca="false">W134-Assumptions!$B$29</f>
        <v>370788.199987029</v>
      </c>
      <c r="O134" s="6" t="n">
        <f aca="false">X134-Assumptions!$B$29</f>
        <v>343751.816460723</v>
      </c>
      <c r="P134" s="6" t="n">
        <f aca="false">Y134-Assumptions!$B$29</f>
        <v>314525.913405131</v>
      </c>
      <c r="Q134" s="6" t="n">
        <f aca="false">Z134-Assumptions!$B$29</f>
        <v>283564.941532423</v>
      </c>
      <c r="R134" s="6" t="n">
        <f aca="false">AA134-Assumptions!$B$29</f>
        <v>244798.278198824</v>
      </c>
      <c r="S134" s="6" t="n">
        <f aca="false">AB134-Assumptions!$B$29</f>
        <v>201663.972877745</v>
      </c>
      <c r="T134" s="6" t="n">
        <f aca="false">AC134-Assumptions!$B$29</f>
        <v>154670.418325094</v>
      </c>
      <c r="U134" s="6" t="n">
        <f aca="false">AD134-Assumptions!$B$29</f>
        <v>108773.902721653</v>
      </c>
      <c r="V134" s="6" t="n">
        <f aca="false">AE134-Assumptions!$B$29</f>
        <v>65622.7770478439</v>
      </c>
      <c r="W134" s="6" t="n">
        <f aca="false">M134*(1+C134)</f>
        <v>420788.199987029</v>
      </c>
      <c r="X134" s="6" t="n">
        <f aca="false">N134*(1+D134)</f>
        <v>393751.816460723</v>
      </c>
      <c r="Y134" s="6" t="n">
        <f aca="false">O134*(1+E134)</f>
        <v>364525.913405131</v>
      </c>
      <c r="Z134" s="6" t="n">
        <f aca="false">P134*(1+F134)</f>
        <v>333564.941532423</v>
      </c>
      <c r="AA134" s="6" t="n">
        <f aca="false">Q134*(1+G134)</f>
        <v>294798.278198824</v>
      </c>
      <c r="AB134" s="6" t="n">
        <f aca="false">R134*(1+H134)</f>
        <v>251663.972877745</v>
      </c>
      <c r="AC134" s="6" t="n">
        <f aca="false">S134*(1+I134)</f>
        <v>204670.418325094</v>
      </c>
      <c r="AD134" s="6" t="n">
        <f aca="false">T134*(1+J134)</f>
        <v>158773.902721653</v>
      </c>
      <c r="AE134" s="6" t="n">
        <f aca="false">U134*(1+K134)</f>
        <v>115622.777047844</v>
      </c>
      <c r="AF134" s="6" t="n">
        <f aca="false">V134*(1+L134)</f>
        <v>69123.9070312621</v>
      </c>
      <c r="AG134" s="6" t="n">
        <f aca="false">MIN(M134:V134)</f>
        <v>65622.7770478439</v>
      </c>
      <c r="AH134" s="19" t="n">
        <f aca="false">IF(AG134&gt;=0,1,0)</f>
        <v>1</v>
      </c>
    </row>
    <row r="135" customFormat="false" ht="15" hidden="false" customHeight="false" outlineLevel="0" collapsed="false">
      <c r="A135" s="0" t="n">
        <f aca="false">ROW()-1</f>
        <v>134</v>
      </c>
      <c r="B135" s="6" t="n">
        <f aca="false">Assumptions!$B$35</f>
        <v>441263.996662504</v>
      </c>
      <c r="C135" s="8" t="n">
        <f aca="true">NORMINV(RAND(),Assumptions!$B$14,Assumptions!$B$15)</f>
        <v>0.0932745331138548</v>
      </c>
      <c r="D135" s="8" t="n">
        <f aca="true">NORMINV(RAND(),Assumptions!$B$14,Assumptions!$B$15)</f>
        <v>0.0760232590728167</v>
      </c>
      <c r="E135" s="8" t="n">
        <f aca="true">NORMINV(RAND(),Assumptions!$B$14,Assumptions!$B$15)</f>
        <v>0.12005601320542</v>
      </c>
      <c r="F135" s="8" t="n">
        <f aca="true">NORMINV(RAND(),Assumptions!$B$14,Assumptions!$B$15)</f>
        <v>0.0490048115498293</v>
      </c>
      <c r="G135" s="8" t="n">
        <f aca="true">NORMINV(RAND(),Assumptions!$B$14,Assumptions!$B$15)</f>
        <v>0.0311784189803704</v>
      </c>
      <c r="H135" s="8" t="n">
        <f aca="true">NORMINV(RAND(),Assumptions!$B$14,Assumptions!$B$15)</f>
        <v>0.0842147281209012</v>
      </c>
      <c r="I135" s="8" t="n">
        <f aca="true">NORMINV(RAND(),Assumptions!$B$14,Assumptions!$B$15)</f>
        <v>0.0303045215965331</v>
      </c>
      <c r="J135" s="8" t="n">
        <f aca="true">NORMINV(RAND(),Assumptions!$B$14,Assumptions!$B$15)</f>
        <v>0.0306628173605137</v>
      </c>
      <c r="K135" s="8" t="n">
        <f aca="true">NORMINV(RAND(),Assumptions!$B$14,Assumptions!$B$15)</f>
        <v>0.108963724271054</v>
      </c>
      <c r="L135" s="8" t="n">
        <f aca="true">NORMINV(RAND(),Assumptions!$B$14,Assumptions!$B$15)</f>
        <v>0.0275779811098901</v>
      </c>
      <c r="M135" s="6" t="n">
        <f aca="false">B135-Assumptions!$B$29</f>
        <v>391263.996662504</v>
      </c>
      <c r="N135" s="6" t="n">
        <f aca="false">W135-Assumptions!$B$29</f>
        <v>377758.963275459</v>
      </c>
      <c r="O135" s="6" t="n">
        <f aca="false">X135-Assumptions!$B$29</f>
        <v>356477.430807628</v>
      </c>
      <c r="P135" s="6" t="n">
        <f aca="false">Y135-Assumptions!$B$29</f>
        <v>349274.689948103</v>
      </c>
      <c r="Q135" s="6" t="n">
        <f aca="false">Z135-Assumptions!$B$29</f>
        <v>316390.830308135</v>
      </c>
      <c r="R135" s="6" t="n">
        <f aca="false">AA135-Assumptions!$B$29</f>
        <v>276255.396177029</v>
      </c>
      <c r="S135" s="6" t="n">
        <f aca="false">AB135-Assumptions!$B$29</f>
        <v>249520.16925801</v>
      </c>
      <c r="T135" s="6" t="n">
        <f aca="false">AC135-Assumptions!$B$29</f>
        <v>207081.75861606</v>
      </c>
      <c r="U135" s="6" t="n">
        <f aca="false">AD135-Assumptions!$B$29</f>
        <v>163431.468759198</v>
      </c>
      <c r="V135" s="6" t="n">
        <f aca="false">AE135-Assumptions!$B$29</f>
        <v>131239.570258288</v>
      </c>
      <c r="W135" s="6" t="n">
        <f aca="false">M135*(1+C135)</f>
        <v>427758.963275459</v>
      </c>
      <c r="X135" s="6" t="n">
        <f aca="false">N135*(1+D135)</f>
        <v>406477.430807628</v>
      </c>
      <c r="Y135" s="6" t="n">
        <f aca="false">O135*(1+E135)</f>
        <v>399274.689948103</v>
      </c>
      <c r="Z135" s="6" t="n">
        <f aca="false">P135*(1+F135)</f>
        <v>366390.830308135</v>
      </c>
      <c r="AA135" s="6" t="n">
        <f aca="false">Q135*(1+G135)</f>
        <v>326255.396177029</v>
      </c>
      <c r="AB135" s="6" t="n">
        <f aca="false">R135*(1+H135)</f>
        <v>299520.16925801</v>
      </c>
      <c r="AC135" s="6" t="n">
        <f aca="false">S135*(1+I135)</f>
        <v>257081.75861606</v>
      </c>
      <c r="AD135" s="6" t="n">
        <f aca="false">T135*(1+J135)</f>
        <v>213431.468759198</v>
      </c>
      <c r="AE135" s="6" t="n">
        <f aca="false">U135*(1+K135)</f>
        <v>181239.570258288</v>
      </c>
      <c r="AF135" s="6" t="n">
        <f aca="false">V135*(1+L135)</f>
        <v>134858.892647742</v>
      </c>
      <c r="AG135" s="6" t="n">
        <f aca="false">MIN(M135:V135)</f>
        <v>131239.570258288</v>
      </c>
      <c r="AH135" s="19" t="n">
        <f aca="false">IF(AG135&gt;=0,1,0)</f>
        <v>1</v>
      </c>
    </row>
    <row r="136" customFormat="false" ht="15" hidden="false" customHeight="false" outlineLevel="0" collapsed="false">
      <c r="A136" s="0" t="n">
        <f aca="false">ROW()-1</f>
        <v>135</v>
      </c>
      <c r="B136" s="6" t="n">
        <f aca="false">Assumptions!$B$35</f>
        <v>441263.996662504</v>
      </c>
      <c r="C136" s="8" t="n">
        <f aca="true">NORMINV(RAND(),Assumptions!$B$14,Assumptions!$B$15)</f>
        <v>0.0596817056155077</v>
      </c>
      <c r="D136" s="8" t="n">
        <f aca="true">NORMINV(RAND(),Assumptions!$B$14,Assumptions!$B$15)</f>
        <v>0.0755560131852167</v>
      </c>
      <c r="E136" s="8" t="n">
        <f aca="true">NORMINV(RAND(),Assumptions!$B$14,Assumptions!$B$15)</f>
        <v>0.0678839916767832</v>
      </c>
      <c r="F136" s="8" t="n">
        <f aca="true">NORMINV(RAND(),Assumptions!$B$14,Assumptions!$B$15)</f>
        <v>0.0182303306130373</v>
      </c>
      <c r="G136" s="8" t="n">
        <f aca="true">NORMINV(RAND(),Assumptions!$B$14,Assumptions!$B$15)</f>
        <v>0.0382059420697405</v>
      </c>
      <c r="H136" s="8" t="n">
        <f aca="true">NORMINV(RAND(),Assumptions!$B$14,Assumptions!$B$15)</f>
        <v>0.0109773276171719</v>
      </c>
      <c r="I136" s="8" t="n">
        <f aca="true">NORMINV(RAND(),Assumptions!$B$14,Assumptions!$B$15)</f>
        <v>0.0499931490063885</v>
      </c>
      <c r="J136" s="8" t="n">
        <f aca="true">NORMINV(RAND(),Assumptions!$B$14,Assumptions!$B$15)</f>
        <v>0.0765149612620152</v>
      </c>
      <c r="K136" s="8" t="n">
        <f aca="true">NORMINV(RAND(),Assumptions!$B$14,Assumptions!$B$15)</f>
        <v>0.0800160795046721</v>
      </c>
      <c r="L136" s="8" t="n">
        <f aca="true">NORMINV(RAND(),Assumptions!$B$14,Assumptions!$B$15)</f>
        <v>0.0211846074445012</v>
      </c>
      <c r="M136" s="6" t="n">
        <f aca="false">B136-Assumptions!$B$29</f>
        <v>391263.996662504</v>
      </c>
      <c r="N136" s="6" t="n">
        <f aca="false">W136-Assumptions!$B$29</f>
        <v>364615.299329262</v>
      </c>
      <c r="O136" s="6" t="n">
        <f aca="false">X136-Assumptions!$B$29</f>
        <v>342164.177692916</v>
      </c>
      <c r="P136" s="6" t="n">
        <f aca="false">Y136-Assumptions!$B$29</f>
        <v>315391.647883515</v>
      </c>
      <c r="Q136" s="6" t="n">
        <f aca="false">Z136-Assumptions!$B$29</f>
        <v>271141.341897022</v>
      </c>
      <c r="R136" s="6" t="n">
        <f aca="false">AA136-Assumptions!$B$29</f>
        <v>231500.552298251</v>
      </c>
      <c r="S136" s="6" t="n">
        <f aca="false">AB136-Assumptions!$B$29</f>
        <v>184041.809704385</v>
      </c>
      <c r="T136" s="6" t="n">
        <f aca="false">AC136-Assumptions!$B$29</f>
        <v>143242.639320342</v>
      </c>
      <c r="U136" s="6" t="n">
        <f aca="false">AD136-Assumptions!$B$29</f>
        <v>104202.844319007</v>
      </c>
      <c r="V136" s="6" t="n">
        <f aca="false">AE136-Assumptions!$B$29</f>
        <v>62540.7473946495</v>
      </c>
      <c r="W136" s="6" t="n">
        <f aca="false">M136*(1+C136)</f>
        <v>414615.299329262</v>
      </c>
      <c r="X136" s="6" t="n">
        <f aca="false">N136*(1+D136)</f>
        <v>392164.177692916</v>
      </c>
      <c r="Y136" s="6" t="n">
        <f aca="false">O136*(1+E136)</f>
        <v>365391.647883515</v>
      </c>
      <c r="Z136" s="6" t="n">
        <f aca="false">P136*(1+F136)</f>
        <v>321141.341897022</v>
      </c>
      <c r="AA136" s="6" t="n">
        <f aca="false">Q136*(1+G136)</f>
        <v>281500.552298251</v>
      </c>
      <c r="AB136" s="6" t="n">
        <f aca="false">R136*(1+H136)</f>
        <v>234041.809704385</v>
      </c>
      <c r="AC136" s="6" t="n">
        <f aca="false">S136*(1+I136)</f>
        <v>193242.639320342</v>
      </c>
      <c r="AD136" s="6" t="n">
        <f aca="false">T136*(1+J136)</f>
        <v>154202.844319007</v>
      </c>
      <c r="AE136" s="6" t="n">
        <f aca="false">U136*(1+K136)</f>
        <v>112540.74739465</v>
      </c>
      <c r="AF136" s="6" t="n">
        <f aca="false">V136*(1+L136)</f>
        <v>63865.6485774909</v>
      </c>
      <c r="AG136" s="6" t="n">
        <f aca="false">MIN(M136:V136)</f>
        <v>62540.7473946495</v>
      </c>
      <c r="AH136" s="19" t="n">
        <f aca="false">IF(AG136&gt;=0,1,0)</f>
        <v>1</v>
      </c>
    </row>
    <row r="137" customFormat="false" ht="15" hidden="false" customHeight="false" outlineLevel="0" collapsed="false">
      <c r="A137" s="0" t="n">
        <f aca="false">ROW()-1</f>
        <v>136</v>
      </c>
      <c r="B137" s="6" t="n">
        <f aca="false">Assumptions!$B$35</f>
        <v>441263.996662504</v>
      </c>
      <c r="C137" s="8" t="n">
        <f aca="true">NORMINV(RAND(),Assumptions!$B$14,Assumptions!$B$15)</f>
        <v>0.0398417504031018</v>
      </c>
      <c r="D137" s="8" t="n">
        <f aca="true">NORMINV(RAND(),Assumptions!$B$14,Assumptions!$B$15)</f>
        <v>0.0318114736737974</v>
      </c>
      <c r="E137" s="8" t="n">
        <f aca="true">NORMINV(RAND(),Assumptions!$B$14,Assumptions!$B$15)</f>
        <v>0.0340139126424441</v>
      </c>
      <c r="F137" s="8" t="n">
        <f aca="true">NORMINV(RAND(),Assumptions!$B$14,Assumptions!$B$15)</f>
        <v>-0.0140872599332763</v>
      </c>
      <c r="G137" s="8" t="n">
        <f aca="true">NORMINV(RAND(),Assumptions!$B$14,Assumptions!$B$15)</f>
        <v>0.0665469622237936</v>
      </c>
      <c r="H137" s="8" t="n">
        <f aca="true">NORMINV(RAND(),Assumptions!$B$14,Assumptions!$B$15)</f>
        <v>0.0709746064044819</v>
      </c>
      <c r="I137" s="8" t="n">
        <f aca="true">NORMINV(RAND(),Assumptions!$B$14,Assumptions!$B$15)</f>
        <v>0.0490397959632688</v>
      </c>
      <c r="J137" s="8" t="n">
        <f aca="true">NORMINV(RAND(),Assumptions!$B$14,Assumptions!$B$15)</f>
        <v>-0.0199943105938157</v>
      </c>
      <c r="K137" s="8" t="n">
        <f aca="true">NORMINV(RAND(),Assumptions!$B$14,Assumptions!$B$15)</f>
        <v>0.0545688976787217</v>
      </c>
      <c r="L137" s="8" t="n">
        <f aca="true">NORMINV(RAND(),Assumptions!$B$14,Assumptions!$B$15)</f>
        <v>0.0411756346587092</v>
      </c>
      <c r="M137" s="6" t="n">
        <f aca="false">B137-Assumptions!$B$29</f>
        <v>391263.996662504</v>
      </c>
      <c r="N137" s="6" t="n">
        <f aca="false">W137-Assumptions!$B$29</f>
        <v>356852.639159251</v>
      </c>
      <c r="O137" s="6" t="n">
        <f aca="false">X137-Assumptions!$B$29</f>
        <v>318204.647495291</v>
      </c>
      <c r="P137" s="6" t="n">
        <f aca="false">Y137-Assumptions!$B$29</f>
        <v>279028.032577615</v>
      </c>
      <c r="Q137" s="6" t="n">
        <f aca="false">Z137-Assumptions!$B$29</f>
        <v>225097.292154024</v>
      </c>
      <c r="R137" s="6" t="n">
        <f aca="false">AA137-Assumptions!$B$29</f>
        <v>190076.833151676</v>
      </c>
      <c r="S137" s="6" t="n">
        <f aca="false">AB137-Assumptions!$B$29</f>
        <v>153567.461571226</v>
      </c>
      <c r="T137" s="6" t="n">
        <f aca="false">AC137-Assumptions!$B$29</f>
        <v>111098.378553276</v>
      </c>
      <c r="U137" s="6" t="n">
        <f aca="false">AD137-Assumptions!$B$29</f>
        <v>58877.0430660127</v>
      </c>
      <c r="V137" s="6" t="n">
        <f aca="false">AE137-Assumptions!$B$29</f>
        <v>12089.8984047076</v>
      </c>
      <c r="W137" s="6" t="n">
        <f aca="false">M137*(1+C137)</f>
        <v>406852.639159251</v>
      </c>
      <c r="X137" s="6" t="n">
        <f aca="false">N137*(1+D137)</f>
        <v>368204.647495291</v>
      </c>
      <c r="Y137" s="6" t="n">
        <f aca="false">O137*(1+E137)</f>
        <v>329028.032577615</v>
      </c>
      <c r="Z137" s="6" t="n">
        <f aca="false">P137*(1+F137)</f>
        <v>275097.292154024</v>
      </c>
      <c r="AA137" s="6" t="n">
        <f aca="false">Q137*(1+G137)</f>
        <v>240076.833151676</v>
      </c>
      <c r="AB137" s="6" t="n">
        <f aca="false">R137*(1+H137)</f>
        <v>203567.461571226</v>
      </c>
      <c r="AC137" s="6" t="n">
        <f aca="false">S137*(1+I137)</f>
        <v>161098.378553276</v>
      </c>
      <c r="AD137" s="6" t="n">
        <f aca="false">T137*(1+J137)</f>
        <v>108877.043066013</v>
      </c>
      <c r="AE137" s="6" t="n">
        <f aca="false">U137*(1+K137)</f>
        <v>62089.8984047076</v>
      </c>
      <c r="AF137" s="6" t="n">
        <f aca="false">V137*(1+L137)</f>
        <v>12587.7076444807</v>
      </c>
      <c r="AG137" s="6" t="n">
        <f aca="false">MIN(M137:V137)</f>
        <v>12089.8984047076</v>
      </c>
      <c r="AH137" s="19" t="n">
        <f aca="false">IF(AG137&gt;=0,1,0)</f>
        <v>1</v>
      </c>
    </row>
    <row r="138" customFormat="false" ht="15" hidden="false" customHeight="false" outlineLevel="0" collapsed="false">
      <c r="A138" s="0" t="n">
        <f aca="false">ROW()-1</f>
        <v>137</v>
      </c>
      <c r="B138" s="6" t="n">
        <f aca="false">Assumptions!$B$35</f>
        <v>441263.996662504</v>
      </c>
      <c r="C138" s="8" t="n">
        <f aca="true">NORMINV(RAND(),Assumptions!$B$14,Assumptions!$B$15)</f>
        <v>0.0242584846865259</v>
      </c>
      <c r="D138" s="8" t="n">
        <f aca="true">NORMINV(RAND(),Assumptions!$B$14,Assumptions!$B$15)</f>
        <v>0.0523037294691601</v>
      </c>
      <c r="E138" s="8" t="n">
        <f aca="true">NORMINV(RAND(),Assumptions!$B$14,Assumptions!$B$15)</f>
        <v>0.0113368424343954</v>
      </c>
      <c r="F138" s="8" t="n">
        <f aca="true">NORMINV(RAND(),Assumptions!$B$14,Assumptions!$B$15)</f>
        <v>0.023479168861377</v>
      </c>
      <c r="G138" s="8" t="n">
        <f aca="true">NORMINV(RAND(),Assumptions!$B$14,Assumptions!$B$15)</f>
        <v>0.058994661339305</v>
      </c>
      <c r="H138" s="8" t="n">
        <f aca="true">NORMINV(RAND(),Assumptions!$B$14,Assumptions!$B$15)</f>
        <v>0.0535674075555782</v>
      </c>
      <c r="I138" s="8" t="n">
        <f aca="true">NORMINV(RAND(),Assumptions!$B$14,Assumptions!$B$15)</f>
        <v>0.100969391811311</v>
      </c>
      <c r="J138" s="8" t="n">
        <f aca="true">NORMINV(RAND(),Assumptions!$B$14,Assumptions!$B$15)</f>
        <v>0.0488627427449912</v>
      </c>
      <c r="K138" s="8" t="n">
        <f aca="true">NORMINV(RAND(),Assumptions!$B$14,Assumptions!$B$15)</f>
        <v>0.0760076767412902</v>
      </c>
      <c r="L138" s="8" t="n">
        <f aca="true">NORMINV(RAND(),Assumptions!$B$14,Assumptions!$B$15)</f>
        <v>0.0236379818155296</v>
      </c>
      <c r="M138" s="6" t="n">
        <f aca="false">B138-Assumptions!$B$29</f>
        <v>391263.996662504</v>
      </c>
      <c r="N138" s="6" t="n">
        <f aca="false">W138-Assumptions!$B$29</f>
        <v>350755.46833393</v>
      </c>
      <c r="O138" s="6" t="n">
        <f aca="false">X138-Assumptions!$B$29</f>
        <v>319101.287459496</v>
      </c>
      <c r="P138" s="6" t="n">
        <f aca="false">Y138-Assumptions!$B$29</f>
        <v>272718.888476037</v>
      </c>
      <c r="Q138" s="6" t="n">
        <f aca="false">Z138-Assumptions!$B$29</f>
        <v>229122.101310253</v>
      </c>
      <c r="R138" s="6" t="n">
        <f aca="false">AA138-Assumptions!$B$29</f>
        <v>192639.082082402</v>
      </c>
      <c r="S138" s="6" t="n">
        <f aca="false">AB138-Assumptions!$B$29</f>
        <v>152958.258303442</v>
      </c>
      <c r="T138" s="6" t="n">
        <f aca="false">AC138-Assumptions!$B$29</f>
        <v>118402.360616858</v>
      </c>
      <c r="U138" s="6" t="n">
        <f aca="false">AD138-Assumptions!$B$29</f>
        <v>74187.8247040792</v>
      </c>
      <c r="V138" s="6" t="n">
        <f aca="false">AE138-Assumptions!$B$29</f>
        <v>29826.6689023263</v>
      </c>
      <c r="W138" s="6" t="n">
        <f aca="false">M138*(1+C138)</f>
        <v>400755.46833393</v>
      </c>
      <c r="X138" s="6" t="n">
        <f aca="false">N138*(1+D138)</f>
        <v>369101.287459496</v>
      </c>
      <c r="Y138" s="6" t="n">
        <f aca="false">O138*(1+E138)</f>
        <v>322718.888476037</v>
      </c>
      <c r="Z138" s="6" t="n">
        <f aca="false">P138*(1+F138)</f>
        <v>279122.101310253</v>
      </c>
      <c r="AA138" s="6" t="n">
        <f aca="false">Q138*(1+G138)</f>
        <v>242639.082082402</v>
      </c>
      <c r="AB138" s="6" t="n">
        <f aca="false">R138*(1+H138)</f>
        <v>202958.258303442</v>
      </c>
      <c r="AC138" s="6" t="n">
        <f aca="false">S138*(1+I138)</f>
        <v>168402.360616858</v>
      </c>
      <c r="AD138" s="6" t="n">
        <f aca="false">T138*(1+J138)</f>
        <v>124187.824704079</v>
      </c>
      <c r="AE138" s="6" t="n">
        <f aca="false">U138*(1+K138)</f>
        <v>79826.6689023264</v>
      </c>
      <c r="AF138" s="6" t="n">
        <f aca="false">V138*(1+L138)</f>
        <v>30531.7111594574</v>
      </c>
      <c r="AG138" s="6" t="n">
        <f aca="false">MIN(M138:V138)</f>
        <v>29826.6689023263</v>
      </c>
      <c r="AH138" s="19" t="n">
        <f aca="false">IF(AG138&gt;=0,1,0)</f>
        <v>1</v>
      </c>
    </row>
    <row r="139" customFormat="false" ht="15" hidden="false" customHeight="false" outlineLevel="0" collapsed="false">
      <c r="A139" s="0" t="n">
        <f aca="false">ROW()-1</f>
        <v>138</v>
      </c>
      <c r="B139" s="6" t="n">
        <f aca="false">Assumptions!$B$35</f>
        <v>441263.996662504</v>
      </c>
      <c r="C139" s="8" t="n">
        <f aca="true">NORMINV(RAND(),Assumptions!$B$14,Assumptions!$B$15)</f>
        <v>0.0270864787370465</v>
      </c>
      <c r="D139" s="8" t="n">
        <f aca="true">NORMINV(RAND(),Assumptions!$B$14,Assumptions!$B$15)</f>
        <v>0.0743718311126406</v>
      </c>
      <c r="E139" s="8" t="n">
        <f aca="true">NORMINV(RAND(),Assumptions!$B$14,Assumptions!$B$15)</f>
        <v>0.0246373284269777</v>
      </c>
      <c r="F139" s="8" t="n">
        <f aca="true">NORMINV(RAND(),Assumptions!$B$14,Assumptions!$B$15)</f>
        <v>-0.0159004034947516</v>
      </c>
      <c r="G139" s="8" t="n">
        <f aca="true">NORMINV(RAND(),Assumptions!$B$14,Assumptions!$B$15)</f>
        <v>0.0687812916450844</v>
      </c>
      <c r="H139" s="8" t="n">
        <f aca="true">NORMINV(RAND(),Assumptions!$B$14,Assumptions!$B$15)</f>
        <v>0.0442425250006938</v>
      </c>
      <c r="I139" s="8" t="n">
        <f aca="true">NORMINV(RAND(),Assumptions!$B$14,Assumptions!$B$15)</f>
        <v>0.0433596404877438</v>
      </c>
      <c r="J139" s="8" t="n">
        <f aca="true">NORMINV(RAND(),Assumptions!$B$14,Assumptions!$B$15)</f>
        <v>0.0116101746327385</v>
      </c>
      <c r="K139" s="8" t="n">
        <f aca="true">NORMINV(RAND(),Assumptions!$B$14,Assumptions!$B$15)</f>
        <v>0.0184151780003024</v>
      </c>
      <c r="L139" s="8" t="n">
        <f aca="true">NORMINV(RAND(),Assumptions!$B$14,Assumptions!$B$15)</f>
        <v>0.0773836381671857</v>
      </c>
      <c r="M139" s="6" t="n">
        <f aca="false">B139-Assumptions!$B$29</f>
        <v>391263.996662504</v>
      </c>
      <c r="N139" s="6" t="n">
        <f aca="false">W139-Assumptions!$B$29</f>
        <v>351861.960588674</v>
      </c>
      <c r="O139" s="6" t="n">
        <f aca="false">X139-Assumptions!$B$29</f>
        <v>328030.578896538</v>
      </c>
      <c r="P139" s="6" t="n">
        <f aca="false">Y139-Assumptions!$B$29</f>
        <v>286112.376002903</v>
      </c>
      <c r="Q139" s="6" t="n">
        <f aca="false">Z139-Assumptions!$B$29</f>
        <v>231563.073779615</v>
      </c>
      <c r="R139" s="6" t="n">
        <f aca="false">AA139-Assumptions!$B$29</f>
        <v>197490.281091483</v>
      </c>
      <c r="S139" s="6" t="n">
        <f aca="false">AB139-Assumptions!$B$29</f>
        <v>156227.749790067</v>
      </c>
      <c r="T139" s="6" t="n">
        <f aca="false">AC139-Assumptions!$B$29</f>
        <v>113001.728855174</v>
      </c>
      <c r="U139" s="6" t="n">
        <f aca="false">AD139-Assumptions!$B$29</f>
        <v>64313.6986609835</v>
      </c>
      <c r="V139" s="6" t="n">
        <f aca="false">AE139-Assumptions!$B$29</f>
        <v>15498.0468696833</v>
      </c>
      <c r="W139" s="6" t="n">
        <f aca="false">M139*(1+C139)</f>
        <v>401861.960588674</v>
      </c>
      <c r="X139" s="6" t="n">
        <f aca="false">N139*(1+D139)</f>
        <v>378030.578896538</v>
      </c>
      <c r="Y139" s="6" t="n">
        <f aca="false">O139*(1+E139)</f>
        <v>336112.376002903</v>
      </c>
      <c r="Z139" s="6" t="n">
        <f aca="false">P139*(1+F139)</f>
        <v>281563.073779615</v>
      </c>
      <c r="AA139" s="6" t="n">
        <f aca="false">Q139*(1+G139)</f>
        <v>247490.281091483</v>
      </c>
      <c r="AB139" s="6" t="n">
        <f aca="false">R139*(1+H139)</f>
        <v>206227.749790067</v>
      </c>
      <c r="AC139" s="6" t="n">
        <f aca="false">S139*(1+I139)</f>
        <v>163001.728855174</v>
      </c>
      <c r="AD139" s="6" t="n">
        <f aca="false">T139*(1+J139)</f>
        <v>114313.698660984</v>
      </c>
      <c r="AE139" s="6" t="n">
        <f aca="false">U139*(1+K139)</f>
        <v>65498.0468696833</v>
      </c>
      <c r="AF139" s="6" t="n">
        <f aca="false">V139*(1+L139)</f>
        <v>16697.342120945</v>
      </c>
      <c r="AG139" s="6" t="n">
        <f aca="false">MIN(M139:V139)</f>
        <v>15498.0468696833</v>
      </c>
      <c r="AH139" s="19" t="n">
        <f aca="false">IF(AG139&gt;=0,1,0)</f>
        <v>1</v>
      </c>
    </row>
    <row r="140" customFormat="false" ht="15" hidden="false" customHeight="false" outlineLevel="0" collapsed="false">
      <c r="A140" s="0" t="n">
        <f aca="false">ROW()-1</f>
        <v>139</v>
      </c>
      <c r="B140" s="6" t="n">
        <f aca="false">Assumptions!$B$35</f>
        <v>441263.996662504</v>
      </c>
      <c r="C140" s="8" t="n">
        <f aca="true">NORMINV(RAND(),Assumptions!$B$14,Assumptions!$B$15)</f>
        <v>0.0578873192371447</v>
      </c>
      <c r="D140" s="8" t="n">
        <f aca="true">NORMINV(RAND(),Assumptions!$B$14,Assumptions!$B$15)</f>
        <v>0.0266192736824215</v>
      </c>
      <c r="E140" s="8" t="n">
        <f aca="true">NORMINV(RAND(),Assumptions!$B$14,Assumptions!$B$15)</f>
        <v>0.0731020162116335</v>
      </c>
      <c r="F140" s="8" t="n">
        <f aca="true">NORMINV(RAND(),Assumptions!$B$14,Assumptions!$B$15)</f>
        <v>0.00620878125604427</v>
      </c>
      <c r="G140" s="8" t="n">
        <f aca="true">NORMINV(RAND(),Assumptions!$B$14,Assumptions!$B$15)</f>
        <v>0.0679723761555942</v>
      </c>
      <c r="H140" s="8" t="n">
        <f aca="true">NORMINV(RAND(),Assumptions!$B$14,Assumptions!$B$15)</f>
        <v>0.0772634228049771</v>
      </c>
      <c r="I140" s="8" t="n">
        <f aca="true">NORMINV(RAND(),Assumptions!$B$14,Assumptions!$B$15)</f>
        <v>0.0381900635893386</v>
      </c>
      <c r="J140" s="8" t="n">
        <f aca="true">NORMINV(RAND(),Assumptions!$B$14,Assumptions!$B$15)</f>
        <v>0.055945558218492</v>
      </c>
      <c r="K140" s="8" t="n">
        <f aca="true">NORMINV(RAND(),Assumptions!$B$14,Assumptions!$B$15)</f>
        <v>0.108797359101223</v>
      </c>
      <c r="L140" s="8" t="n">
        <f aca="true">NORMINV(RAND(),Assumptions!$B$14,Assumptions!$B$15)</f>
        <v>0.0931753981035968</v>
      </c>
      <c r="M140" s="6" t="n">
        <f aca="false">B140-Assumptions!$B$29</f>
        <v>391263.996662504</v>
      </c>
      <c r="N140" s="6" t="n">
        <f aca="false">W140-Assumptions!$B$29</f>
        <v>363913.220543307</v>
      </c>
      <c r="O140" s="6" t="n">
        <f aca="false">X140-Assumptions!$B$29</f>
        <v>323600.326157601</v>
      </c>
      <c r="P140" s="6" t="n">
        <f aca="false">Y140-Assumptions!$B$29</f>
        <v>297256.162446464</v>
      </c>
      <c r="Q140" s="6" t="n">
        <f aca="false">Z140-Assumptions!$B$29</f>
        <v>249101.760936105</v>
      </c>
      <c r="R140" s="6" t="n">
        <f aca="false">AA140-Assumptions!$B$29</f>
        <v>216033.799531475</v>
      </c>
      <c r="S140" s="6" t="n">
        <f aca="false">AB140-Assumptions!$B$29</f>
        <v>182725.310324841</v>
      </c>
      <c r="T140" s="6" t="n">
        <f aca="false">AC140-Assumptions!$B$29</f>
        <v>139703.601545528</v>
      </c>
      <c r="U140" s="6" t="n">
        <f aca="false">AD140-Assumptions!$B$29</f>
        <v>97519.3975191262</v>
      </c>
      <c r="V140" s="6" t="n">
        <f aca="false">AE140-Assumptions!$B$29</f>
        <v>58129.2504303495</v>
      </c>
      <c r="W140" s="6" t="n">
        <f aca="false">M140*(1+C140)</f>
        <v>413913.220543307</v>
      </c>
      <c r="X140" s="6" t="n">
        <f aca="false">N140*(1+D140)</f>
        <v>373600.326157601</v>
      </c>
      <c r="Y140" s="6" t="n">
        <f aca="false">O140*(1+E140)</f>
        <v>347256.162446464</v>
      </c>
      <c r="Z140" s="6" t="n">
        <f aca="false">P140*(1+F140)</f>
        <v>299101.760936105</v>
      </c>
      <c r="AA140" s="6" t="n">
        <f aca="false">Q140*(1+G140)</f>
        <v>266033.799531475</v>
      </c>
      <c r="AB140" s="6" t="n">
        <f aca="false">R140*(1+H140)</f>
        <v>232725.310324841</v>
      </c>
      <c r="AC140" s="6" t="n">
        <f aca="false">S140*(1+I140)</f>
        <v>189703.601545528</v>
      </c>
      <c r="AD140" s="6" t="n">
        <f aca="false">T140*(1+J140)</f>
        <v>147519.397519126</v>
      </c>
      <c r="AE140" s="6" t="n">
        <f aca="false">U140*(1+K140)</f>
        <v>108129.25043035</v>
      </c>
      <c r="AF140" s="6" t="n">
        <f aca="false">V140*(1+L140)</f>
        <v>63545.466480661</v>
      </c>
      <c r="AG140" s="6" t="n">
        <f aca="false">MIN(M140:V140)</f>
        <v>58129.2504303495</v>
      </c>
      <c r="AH140" s="19" t="n">
        <f aca="false">IF(AG140&gt;=0,1,0)</f>
        <v>1</v>
      </c>
    </row>
    <row r="141" customFormat="false" ht="15" hidden="false" customHeight="false" outlineLevel="0" collapsed="false">
      <c r="A141" s="0" t="n">
        <f aca="false">ROW()-1</f>
        <v>140</v>
      </c>
      <c r="B141" s="6" t="n">
        <f aca="false">Assumptions!$B$35</f>
        <v>441263.996662504</v>
      </c>
      <c r="C141" s="8" t="n">
        <f aca="true">NORMINV(RAND(),Assumptions!$B$14,Assumptions!$B$15)</f>
        <v>0.0777859380342401</v>
      </c>
      <c r="D141" s="8" t="n">
        <f aca="true">NORMINV(RAND(),Assumptions!$B$14,Assumptions!$B$15)</f>
        <v>-0.0181372073989391</v>
      </c>
      <c r="E141" s="8" t="n">
        <f aca="true">NORMINV(RAND(),Assumptions!$B$14,Assumptions!$B$15)</f>
        <v>0.0648097577695147</v>
      </c>
      <c r="F141" s="8" t="n">
        <f aca="true">NORMINV(RAND(),Assumptions!$B$14,Assumptions!$B$15)</f>
        <v>0.0990074838861567</v>
      </c>
      <c r="G141" s="8" t="n">
        <f aca="true">NORMINV(RAND(),Assumptions!$B$14,Assumptions!$B$15)</f>
        <v>-0.00880505401592667</v>
      </c>
      <c r="H141" s="8" t="n">
        <f aca="true">NORMINV(RAND(),Assumptions!$B$14,Assumptions!$B$15)</f>
        <v>0.0880029101942103</v>
      </c>
      <c r="I141" s="8" t="n">
        <f aca="true">NORMINV(RAND(),Assumptions!$B$14,Assumptions!$B$15)</f>
        <v>0.0265987522886235</v>
      </c>
      <c r="J141" s="8" t="n">
        <f aca="true">NORMINV(RAND(),Assumptions!$B$14,Assumptions!$B$15)</f>
        <v>0.0407143774713838</v>
      </c>
      <c r="K141" s="8" t="n">
        <f aca="true">NORMINV(RAND(),Assumptions!$B$14,Assumptions!$B$15)</f>
        <v>0.019878832039405</v>
      </c>
      <c r="L141" s="8" t="n">
        <f aca="true">NORMINV(RAND(),Assumptions!$B$14,Assumptions!$B$15)</f>
        <v>0.024327192800138</v>
      </c>
      <c r="M141" s="6" t="n">
        <f aca="false">B141-Assumptions!$B$29</f>
        <v>391263.996662504</v>
      </c>
      <c r="N141" s="6" t="n">
        <f aca="false">W141-Assumptions!$B$29</f>
        <v>371698.833661922</v>
      </c>
      <c r="O141" s="6" t="n">
        <f aca="false">X141-Assumptions!$B$29</f>
        <v>314957.254825852</v>
      </c>
      <c r="P141" s="6" t="n">
        <f aca="false">Y141-Assumptions!$B$29</f>
        <v>285369.558218867</v>
      </c>
      <c r="Q141" s="6" t="n">
        <f aca="false">Z141-Assumptions!$B$29</f>
        <v>263623.280155821</v>
      </c>
      <c r="R141" s="6" t="n">
        <f aca="false">AA141-Assumptions!$B$29</f>
        <v>211302.062934193</v>
      </c>
      <c r="S141" s="6" t="n">
        <f aca="false">AB141-Assumptions!$B$29</f>
        <v>179897.259402442</v>
      </c>
      <c r="T141" s="6" t="n">
        <f aca="false">AC141-Assumptions!$B$29</f>
        <v>134682.30204269</v>
      </c>
      <c r="U141" s="6" t="n">
        <f aca="false">AD141-Assumptions!$B$29</f>
        <v>90165.8081267713</v>
      </c>
      <c r="V141" s="6" t="n">
        <f aca="false">AE141-Assumptions!$B$29</f>
        <v>41958.1990822206</v>
      </c>
      <c r="W141" s="6" t="n">
        <f aca="false">M141*(1+C141)</f>
        <v>421698.833661922</v>
      </c>
      <c r="X141" s="6" t="n">
        <f aca="false">N141*(1+D141)</f>
        <v>364957.254825852</v>
      </c>
      <c r="Y141" s="6" t="n">
        <f aca="false">O141*(1+E141)</f>
        <v>335369.558218867</v>
      </c>
      <c r="Z141" s="6" t="n">
        <f aca="false">P141*(1+F141)</f>
        <v>313623.280155821</v>
      </c>
      <c r="AA141" s="6" t="n">
        <f aca="false">Q141*(1+G141)</f>
        <v>261302.062934193</v>
      </c>
      <c r="AB141" s="6" t="n">
        <f aca="false">R141*(1+H141)</f>
        <v>229897.259402442</v>
      </c>
      <c r="AC141" s="6" t="n">
        <f aca="false">S141*(1+I141)</f>
        <v>184682.30204269</v>
      </c>
      <c r="AD141" s="6" t="n">
        <f aca="false">T141*(1+J141)</f>
        <v>140165.808126771</v>
      </c>
      <c r="AE141" s="6" t="n">
        <f aca="false">U141*(1+K141)</f>
        <v>91958.1990822206</v>
      </c>
      <c r="AF141" s="6" t="n">
        <f aca="false">V141*(1+L141)</f>
        <v>42978.9242808403</v>
      </c>
      <c r="AG141" s="6" t="n">
        <f aca="false">MIN(M141:V141)</f>
        <v>41958.1990822206</v>
      </c>
      <c r="AH141" s="19" t="n">
        <f aca="false">IF(AG141&gt;=0,1,0)</f>
        <v>1</v>
      </c>
    </row>
    <row r="142" customFormat="false" ht="15" hidden="false" customHeight="false" outlineLevel="0" collapsed="false">
      <c r="A142" s="0" t="n">
        <f aca="false">ROW()-1</f>
        <v>141</v>
      </c>
      <c r="B142" s="6" t="n">
        <f aca="false">Assumptions!$B$35</f>
        <v>441263.996662504</v>
      </c>
      <c r="C142" s="8" t="n">
        <f aca="true">NORMINV(RAND(),Assumptions!$B$14,Assumptions!$B$15)</f>
        <v>0.047331333978086</v>
      </c>
      <c r="D142" s="8" t="n">
        <f aca="true">NORMINV(RAND(),Assumptions!$B$14,Assumptions!$B$15)</f>
        <v>0.0686962191920408</v>
      </c>
      <c r="E142" s="8" t="n">
        <f aca="true">NORMINV(RAND(),Assumptions!$B$14,Assumptions!$B$15)</f>
        <v>0.0564484954552401</v>
      </c>
      <c r="F142" s="8" t="n">
        <f aca="true">NORMINV(RAND(),Assumptions!$B$14,Assumptions!$B$15)</f>
        <v>0.0408100551949477</v>
      </c>
      <c r="G142" s="8" t="n">
        <f aca="true">NORMINV(RAND(),Assumptions!$B$14,Assumptions!$B$15)</f>
        <v>0.0278811752146616</v>
      </c>
      <c r="H142" s="8" t="n">
        <f aca="true">NORMINV(RAND(),Assumptions!$B$14,Assumptions!$B$15)</f>
        <v>0.0519662788222077</v>
      </c>
      <c r="I142" s="8" t="n">
        <f aca="true">NORMINV(RAND(),Assumptions!$B$14,Assumptions!$B$15)</f>
        <v>0.103515712325085</v>
      </c>
      <c r="J142" s="8" t="n">
        <f aca="true">NORMINV(RAND(),Assumptions!$B$14,Assumptions!$B$15)</f>
        <v>-4.64570277661225E-006</v>
      </c>
      <c r="K142" s="8" t="n">
        <f aca="true">NORMINV(RAND(),Assumptions!$B$14,Assumptions!$B$15)</f>
        <v>0.0515605068719304</v>
      </c>
      <c r="L142" s="8" t="n">
        <f aca="true">NORMINV(RAND(),Assumptions!$B$14,Assumptions!$B$15)</f>
        <v>0.0539155736351915</v>
      </c>
      <c r="M142" s="6" t="n">
        <f aca="false">B142-Assumptions!$B$29</f>
        <v>391263.996662504</v>
      </c>
      <c r="N142" s="6" t="n">
        <f aca="false">W142-Assumptions!$B$29</f>
        <v>359783.043562137</v>
      </c>
      <c r="O142" s="6" t="n">
        <f aca="false">X142-Assumptions!$B$29</f>
        <v>334498.778384261</v>
      </c>
      <c r="P142" s="6" t="n">
        <f aca="false">Y142-Assumptions!$B$29</f>
        <v>303380.731155669</v>
      </c>
      <c r="Q142" s="6" t="n">
        <f aca="false">Z142-Assumptions!$B$29</f>
        <v>265761.715539215</v>
      </c>
      <c r="R142" s="6" t="n">
        <f aca="false">AA142-Assumptions!$B$29</f>
        <v>223171.464495513</v>
      </c>
      <c r="S142" s="6" t="n">
        <f aca="false">AB142-Assumptions!$B$29</f>
        <v>184768.855044647</v>
      </c>
      <c r="T142" s="6" t="n">
        <f aca="false">AC142-Assumptions!$B$29</f>
        <v>153895.334690084</v>
      </c>
      <c r="U142" s="6" t="n">
        <f aca="false">AD142-Assumptions!$B$29</f>
        <v>103894.619738101</v>
      </c>
      <c r="V142" s="6" t="n">
        <f aca="false">AE142-Assumptions!$B$29</f>
        <v>59251.4789930637</v>
      </c>
      <c r="W142" s="6" t="n">
        <f aca="false">M142*(1+C142)</f>
        <v>409783.043562137</v>
      </c>
      <c r="X142" s="6" t="n">
        <f aca="false">N142*(1+D142)</f>
        <v>384498.778384261</v>
      </c>
      <c r="Y142" s="6" t="n">
        <f aca="false">O142*(1+E142)</f>
        <v>353380.731155669</v>
      </c>
      <c r="Z142" s="6" t="n">
        <f aca="false">P142*(1+F142)</f>
        <v>315761.715539215</v>
      </c>
      <c r="AA142" s="6" t="n">
        <f aca="false">Q142*(1+G142)</f>
        <v>273171.464495513</v>
      </c>
      <c r="AB142" s="6" t="n">
        <f aca="false">R142*(1+H142)</f>
        <v>234768.855044647</v>
      </c>
      <c r="AC142" s="6" t="n">
        <f aca="false">S142*(1+I142)</f>
        <v>203895.334690084</v>
      </c>
      <c r="AD142" s="6" t="n">
        <f aca="false">T142*(1+J142)</f>
        <v>153894.619738101</v>
      </c>
      <c r="AE142" s="6" t="n">
        <f aca="false">U142*(1+K142)</f>
        <v>109251.478993064</v>
      </c>
      <c r="AF142" s="6" t="n">
        <f aca="false">V142*(1+L142)</f>
        <v>62446.0564717083</v>
      </c>
      <c r="AG142" s="6" t="n">
        <f aca="false">MIN(M142:V142)</f>
        <v>59251.4789930637</v>
      </c>
      <c r="AH142" s="19" t="n">
        <f aca="false">IF(AG142&gt;=0,1,0)</f>
        <v>1</v>
      </c>
    </row>
    <row r="143" customFormat="false" ht="15" hidden="false" customHeight="false" outlineLevel="0" collapsed="false">
      <c r="A143" s="0" t="n">
        <f aca="false">ROW()-1</f>
        <v>142</v>
      </c>
      <c r="B143" s="6" t="n">
        <f aca="false">Assumptions!$B$35</f>
        <v>441263.996662504</v>
      </c>
      <c r="C143" s="8" t="n">
        <f aca="true">NORMINV(RAND(),Assumptions!$B$14,Assumptions!$B$15)</f>
        <v>0.0453460612434158</v>
      </c>
      <c r="D143" s="8" t="n">
        <f aca="true">NORMINV(RAND(),Assumptions!$B$14,Assumptions!$B$15)</f>
        <v>0.00621219061246972</v>
      </c>
      <c r="E143" s="8" t="n">
        <f aca="true">NORMINV(RAND(),Assumptions!$B$14,Assumptions!$B$15)</f>
        <v>-0.0211327648491733</v>
      </c>
      <c r="F143" s="8" t="n">
        <f aca="true">NORMINV(RAND(),Assumptions!$B$14,Assumptions!$B$15)</f>
        <v>0.0831266349004697</v>
      </c>
      <c r="G143" s="8" t="n">
        <f aca="true">NORMINV(RAND(),Assumptions!$B$14,Assumptions!$B$15)</f>
        <v>0.0406598388017337</v>
      </c>
      <c r="H143" s="8" t="n">
        <f aca="true">NORMINV(RAND(),Assumptions!$B$14,Assumptions!$B$15)</f>
        <v>0.034009324777258</v>
      </c>
      <c r="I143" s="8" t="n">
        <f aca="true">NORMINV(RAND(),Assumptions!$B$14,Assumptions!$B$15)</f>
        <v>0.0170170813859847</v>
      </c>
      <c r="J143" s="8" t="n">
        <f aca="true">NORMINV(RAND(),Assumptions!$B$14,Assumptions!$B$15)</f>
        <v>0.0215285931170708</v>
      </c>
      <c r="K143" s="8" t="n">
        <f aca="true">NORMINV(RAND(),Assumptions!$B$14,Assumptions!$B$15)</f>
        <v>0.0738457608020175</v>
      </c>
      <c r="L143" s="8" t="n">
        <f aca="true">NORMINV(RAND(),Assumptions!$B$14,Assumptions!$B$15)</f>
        <v>0.0302566329741441</v>
      </c>
      <c r="M143" s="6" t="n">
        <f aca="false">B143-Assumptions!$B$29</f>
        <v>391263.996662504</v>
      </c>
      <c r="N143" s="6" t="n">
        <f aca="false">W143-Assumptions!$B$29</f>
        <v>359006.277817505</v>
      </c>
      <c r="O143" s="6" t="n">
        <f aca="false">X143-Assumptions!$B$29</f>
        <v>311236.493246381</v>
      </c>
      <c r="P143" s="6" t="n">
        <f aca="false">Y143-Assumptions!$B$29</f>
        <v>254659.205622124</v>
      </c>
      <c r="Q143" s="6" t="n">
        <f aca="false">Z143-Assumptions!$B$29</f>
        <v>225828.168431917</v>
      </c>
      <c r="R143" s="6" t="n">
        <f aca="false">AA143-Assumptions!$B$29</f>
        <v>185010.30535725</v>
      </c>
      <c r="S143" s="6" t="n">
        <f aca="false">AB143-Assumptions!$B$29</f>
        <v>141302.380919284</v>
      </c>
      <c r="T143" s="6" t="n">
        <f aca="false">AC143-Assumptions!$B$29</f>
        <v>93706.9350354212</v>
      </c>
      <c r="U143" s="6" t="n">
        <f aca="false">AD143-Assumptions!$B$29</f>
        <v>45724.3135120466</v>
      </c>
      <c r="V143" s="6" t="n">
        <f aca="false">AE143-Assumptions!$B$29</f>
        <v>-899.139769506393</v>
      </c>
      <c r="W143" s="6" t="n">
        <f aca="false">M143*(1+C143)</f>
        <v>409006.277817505</v>
      </c>
      <c r="X143" s="6" t="n">
        <f aca="false">N143*(1+D143)</f>
        <v>361236.493246381</v>
      </c>
      <c r="Y143" s="6" t="n">
        <f aca="false">O143*(1+E143)</f>
        <v>304659.205622124</v>
      </c>
      <c r="Z143" s="6" t="n">
        <f aca="false">P143*(1+F143)</f>
        <v>275828.168431917</v>
      </c>
      <c r="AA143" s="6" t="n">
        <f aca="false">Q143*(1+G143)</f>
        <v>235010.30535725</v>
      </c>
      <c r="AB143" s="6" t="n">
        <f aca="false">R143*(1+H143)</f>
        <v>191302.380919284</v>
      </c>
      <c r="AC143" s="6" t="n">
        <f aca="false">S143*(1+I143)</f>
        <v>143706.935035421</v>
      </c>
      <c r="AD143" s="6" t="n">
        <f aca="false">T143*(1+J143)</f>
        <v>95724.3135120466</v>
      </c>
      <c r="AE143" s="6" t="n">
        <f aca="false">U143*(1+K143)</f>
        <v>49100.8602304936</v>
      </c>
      <c r="AF143" s="6" t="n">
        <f aca="false">V143*(1+L143)</f>
        <v>-926.344711504805</v>
      </c>
      <c r="AG143" s="6" t="n">
        <f aca="false">MIN(M143:V143)</f>
        <v>-899.139769506393</v>
      </c>
      <c r="AH143" s="19" t="n">
        <f aca="false">IF(AG143&gt;=0,1,0)</f>
        <v>0</v>
      </c>
    </row>
    <row r="144" customFormat="false" ht="15" hidden="false" customHeight="false" outlineLevel="0" collapsed="false">
      <c r="A144" s="0" t="n">
        <f aca="false">ROW()-1</f>
        <v>143</v>
      </c>
      <c r="B144" s="6" t="n">
        <f aca="false">Assumptions!$B$35</f>
        <v>441263.996662504</v>
      </c>
      <c r="C144" s="8" t="n">
        <f aca="true">NORMINV(RAND(),Assumptions!$B$14,Assumptions!$B$15)</f>
        <v>0.0422204275836518</v>
      </c>
      <c r="D144" s="8" t="n">
        <f aca="true">NORMINV(RAND(),Assumptions!$B$14,Assumptions!$B$15)</f>
        <v>0.0183143448447506</v>
      </c>
      <c r="E144" s="8" t="n">
        <f aca="true">NORMINV(RAND(),Assumptions!$B$14,Assumptions!$B$15)</f>
        <v>0.0172409083458339</v>
      </c>
      <c r="F144" s="8" t="n">
        <f aca="true">NORMINV(RAND(),Assumptions!$B$14,Assumptions!$B$15)</f>
        <v>0.0622705259022012</v>
      </c>
      <c r="G144" s="8" t="n">
        <f aca="true">NORMINV(RAND(),Assumptions!$B$14,Assumptions!$B$15)</f>
        <v>0.0214973119114097</v>
      </c>
      <c r="H144" s="8" t="n">
        <f aca="true">NORMINV(RAND(),Assumptions!$B$14,Assumptions!$B$15)</f>
        <v>0.0319307350910413</v>
      </c>
      <c r="I144" s="8" t="n">
        <f aca="true">NORMINV(RAND(),Assumptions!$B$14,Assumptions!$B$15)</f>
        <v>0.0595383011070509</v>
      </c>
      <c r="J144" s="8" t="n">
        <f aca="true">NORMINV(RAND(),Assumptions!$B$14,Assumptions!$B$15)</f>
        <v>0.0930429775705733</v>
      </c>
      <c r="K144" s="8" t="n">
        <f aca="true">NORMINV(RAND(),Assumptions!$B$14,Assumptions!$B$15)</f>
        <v>0.013985454240021</v>
      </c>
      <c r="L144" s="8" t="n">
        <f aca="true">NORMINV(RAND(),Assumptions!$B$14,Assumptions!$B$15)</f>
        <v>0.00200322400693509</v>
      </c>
      <c r="M144" s="6" t="n">
        <f aca="false">B144-Assumptions!$B$29</f>
        <v>391263.996662504</v>
      </c>
      <c r="N144" s="6" t="n">
        <f aca="false">W144-Assumptions!$B$29</f>
        <v>357783.329899683</v>
      </c>
      <c r="O144" s="6" t="n">
        <f aca="false">X144-Assumptions!$B$29</f>
        <v>314335.897183169</v>
      </c>
      <c r="P144" s="6" t="n">
        <f aca="false">Y144-Assumptions!$B$29</f>
        <v>269755.333576309</v>
      </c>
      <c r="Q144" s="6" t="n">
        <f aca="false">Z144-Assumptions!$B$29</f>
        <v>236553.14006303</v>
      </c>
      <c r="R144" s="6" t="n">
        <f aca="false">AA144-Assumptions!$B$29</f>
        <v>191638.396698588</v>
      </c>
      <c r="S144" s="6" t="n">
        <f aca="false">AB144-Assumptions!$B$29</f>
        <v>147757.551576843</v>
      </c>
      <c r="T144" s="6" t="n">
        <f aca="false">AC144-Assumptions!$B$29</f>
        <v>106554.785173465</v>
      </c>
      <c r="U144" s="6" t="n">
        <f aca="false">AD144-Assumptions!$B$29</f>
        <v>66468.9596603973</v>
      </c>
      <c r="V144" s="6" t="n">
        <f aca="false">AE144-Assumptions!$B$29</f>
        <v>17398.5582541095</v>
      </c>
      <c r="W144" s="6" t="n">
        <f aca="false">M144*(1+C144)</f>
        <v>407783.329899683</v>
      </c>
      <c r="X144" s="6" t="n">
        <f aca="false">N144*(1+D144)</f>
        <v>364335.897183169</v>
      </c>
      <c r="Y144" s="6" t="n">
        <f aca="false">O144*(1+E144)</f>
        <v>319755.333576309</v>
      </c>
      <c r="Z144" s="6" t="n">
        <f aca="false">P144*(1+F144)</f>
        <v>286553.14006303</v>
      </c>
      <c r="AA144" s="6" t="n">
        <f aca="false">Q144*(1+G144)</f>
        <v>241638.396698588</v>
      </c>
      <c r="AB144" s="6" t="n">
        <f aca="false">R144*(1+H144)</f>
        <v>197757.551576843</v>
      </c>
      <c r="AC144" s="6" t="n">
        <f aca="false">S144*(1+I144)</f>
        <v>156554.785173465</v>
      </c>
      <c r="AD144" s="6" t="n">
        <f aca="false">T144*(1+J144)</f>
        <v>116468.959660397</v>
      </c>
      <c r="AE144" s="6" t="n">
        <f aca="false">U144*(1+K144)</f>
        <v>67398.5582541095</v>
      </c>
      <c r="AF144" s="6" t="n">
        <f aca="false">V144*(1+L144)</f>
        <v>17433.4114636902</v>
      </c>
      <c r="AG144" s="6" t="n">
        <f aca="false">MIN(M144:V144)</f>
        <v>17398.5582541095</v>
      </c>
      <c r="AH144" s="19" t="n">
        <f aca="false">IF(AG144&gt;=0,1,0)</f>
        <v>1</v>
      </c>
    </row>
    <row r="145" customFormat="false" ht="15" hidden="false" customHeight="false" outlineLevel="0" collapsed="false">
      <c r="A145" s="0" t="n">
        <f aca="false">ROW()-1</f>
        <v>144</v>
      </c>
      <c r="B145" s="6" t="n">
        <f aca="false">Assumptions!$B$35</f>
        <v>441263.996662504</v>
      </c>
      <c r="C145" s="8" t="n">
        <f aca="true">NORMINV(RAND(),Assumptions!$B$14,Assumptions!$B$15)</f>
        <v>0.00196934185556572</v>
      </c>
      <c r="D145" s="8" t="n">
        <f aca="true">NORMINV(RAND(),Assumptions!$B$14,Assumptions!$B$15)</f>
        <v>0.0311676517982919</v>
      </c>
      <c r="E145" s="8" t="n">
        <f aca="true">NORMINV(RAND(),Assumptions!$B$14,Assumptions!$B$15)</f>
        <v>0.0745173131814271</v>
      </c>
      <c r="F145" s="8" t="n">
        <f aca="true">NORMINV(RAND(),Assumptions!$B$14,Assumptions!$B$15)</f>
        <v>0.0550074833001348</v>
      </c>
      <c r="G145" s="8" t="n">
        <f aca="true">NORMINV(RAND(),Assumptions!$B$14,Assumptions!$B$15)</f>
        <v>-0.0262287941837125</v>
      </c>
      <c r="H145" s="8" t="n">
        <f aca="true">NORMINV(RAND(),Assumptions!$B$14,Assumptions!$B$15)</f>
        <v>0.0380660569390878</v>
      </c>
      <c r="I145" s="8" t="n">
        <f aca="true">NORMINV(RAND(),Assumptions!$B$14,Assumptions!$B$15)</f>
        <v>0.0702038754117051</v>
      </c>
      <c r="J145" s="8" t="n">
        <f aca="true">NORMINV(RAND(),Assumptions!$B$14,Assumptions!$B$15)</f>
        <v>0.0320331581782231</v>
      </c>
      <c r="K145" s="8" t="n">
        <f aca="true">NORMINV(RAND(),Assumptions!$B$14,Assumptions!$B$15)</f>
        <v>0.0800534832178787</v>
      </c>
      <c r="L145" s="8" t="n">
        <f aca="true">NORMINV(RAND(),Assumptions!$B$14,Assumptions!$B$15)</f>
        <v>0.0527550873297632</v>
      </c>
      <c r="M145" s="6" t="n">
        <f aca="false">B145-Assumptions!$B$29</f>
        <v>391263.996662504</v>
      </c>
      <c r="N145" s="6" t="n">
        <f aca="false">W145-Assumptions!$B$29</f>
        <v>342034.529227707</v>
      </c>
      <c r="O145" s="6" t="n">
        <f aca="false">X145-Assumptions!$B$29</f>
        <v>302694.942337669</v>
      </c>
      <c r="P145" s="6" t="n">
        <f aca="false">Y145-Assumptions!$B$29</f>
        <v>275250.956154279</v>
      </c>
      <c r="Q145" s="6" t="n">
        <f aca="false">Z145-Assumptions!$B$29</f>
        <v>240391.818528282</v>
      </c>
      <c r="R145" s="6" t="n">
        <f aca="false">AA145-Assumptions!$B$29</f>
        <v>184086.630996655</v>
      </c>
      <c r="S145" s="6" t="n">
        <f aca="false">AB145-Assumptions!$B$29</f>
        <v>141094.083173898</v>
      </c>
      <c r="T145" s="6" t="n">
        <f aca="false">AC145-Assumptions!$B$29</f>
        <v>100999.434610367</v>
      </c>
      <c r="U145" s="6" t="n">
        <f aca="false">AD145-Assumptions!$B$29</f>
        <v>54234.7654751525</v>
      </c>
      <c r="V145" s="6" t="n">
        <f aca="false">AE145-Assumptions!$B$29</f>
        <v>8576.44736294321</v>
      </c>
      <c r="W145" s="6" t="n">
        <f aca="false">M145*(1+C145)</f>
        <v>392034.529227707</v>
      </c>
      <c r="X145" s="6" t="n">
        <f aca="false">N145*(1+D145)</f>
        <v>352694.942337669</v>
      </c>
      <c r="Y145" s="6" t="n">
        <f aca="false">O145*(1+E145)</f>
        <v>325250.956154279</v>
      </c>
      <c r="Z145" s="6" t="n">
        <f aca="false">P145*(1+F145)</f>
        <v>290391.818528282</v>
      </c>
      <c r="AA145" s="6" t="n">
        <f aca="false">Q145*(1+G145)</f>
        <v>234086.630996655</v>
      </c>
      <c r="AB145" s="6" t="n">
        <f aca="false">R145*(1+H145)</f>
        <v>191094.083173898</v>
      </c>
      <c r="AC145" s="6" t="n">
        <f aca="false">S145*(1+I145)</f>
        <v>150999.434610368</v>
      </c>
      <c r="AD145" s="6" t="n">
        <f aca="false">T145*(1+J145)</f>
        <v>104234.765475153</v>
      </c>
      <c r="AE145" s="6" t="n">
        <f aca="false">U145*(1+K145)</f>
        <v>58576.4473629432</v>
      </c>
      <c r="AF145" s="6" t="n">
        <f aca="false">V145*(1+L145)</f>
        <v>9028.8985925544</v>
      </c>
      <c r="AG145" s="6" t="n">
        <f aca="false">MIN(M145:V145)</f>
        <v>8576.44736294321</v>
      </c>
      <c r="AH145" s="19" t="n">
        <f aca="false">IF(AG145&gt;=0,1,0)</f>
        <v>1</v>
      </c>
    </row>
    <row r="146" customFormat="false" ht="15" hidden="false" customHeight="false" outlineLevel="0" collapsed="false">
      <c r="A146" s="0" t="n">
        <f aca="false">ROW()-1</f>
        <v>145</v>
      </c>
      <c r="B146" s="6" t="n">
        <f aca="false">Assumptions!$B$35</f>
        <v>441263.996662504</v>
      </c>
      <c r="C146" s="8" t="n">
        <f aca="true">NORMINV(RAND(),Assumptions!$B$14,Assumptions!$B$15)</f>
        <v>0.0494362976288682</v>
      </c>
      <c r="D146" s="8" t="n">
        <f aca="true">NORMINV(RAND(),Assumptions!$B$14,Assumptions!$B$15)</f>
        <v>0.0302696916922993</v>
      </c>
      <c r="E146" s="8" t="n">
        <f aca="true">NORMINV(RAND(),Assumptions!$B$14,Assumptions!$B$15)</f>
        <v>0.0461161317746567</v>
      </c>
      <c r="F146" s="8" t="n">
        <f aca="true">NORMINV(RAND(),Assumptions!$B$14,Assumptions!$B$15)</f>
        <v>0.0456500093543252</v>
      </c>
      <c r="G146" s="8" t="n">
        <f aca="true">NORMINV(RAND(),Assumptions!$B$14,Assumptions!$B$15)</f>
        <v>0.0822921986310379</v>
      </c>
      <c r="H146" s="8" t="n">
        <f aca="true">NORMINV(RAND(),Assumptions!$B$14,Assumptions!$B$15)</f>
        <v>0.0102771290189539</v>
      </c>
      <c r="I146" s="8" t="n">
        <f aca="true">NORMINV(RAND(),Assumptions!$B$14,Assumptions!$B$15)</f>
        <v>0.0584626962374923</v>
      </c>
      <c r="J146" s="8" t="n">
        <f aca="true">NORMINV(RAND(),Assumptions!$B$14,Assumptions!$B$15)</f>
        <v>0.0084309650929516</v>
      </c>
      <c r="K146" s="8" t="n">
        <f aca="true">NORMINV(RAND(),Assumptions!$B$14,Assumptions!$B$15)</f>
        <v>0.0301485125530545</v>
      </c>
      <c r="L146" s="8" t="n">
        <f aca="true">NORMINV(RAND(),Assumptions!$B$14,Assumptions!$B$15)</f>
        <v>0.0366150643083331</v>
      </c>
      <c r="M146" s="6" t="n">
        <f aca="false">B146-Assumptions!$B$29</f>
        <v>391263.996662504</v>
      </c>
      <c r="N146" s="6" t="n">
        <f aca="false">W146-Assumptions!$B$29</f>
        <v>360606.640052972</v>
      </c>
      <c r="O146" s="6" t="n">
        <f aca="false">X146-Assumptions!$B$29</f>
        <v>321522.091869571</v>
      </c>
      <c r="P146" s="6" t="n">
        <f aca="false">Y146-Assumptions!$B$29</f>
        <v>286349.447026691</v>
      </c>
      <c r="Q146" s="6" t="n">
        <f aca="false">Z146-Assumptions!$B$29</f>
        <v>249421.301962066</v>
      </c>
      <c r="R146" s="6" t="n">
        <f aca="false">AA146-Assumptions!$B$29</f>
        <v>219946.72928594</v>
      </c>
      <c r="S146" s="6" t="n">
        <f aca="false">AB146-Assumptions!$B$29</f>
        <v>172207.150200109</v>
      </c>
      <c r="T146" s="6" t="n">
        <f aca="false">AC146-Assumptions!$B$29</f>
        <v>132274.844512182</v>
      </c>
      <c r="U146" s="6" t="n">
        <f aca="false">AD146-Assumptions!$B$29</f>
        <v>83390.0491089396</v>
      </c>
      <c r="V146" s="6" t="n">
        <f aca="false">AE146-Assumptions!$B$29</f>
        <v>35904.1350513003</v>
      </c>
      <c r="W146" s="6" t="n">
        <f aca="false">M146*(1+C146)</f>
        <v>410606.640052972</v>
      </c>
      <c r="X146" s="6" t="n">
        <f aca="false">N146*(1+D146)</f>
        <v>371522.091869571</v>
      </c>
      <c r="Y146" s="6" t="n">
        <f aca="false">O146*(1+E146)</f>
        <v>336349.447026691</v>
      </c>
      <c r="Z146" s="6" t="n">
        <f aca="false">P146*(1+F146)</f>
        <v>299421.301962066</v>
      </c>
      <c r="AA146" s="6" t="n">
        <f aca="false">Q146*(1+G146)</f>
        <v>269946.72928594</v>
      </c>
      <c r="AB146" s="6" t="n">
        <f aca="false">R146*(1+H146)</f>
        <v>222207.150200109</v>
      </c>
      <c r="AC146" s="6" t="n">
        <f aca="false">S146*(1+I146)</f>
        <v>182274.844512182</v>
      </c>
      <c r="AD146" s="6" t="n">
        <f aca="false">T146*(1+J146)</f>
        <v>133390.04910894</v>
      </c>
      <c r="AE146" s="6" t="n">
        <f aca="false">U146*(1+K146)</f>
        <v>85904.1350513003</v>
      </c>
      <c r="AF146" s="6" t="n">
        <f aca="false">V146*(1+L146)</f>
        <v>37218.7672651388</v>
      </c>
      <c r="AG146" s="6" t="n">
        <f aca="false">MIN(M146:V146)</f>
        <v>35904.1350513003</v>
      </c>
      <c r="AH146" s="19" t="n">
        <f aca="false">IF(AG146&gt;=0,1,0)</f>
        <v>1</v>
      </c>
    </row>
    <row r="147" customFormat="false" ht="15" hidden="false" customHeight="false" outlineLevel="0" collapsed="false">
      <c r="A147" s="0" t="n">
        <f aca="false">ROW()-1</f>
        <v>146</v>
      </c>
      <c r="B147" s="6" t="n">
        <f aca="false">Assumptions!$B$35</f>
        <v>441263.996662504</v>
      </c>
      <c r="C147" s="8" t="n">
        <f aca="true">NORMINV(RAND(),Assumptions!$B$14,Assumptions!$B$15)</f>
        <v>0.0389444597146601</v>
      </c>
      <c r="D147" s="8" t="n">
        <f aca="true">NORMINV(RAND(),Assumptions!$B$14,Assumptions!$B$15)</f>
        <v>0.049970351346938</v>
      </c>
      <c r="E147" s="8" t="n">
        <f aca="true">NORMINV(RAND(),Assumptions!$B$14,Assumptions!$B$15)</f>
        <v>0.0473739877586449</v>
      </c>
      <c r="F147" s="8" t="n">
        <f aca="true">NORMINV(RAND(),Assumptions!$B$14,Assumptions!$B$15)</f>
        <v>0.0204607251559732</v>
      </c>
      <c r="G147" s="8" t="n">
        <f aca="true">NORMINV(RAND(),Assumptions!$B$14,Assumptions!$B$15)</f>
        <v>0.10135539816748</v>
      </c>
      <c r="H147" s="8" t="n">
        <f aca="true">NORMINV(RAND(),Assumptions!$B$14,Assumptions!$B$15)</f>
        <v>0.0529655168955051</v>
      </c>
      <c r="I147" s="8" t="n">
        <f aca="true">NORMINV(RAND(),Assumptions!$B$14,Assumptions!$B$15)</f>
        <v>0.0513057485502292</v>
      </c>
      <c r="J147" s="8" t="n">
        <f aca="true">NORMINV(RAND(),Assumptions!$B$14,Assumptions!$B$15)</f>
        <v>0.0585034800141272</v>
      </c>
      <c r="K147" s="8" t="n">
        <f aca="true">NORMINV(RAND(),Assumptions!$B$14,Assumptions!$B$15)</f>
        <v>0.0448351749163937</v>
      </c>
      <c r="L147" s="8" t="n">
        <f aca="true">NORMINV(RAND(),Assumptions!$B$14,Assumptions!$B$15)</f>
        <v>0.00174379292865898</v>
      </c>
      <c r="M147" s="6" t="n">
        <f aca="false">B147-Assumptions!$B$29</f>
        <v>391263.996662504</v>
      </c>
      <c r="N147" s="6" t="n">
        <f aca="false">W147-Assumptions!$B$29</f>
        <v>356501.561618323</v>
      </c>
      <c r="O147" s="6" t="n">
        <f aca="false">X147-Assumptions!$B$29</f>
        <v>324316.069908123</v>
      </c>
      <c r="P147" s="6" t="n">
        <f aca="false">Y147-Assumptions!$B$29</f>
        <v>289680.215433882</v>
      </c>
      <c r="Q147" s="6" t="n">
        <f aca="false">Z147-Assumptions!$B$29</f>
        <v>245607.282704998</v>
      </c>
      <c r="R147" s="6" t="n">
        <f aca="false">AA147-Assumptions!$B$29</f>
        <v>220500.906636396</v>
      </c>
      <c r="S147" s="6" t="n">
        <f aca="false">AB147-Assumptions!$B$29</f>
        <v>182179.85113232</v>
      </c>
      <c r="T147" s="6" t="n">
        <f aca="false">AC147-Assumptions!$B$29</f>
        <v>141526.724765433</v>
      </c>
      <c r="U147" s="6" t="n">
        <f aca="false">AD147-Assumptions!$B$29</f>
        <v>99806.5306792124</v>
      </c>
      <c r="V147" s="6" t="n">
        <f aca="false">AE147-Assumptions!$B$29</f>
        <v>54281.3739400133</v>
      </c>
      <c r="W147" s="6" t="n">
        <f aca="false">M147*(1+C147)</f>
        <v>406501.561618323</v>
      </c>
      <c r="X147" s="6" t="n">
        <f aca="false">N147*(1+D147)</f>
        <v>374316.069908123</v>
      </c>
      <c r="Y147" s="6" t="n">
        <f aca="false">O147*(1+E147)</f>
        <v>339680.215433882</v>
      </c>
      <c r="Z147" s="6" t="n">
        <f aca="false">P147*(1+F147)</f>
        <v>295607.282704998</v>
      </c>
      <c r="AA147" s="6" t="n">
        <f aca="false">Q147*(1+G147)</f>
        <v>270500.906636396</v>
      </c>
      <c r="AB147" s="6" t="n">
        <f aca="false">R147*(1+H147)</f>
        <v>232179.85113232</v>
      </c>
      <c r="AC147" s="6" t="n">
        <f aca="false">S147*(1+I147)</f>
        <v>191526.724765433</v>
      </c>
      <c r="AD147" s="6" t="n">
        <f aca="false">T147*(1+J147)</f>
        <v>149806.530679212</v>
      </c>
      <c r="AE147" s="6" t="n">
        <f aca="false">U147*(1+K147)</f>
        <v>104281.373940013</v>
      </c>
      <c r="AF147" s="6" t="n">
        <f aca="false">V147*(1+L147)</f>
        <v>54376.0294160478</v>
      </c>
      <c r="AG147" s="6" t="n">
        <f aca="false">MIN(M147:V147)</f>
        <v>54281.3739400133</v>
      </c>
      <c r="AH147" s="19" t="n">
        <f aca="false">IF(AG147&gt;=0,1,0)</f>
        <v>1</v>
      </c>
    </row>
    <row r="148" customFormat="false" ht="15" hidden="false" customHeight="false" outlineLevel="0" collapsed="false">
      <c r="A148" s="0" t="n">
        <f aca="false">ROW()-1</f>
        <v>147</v>
      </c>
      <c r="B148" s="6" t="n">
        <f aca="false">Assumptions!$B$35</f>
        <v>441263.996662504</v>
      </c>
      <c r="C148" s="8" t="n">
        <f aca="true">NORMINV(RAND(),Assumptions!$B$14,Assumptions!$B$15)</f>
        <v>0.0503071513270458</v>
      </c>
      <c r="D148" s="8" t="n">
        <f aca="true">NORMINV(RAND(),Assumptions!$B$14,Assumptions!$B$15)</f>
        <v>0.0618209358380618</v>
      </c>
      <c r="E148" s="8" t="n">
        <f aca="true">NORMINV(RAND(),Assumptions!$B$14,Assumptions!$B$15)</f>
        <v>0.0566095751349672</v>
      </c>
      <c r="F148" s="8" t="n">
        <f aca="true">NORMINV(RAND(),Assumptions!$B$14,Assumptions!$B$15)</f>
        <v>0.0230264601629617</v>
      </c>
      <c r="G148" s="8" t="n">
        <f aca="true">NORMINV(RAND(),Assumptions!$B$14,Assumptions!$B$15)</f>
        <v>-0.0020099031344509</v>
      </c>
      <c r="H148" s="8" t="n">
        <f aca="true">NORMINV(RAND(),Assumptions!$B$14,Assumptions!$B$15)</f>
        <v>-0.0186728551779343</v>
      </c>
      <c r="I148" s="8" t="n">
        <f aca="true">NORMINV(RAND(),Assumptions!$B$14,Assumptions!$B$15)</f>
        <v>0.0536093725836439</v>
      </c>
      <c r="J148" s="8" t="n">
        <f aca="true">NORMINV(RAND(),Assumptions!$B$14,Assumptions!$B$15)</f>
        <v>0.0860440665811429</v>
      </c>
      <c r="K148" s="8" t="n">
        <f aca="true">NORMINV(RAND(),Assumptions!$B$14,Assumptions!$B$15)</f>
        <v>0.0281562077816593</v>
      </c>
      <c r="L148" s="8" t="n">
        <f aca="true">NORMINV(RAND(),Assumptions!$B$14,Assumptions!$B$15)</f>
        <v>0.0433763776394531</v>
      </c>
      <c r="M148" s="6" t="n">
        <f aca="false">B148-Assumptions!$B$29</f>
        <v>391263.996662504</v>
      </c>
      <c r="N148" s="6" t="n">
        <f aca="false">W148-Assumptions!$B$29</f>
        <v>360947.373751429</v>
      </c>
      <c r="O148" s="6" t="n">
        <f aca="false">X148-Assumptions!$B$29</f>
        <v>333261.478185033</v>
      </c>
      <c r="P148" s="6" t="n">
        <f aca="false">Y148-Assumptions!$B$29</f>
        <v>302127.268873939</v>
      </c>
      <c r="Q148" s="6" t="n">
        <f aca="false">Z148-Assumptions!$B$29</f>
        <v>259084.190394809</v>
      </c>
      <c r="R148" s="6" t="n">
        <f aca="false">AA148-Assumptions!$B$29</f>
        <v>208563.456268448</v>
      </c>
      <c r="S148" s="6" t="n">
        <f aca="false">AB148-Assumptions!$B$29</f>
        <v>154668.981054137</v>
      </c>
      <c r="T148" s="6" t="n">
        <f aca="false">AC148-Assumptions!$B$29</f>
        <v>112960.688086601</v>
      </c>
      <c r="U148" s="6" t="n">
        <f aca="false">AD148-Assumptions!$B$29</f>
        <v>72680.2850533765</v>
      </c>
      <c r="V148" s="6" t="n">
        <f aca="false">AE148-Assumptions!$B$29</f>
        <v>24726.6862609696</v>
      </c>
      <c r="W148" s="6" t="n">
        <f aca="false">M148*(1+C148)</f>
        <v>410947.373751429</v>
      </c>
      <c r="X148" s="6" t="n">
        <f aca="false">N148*(1+D148)</f>
        <v>383261.478185033</v>
      </c>
      <c r="Y148" s="6" t="n">
        <f aca="false">O148*(1+E148)</f>
        <v>352127.268873939</v>
      </c>
      <c r="Z148" s="6" t="n">
        <f aca="false">P148*(1+F148)</f>
        <v>309084.190394809</v>
      </c>
      <c r="AA148" s="6" t="n">
        <f aca="false">Q148*(1+G148)</f>
        <v>258563.456268448</v>
      </c>
      <c r="AB148" s="6" t="n">
        <f aca="false">R148*(1+H148)</f>
        <v>204668.981054137</v>
      </c>
      <c r="AC148" s="6" t="n">
        <f aca="false">S148*(1+I148)</f>
        <v>162960.688086601</v>
      </c>
      <c r="AD148" s="6" t="n">
        <f aca="false">T148*(1+J148)</f>
        <v>122680.285053376</v>
      </c>
      <c r="AE148" s="6" t="n">
        <f aca="false">U148*(1+K148)</f>
        <v>74726.6862609696</v>
      </c>
      <c r="AF148" s="6" t="n">
        <f aca="false">V148*(1+L148)</f>
        <v>25799.2403419977</v>
      </c>
      <c r="AG148" s="6" t="n">
        <f aca="false">MIN(M148:V148)</f>
        <v>24726.6862609696</v>
      </c>
      <c r="AH148" s="19" t="n">
        <f aca="false">IF(AG148&gt;=0,1,0)</f>
        <v>1</v>
      </c>
    </row>
    <row r="149" customFormat="false" ht="15" hidden="false" customHeight="false" outlineLevel="0" collapsed="false">
      <c r="A149" s="0" t="n">
        <f aca="false">ROW()-1</f>
        <v>148</v>
      </c>
      <c r="B149" s="6" t="n">
        <f aca="false">Assumptions!$B$35</f>
        <v>441263.996662504</v>
      </c>
      <c r="C149" s="8" t="n">
        <f aca="true">NORMINV(RAND(),Assumptions!$B$14,Assumptions!$B$15)</f>
        <v>0.00751398002991446</v>
      </c>
      <c r="D149" s="8" t="n">
        <f aca="true">NORMINV(RAND(),Assumptions!$B$14,Assumptions!$B$15)</f>
        <v>0.0406976139411</v>
      </c>
      <c r="E149" s="8" t="n">
        <f aca="true">NORMINV(RAND(),Assumptions!$B$14,Assumptions!$B$15)</f>
        <v>0.0621047078196821</v>
      </c>
      <c r="F149" s="8" t="n">
        <f aca="true">NORMINV(RAND(),Assumptions!$B$14,Assumptions!$B$15)</f>
        <v>0.0166618982346826</v>
      </c>
      <c r="G149" s="8" t="n">
        <f aca="true">NORMINV(RAND(),Assumptions!$B$14,Assumptions!$B$15)</f>
        <v>0.0944776793420113</v>
      </c>
      <c r="H149" s="8" t="n">
        <f aca="true">NORMINV(RAND(),Assumptions!$B$14,Assumptions!$B$15)</f>
        <v>0.031142372491597</v>
      </c>
      <c r="I149" s="8" t="n">
        <f aca="true">NORMINV(RAND(),Assumptions!$B$14,Assumptions!$B$15)</f>
        <v>0.0571506903975966</v>
      </c>
      <c r="J149" s="8" t="n">
        <f aca="true">NORMINV(RAND(),Assumptions!$B$14,Assumptions!$B$15)</f>
        <v>0.076506126625188</v>
      </c>
      <c r="K149" s="8" t="n">
        <f aca="true">NORMINV(RAND(),Assumptions!$B$14,Assumptions!$B$15)</f>
        <v>0.0441419308840354</v>
      </c>
      <c r="L149" s="8" t="n">
        <f aca="true">NORMINV(RAND(),Assumptions!$B$14,Assumptions!$B$15)</f>
        <v>0.0619551503084324</v>
      </c>
      <c r="M149" s="6" t="n">
        <f aca="false">B149-Assumptions!$B$29</f>
        <v>391263.996662504</v>
      </c>
      <c r="N149" s="6" t="n">
        <f aca="false">W149-Assumptions!$B$29</f>
        <v>344203.94651985</v>
      </c>
      <c r="O149" s="6" t="n">
        <f aca="false">X149-Assumptions!$B$29</f>
        <v>308212.225852318</v>
      </c>
      <c r="P149" s="6" t="n">
        <f aca="false">Y149-Assumptions!$B$29</f>
        <v>277353.65608533</v>
      </c>
      <c r="Q149" s="6" t="n">
        <f aca="false">Z149-Assumptions!$B$29</f>
        <v>231974.894478041</v>
      </c>
      <c r="R149" s="6" t="n">
        <f aca="false">AA149-Assumptions!$B$29</f>
        <v>203891.344173934</v>
      </c>
      <c r="S149" s="6" t="n">
        <f aca="false">AB149-Assumptions!$B$29</f>
        <v>160241.004362011</v>
      </c>
      <c r="T149" s="6" t="n">
        <f aca="false">AC149-Assumptions!$B$29</f>
        <v>119398.888391304</v>
      </c>
      <c r="U149" s="6" t="n">
        <f aca="false">AD149-Assumptions!$B$29</f>
        <v>78533.6348654762</v>
      </c>
      <c r="V149" s="6" t="n">
        <f aca="false">AE149-Assumptions!$B$29</f>
        <v>32000.2611477802</v>
      </c>
      <c r="W149" s="6" t="n">
        <f aca="false">M149*(1+C149)</f>
        <v>394203.94651985</v>
      </c>
      <c r="X149" s="6" t="n">
        <f aca="false">N149*(1+D149)</f>
        <v>358212.225852318</v>
      </c>
      <c r="Y149" s="6" t="n">
        <f aca="false">O149*(1+E149)</f>
        <v>327353.65608533</v>
      </c>
      <c r="Z149" s="6" t="n">
        <f aca="false">P149*(1+F149)</f>
        <v>281974.894478041</v>
      </c>
      <c r="AA149" s="6" t="n">
        <f aca="false">Q149*(1+G149)</f>
        <v>253891.344173934</v>
      </c>
      <c r="AB149" s="6" t="n">
        <f aca="false">R149*(1+H149)</f>
        <v>210241.004362011</v>
      </c>
      <c r="AC149" s="6" t="n">
        <f aca="false">S149*(1+I149)</f>
        <v>169398.888391304</v>
      </c>
      <c r="AD149" s="6" t="n">
        <f aca="false">T149*(1+J149)</f>
        <v>128533.634865476</v>
      </c>
      <c r="AE149" s="6" t="n">
        <f aca="false">U149*(1+K149)</f>
        <v>82000.2611477802</v>
      </c>
      <c r="AF149" s="6" t="n">
        <f aca="false">V149*(1+L149)</f>
        <v>33982.8421371</v>
      </c>
      <c r="AG149" s="6" t="n">
        <f aca="false">MIN(M149:V149)</f>
        <v>32000.2611477802</v>
      </c>
      <c r="AH149" s="19" t="n">
        <f aca="false">IF(AG149&gt;=0,1,0)</f>
        <v>1</v>
      </c>
    </row>
    <row r="150" customFormat="false" ht="15" hidden="false" customHeight="false" outlineLevel="0" collapsed="false">
      <c r="A150" s="0" t="n">
        <f aca="false">ROW()-1</f>
        <v>149</v>
      </c>
      <c r="B150" s="6" t="n">
        <f aca="false">Assumptions!$B$35</f>
        <v>441263.996662504</v>
      </c>
      <c r="C150" s="8" t="n">
        <f aca="true">NORMINV(RAND(),Assumptions!$B$14,Assumptions!$B$15)</f>
        <v>0.106783817398783</v>
      </c>
      <c r="D150" s="8" t="n">
        <f aca="true">NORMINV(RAND(),Assumptions!$B$14,Assumptions!$B$15)</f>
        <v>0.0429416767612662</v>
      </c>
      <c r="E150" s="8" t="n">
        <f aca="true">NORMINV(RAND(),Assumptions!$B$14,Assumptions!$B$15)</f>
        <v>0.0585512999710474</v>
      </c>
      <c r="F150" s="8" t="n">
        <f aca="true">NORMINV(RAND(),Assumptions!$B$14,Assumptions!$B$15)</f>
        <v>0.0370157646388585</v>
      </c>
      <c r="G150" s="8" t="n">
        <f aca="true">NORMINV(RAND(),Assumptions!$B$14,Assumptions!$B$15)</f>
        <v>0.0700715072418103</v>
      </c>
      <c r="H150" s="8" t="n">
        <f aca="true">NORMINV(RAND(),Assumptions!$B$14,Assumptions!$B$15)</f>
        <v>0.0659024321330926</v>
      </c>
      <c r="I150" s="8" t="n">
        <f aca="true">NORMINV(RAND(),Assumptions!$B$14,Assumptions!$B$15)</f>
        <v>0.0175088135047673</v>
      </c>
      <c r="J150" s="8" t="n">
        <f aca="true">NORMINV(RAND(),Assumptions!$B$14,Assumptions!$B$15)</f>
        <v>0.10457823569384</v>
      </c>
      <c r="K150" s="8" t="n">
        <f aca="true">NORMINV(RAND(),Assumptions!$B$14,Assumptions!$B$15)</f>
        <v>0.0323759487007202</v>
      </c>
      <c r="L150" s="8" t="n">
        <f aca="true">NORMINV(RAND(),Assumptions!$B$14,Assumptions!$B$15)</f>
        <v>0.0643953407563427</v>
      </c>
      <c r="M150" s="6" t="n">
        <f aca="false">B150-Assumptions!$B$29</f>
        <v>391263.996662504</v>
      </c>
      <c r="N150" s="6" t="n">
        <f aca="false">W150-Assumptions!$B$29</f>
        <v>383044.65983683</v>
      </c>
      <c r="O150" s="6" t="n">
        <f aca="false">X150-Assumptions!$B$29</f>
        <v>349493.239804673</v>
      </c>
      <c r="P150" s="6" t="n">
        <f aca="false">Y150-Assumptions!$B$29</f>
        <v>319956.523326329</v>
      </c>
      <c r="Q150" s="6" t="n">
        <f aca="false">Z150-Assumptions!$B$29</f>
        <v>281799.958688444</v>
      </c>
      <c r="R150" s="6" t="n">
        <f aca="false">AA150-Assumptions!$B$29</f>
        <v>251546.106534423</v>
      </c>
      <c r="S150" s="6" t="n">
        <f aca="false">AB150-Assumptions!$B$29</f>
        <v>218123.606748652</v>
      </c>
      <c r="T150" s="6" t="n">
        <f aca="false">AC150-Assumptions!$B$29</f>
        <v>171942.692300201</v>
      </c>
      <c r="U150" s="6" t="n">
        <f aca="false">AD150-Assumptions!$B$29</f>
        <v>139924.155701405</v>
      </c>
      <c r="V150" s="6" t="n">
        <f aca="false">AE150-Assumptions!$B$29</f>
        <v>94454.3329883852</v>
      </c>
      <c r="W150" s="6" t="n">
        <f aca="false">M150*(1+C150)</f>
        <v>433044.65983683</v>
      </c>
      <c r="X150" s="6" t="n">
        <f aca="false">N150*(1+D150)</f>
        <v>399493.239804673</v>
      </c>
      <c r="Y150" s="6" t="n">
        <f aca="false">O150*(1+E150)</f>
        <v>369956.523326329</v>
      </c>
      <c r="Z150" s="6" t="n">
        <f aca="false">P150*(1+F150)</f>
        <v>331799.958688444</v>
      </c>
      <c r="AA150" s="6" t="n">
        <f aca="false">Q150*(1+G150)</f>
        <v>301546.106534423</v>
      </c>
      <c r="AB150" s="6" t="n">
        <f aca="false">R150*(1+H150)</f>
        <v>268123.606748652</v>
      </c>
      <c r="AC150" s="6" t="n">
        <f aca="false">S150*(1+I150)</f>
        <v>221942.692300201</v>
      </c>
      <c r="AD150" s="6" t="n">
        <f aca="false">T150*(1+J150)</f>
        <v>189924.155701405</v>
      </c>
      <c r="AE150" s="6" t="n">
        <f aca="false">U150*(1+K150)</f>
        <v>144454.332988385</v>
      </c>
      <c r="AF150" s="6" t="n">
        <f aca="false">V150*(1+L150)</f>
        <v>100536.751947085</v>
      </c>
      <c r="AG150" s="6" t="n">
        <f aca="false">MIN(M150:V150)</f>
        <v>94454.3329883852</v>
      </c>
      <c r="AH150" s="19" t="n">
        <f aca="false">IF(AG150&gt;=0,1,0)</f>
        <v>1</v>
      </c>
    </row>
    <row r="151" customFormat="false" ht="15" hidden="false" customHeight="false" outlineLevel="0" collapsed="false">
      <c r="A151" s="0" t="n">
        <f aca="false">ROW()-1</f>
        <v>150</v>
      </c>
      <c r="B151" s="6" t="n">
        <f aca="false">Assumptions!$B$35</f>
        <v>441263.996662504</v>
      </c>
      <c r="C151" s="8" t="n">
        <f aca="true">NORMINV(RAND(),Assumptions!$B$14,Assumptions!$B$15)</f>
        <v>0.0468179262231702</v>
      </c>
      <c r="D151" s="8" t="n">
        <f aca="true">NORMINV(RAND(),Assumptions!$B$14,Assumptions!$B$15)</f>
        <v>0.0393824429563963</v>
      </c>
      <c r="E151" s="8" t="n">
        <f aca="true">NORMINV(RAND(),Assumptions!$B$14,Assumptions!$B$15)</f>
        <v>0.0741166834620939</v>
      </c>
      <c r="F151" s="8" t="n">
        <f aca="true">NORMINV(RAND(),Assumptions!$B$14,Assumptions!$B$15)</f>
        <v>0.0941245562491971</v>
      </c>
      <c r="G151" s="8" t="n">
        <f aca="true">NORMINV(RAND(),Assumptions!$B$14,Assumptions!$B$15)</f>
        <v>0.0547521895268351</v>
      </c>
      <c r="H151" s="8" t="n">
        <f aca="true">NORMINV(RAND(),Assumptions!$B$14,Assumptions!$B$15)</f>
        <v>0.0433884926719423</v>
      </c>
      <c r="I151" s="8" t="n">
        <f aca="true">NORMINV(RAND(),Assumptions!$B$14,Assumptions!$B$15)</f>
        <v>0.0587568990198118</v>
      </c>
      <c r="J151" s="8" t="n">
        <f aca="true">NORMINV(RAND(),Assumptions!$B$14,Assumptions!$B$15)</f>
        <v>0.0719388047867942</v>
      </c>
      <c r="K151" s="8" t="n">
        <f aca="true">NORMINV(RAND(),Assumptions!$B$14,Assumptions!$B$15)</f>
        <v>0.0371956868644038</v>
      </c>
      <c r="L151" s="8" t="n">
        <f aca="true">NORMINV(RAND(),Assumptions!$B$14,Assumptions!$B$15)</f>
        <v>0.0424284796066312</v>
      </c>
      <c r="M151" s="6" t="n">
        <f aca="false">B151-Assumptions!$B$29</f>
        <v>391263.996662504</v>
      </c>
      <c r="N151" s="6" t="n">
        <f aca="false">W151-Assumptions!$B$29</f>
        <v>359582.165592031</v>
      </c>
      <c r="O151" s="6" t="n">
        <f aca="false">X151-Assumptions!$B$29</f>
        <v>323743.389716597</v>
      </c>
      <c r="P151" s="6" t="n">
        <f aca="false">Y151-Assumptions!$B$29</f>
        <v>297738.176055167</v>
      </c>
      <c r="Q151" s="6" t="n">
        <f aca="false">Z151-Assumptions!$B$29</f>
        <v>275762.649754805</v>
      </c>
      <c r="R151" s="6" t="n">
        <f aca="false">AA151-Assumptions!$B$29</f>
        <v>240861.258618603</v>
      </c>
      <c r="S151" s="6" t="n">
        <f aca="false">AB151-Assumptions!$B$29</f>
        <v>201311.865573131</v>
      </c>
      <c r="T151" s="6" t="n">
        <f aca="false">AC151-Assumptions!$B$29</f>
        <v>163140.326530101</v>
      </c>
      <c r="U151" s="6" t="n">
        <f aca="false">AD151-Assumptions!$B$29</f>
        <v>124876.446633204</v>
      </c>
      <c r="V151" s="6" t="n">
        <f aca="false">AE151-Assumptions!$B$29</f>
        <v>79521.3118389118</v>
      </c>
      <c r="W151" s="6" t="n">
        <f aca="false">M151*(1+C151)</f>
        <v>409582.165592031</v>
      </c>
      <c r="X151" s="6" t="n">
        <f aca="false">N151*(1+D151)</f>
        <v>373743.389716597</v>
      </c>
      <c r="Y151" s="6" t="n">
        <f aca="false">O151*(1+E151)</f>
        <v>347738.176055167</v>
      </c>
      <c r="Z151" s="6" t="n">
        <f aca="false">P151*(1+F151)</f>
        <v>325762.649754805</v>
      </c>
      <c r="AA151" s="6" t="n">
        <f aca="false">Q151*(1+G151)</f>
        <v>290861.258618603</v>
      </c>
      <c r="AB151" s="6" t="n">
        <f aca="false">R151*(1+H151)</f>
        <v>251311.865573131</v>
      </c>
      <c r="AC151" s="6" t="n">
        <f aca="false">S151*(1+I151)</f>
        <v>213140.326530101</v>
      </c>
      <c r="AD151" s="6" t="n">
        <f aca="false">T151*(1+J151)</f>
        <v>174876.446633204</v>
      </c>
      <c r="AE151" s="6" t="n">
        <f aca="false">U151*(1+K151)</f>
        <v>129521.311838912</v>
      </c>
      <c r="AF151" s="6" t="n">
        <f aca="false">V151*(1+L151)</f>
        <v>82895.2801965616</v>
      </c>
      <c r="AG151" s="6" t="n">
        <f aca="false">MIN(M151:V151)</f>
        <v>79521.3118389118</v>
      </c>
      <c r="AH151" s="19" t="n">
        <f aca="false">IF(AG151&gt;=0,1,0)</f>
        <v>1</v>
      </c>
    </row>
    <row r="152" customFormat="false" ht="15" hidden="false" customHeight="false" outlineLevel="0" collapsed="false">
      <c r="A152" s="0" t="n">
        <f aca="false">ROW()-1</f>
        <v>151</v>
      </c>
      <c r="B152" s="6" t="n">
        <f aca="false">Assumptions!$B$35</f>
        <v>441263.996662504</v>
      </c>
      <c r="C152" s="8" t="n">
        <f aca="true">NORMINV(RAND(),Assumptions!$B$14,Assumptions!$B$15)</f>
        <v>0.0692213562443984</v>
      </c>
      <c r="D152" s="8" t="n">
        <f aca="true">NORMINV(RAND(),Assumptions!$B$14,Assumptions!$B$15)</f>
        <v>0.138397701759844</v>
      </c>
      <c r="E152" s="8" t="n">
        <f aca="true">NORMINV(RAND(),Assumptions!$B$14,Assumptions!$B$15)</f>
        <v>0.0375753174616276</v>
      </c>
      <c r="F152" s="8" t="n">
        <f aca="true">NORMINV(RAND(),Assumptions!$B$14,Assumptions!$B$15)</f>
        <v>-0.002806802645089</v>
      </c>
      <c r="G152" s="8" t="n">
        <f aca="true">NORMINV(RAND(),Assumptions!$B$14,Assumptions!$B$15)</f>
        <v>0.126360052438918</v>
      </c>
      <c r="H152" s="8" t="n">
        <f aca="true">NORMINV(RAND(),Assumptions!$B$14,Assumptions!$B$15)</f>
        <v>0.0675488157452522</v>
      </c>
      <c r="I152" s="8" t="n">
        <f aca="true">NORMINV(RAND(),Assumptions!$B$14,Assumptions!$B$15)</f>
        <v>0.0700610714698416</v>
      </c>
      <c r="J152" s="8" t="n">
        <f aca="true">NORMINV(RAND(),Assumptions!$B$14,Assumptions!$B$15)</f>
        <v>0.0614995783437082</v>
      </c>
      <c r="K152" s="8" t="n">
        <f aca="true">NORMINV(RAND(),Assumptions!$B$14,Assumptions!$B$15)</f>
        <v>0.125781340940267</v>
      </c>
      <c r="L152" s="8" t="n">
        <f aca="true">NORMINV(RAND(),Assumptions!$B$14,Assumptions!$B$15)</f>
        <v>0.0458387132616301</v>
      </c>
      <c r="M152" s="6" t="n">
        <f aca="false">B152-Assumptions!$B$29</f>
        <v>391263.996662504</v>
      </c>
      <c r="N152" s="6" t="n">
        <f aca="false">W152-Assumptions!$B$29</f>
        <v>368347.821161086</v>
      </c>
      <c r="O152" s="6" t="n">
        <f aca="false">X152-Assumptions!$B$29</f>
        <v>369326.313058026</v>
      </c>
      <c r="P152" s="6" t="n">
        <f aca="false">Y152-Assumptions!$B$29</f>
        <v>333203.866518114</v>
      </c>
      <c r="Q152" s="6" t="n">
        <f aca="false">Z152-Assumptions!$B$29</f>
        <v>282268.629024217</v>
      </c>
      <c r="R152" s="6" t="n">
        <f aca="false">AA152-Assumptions!$B$29</f>
        <v>267936.107789578</v>
      </c>
      <c r="S152" s="6" t="n">
        <f aca="false">AB152-Assumptions!$B$29</f>
        <v>236034.874566156</v>
      </c>
      <c r="T152" s="6" t="n">
        <f aca="false">AC152-Assumptions!$B$29</f>
        <v>202571.730782511</v>
      </c>
      <c r="U152" s="6" t="n">
        <f aca="false">AD152-Assumptions!$B$29</f>
        <v>165029.806809991</v>
      </c>
      <c r="V152" s="6" t="n">
        <f aca="false">AE152-Assumptions!$B$29</f>
        <v>135787.477205664</v>
      </c>
      <c r="W152" s="6" t="n">
        <f aca="false">M152*(1+C152)</f>
        <v>418347.821161086</v>
      </c>
      <c r="X152" s="6" t="n">
        <f aca="false">N152*(1+D152)</f>
        <v>419326.313058026</v>
      </c>
      <c r="Y152" s="6" t="n">
        <f aca="false">O152*(1+E152)</f>
        <v>383203.866518114</v>
      </c>
      <c r="Z152" s="6" t="n">
        <f aca="false">P152*(1+F152)</f>
        <v>332268.629024217</v>
      </c>
      <c r="AA152" s="6" t="n">
        <f aca="false">Q152*(1+G152)</f>
        <v>317936.107789578</v>
      </c>
      <c r="AB152" s="6" t="n">
        <f aca="false">R152*(1+H152)</f>
        <v>286034.874566157</v>
      </c>
      <c r="AC152" s="6" t="n">
        <f aca="false">S152*(1+I152)</f>
        <v>252571.730782511</v>
      </c>
      <c r="AD152" s="6" t="n">
        <f aca="false">T152*(1+J152)</f>
        <v>215029.806809991</v>
      </c>
      <c r="AE152" s="6" t="n">
        <f aca="false">U152*(1+K152)</f>
        <v>185787.477205664</v>
      </c>
      <c r="AF152" s="6" t="n">
        <f aca="false">V152*(1+L152)</f>
        <v>142011.800437815</v>
      </c>
      <c r="AG152" s="6" t="n">
        <f aca="false">MIN(M152:V152)</f>
        <v>135787.477205664</v>
      </c>
      <c r="AH152" s="19" t="n">
        <f aca="false">IF(AG152&gt;=0,1,0)</f>
        <v>1</v>
      </c>
    </row>
    <row r="153" customFormat="false" ht="15" hidden="false" customHeight="false" outlineLevel="0" collapsed="false">
      <c r="A153" s="0" t="n">
        <f aca="false">ROW()-1</f>
        <v>152</v>
      </c>
      <c r="B153" s="6" t="n">
        <f aca="false">Assumptions!$B$35</f>
        <v>441263.996662504</v>
      </c>
      <c r="C153" s="8" t="n">
        <f aca="true">NORMINV(RAND(),Assumptions!$B$14,Assumptions!$B$15)</f>
        <v>0.049680156064982</v>
      </c>
      <c r="D153" s="8" t="n">
        <f aca="true">NORMINV(RAND(),Assumptions!$B$14,Assumptions!$B$15)</f>
        <v>0.129397756902002</v>
      </c>
      <c r="E153" s="8" t="n">
        <f aca="true">NORMINV(RAND(),Assumptions!$B$14,Assumptions!$B$15)</f>
        <v>0.0443586968818158</v>
      </c>
      <c r="F153" s="8" t="n">
        <f aca="true">NORMINV(RAND(),Assumptions!$B$14,Assumptions!$B$15)</f>
        <v>0.0495556222336827</v>
      </c>
      <c r="G153" s="8" t="n">
        <f aca="true">NORMINV(RAND(),Assumptions!$B$14,Assumptions!$B$15)</f>
        <v>0.0688333284705014</v>
      </c>
      <c r="H153" s="8" t="n">
        <f aca="true">NORMINV(RAND(),Assumptions!$B$14,Assumptions!$B$15)</f>
        <v>0.0352266032019172</v>
      </c>
      <c r="I153" s="8" t="n">
        <f aca="true">NORMINV(RAND(),Assumptions!$B$14,Assumptions!$B$15)</f>
        <v>0.0335167733833427</v>
      </c>
      <c r="J153" s="8" t="n">
        <f aca="true">NORMINV(RAND(),Assumptions!$B$14,Assumptions!$B$15)</f>
        <v>0.0400732630262176</v>
      </c>
      <c r="K153" s="8" t="n">
        <f aca="true">NORMINV(RAND(),Assumptions!$B$14,Assumptions!$B$15)</f>
        <v>0.0136066393119119</v>
      </c>
      <c r="L153" s="8" t="n">
        <f aca="true">NORMINV(RAND(),Assumptions!$B$14,Assumptions!$B$15)</f>
        <v>0.0606580743789838</v>
      </c>
      <c r="M153" s="6" t="n">
        <f aca="false">B153-Assumptions!$B$29</f>
        <v>391263.996662504</v>
      </c>
      <c r="N153" s="6" t="n">
        <f aca="false">W153-Assumptions!$B$29</f>
        <v>360702.053079305</v>
      </c>
      <c r="O153" s="6" t="n">
        <f aca="false">X153-Assumptions!$B$29</f>
        <v>357376.089657714</v>
      </c>
      <c r="P153" s="6" t="n">
        <f aca="false">Y153-Assumptions!$B$29</f>
        <v>323228.827291649</v>
      </c>
      <c r="Q153" s="6" t="n">
        <f aca="false">Z153-Assumptions!$B$29</f>
        <v>289246.632951951</v>
      </c>
      <c r="R153" s="6" t="n">
        <f aca="false">AA153-Assumptions!$B$29</f>
        <v>259156.441446919</v>
      </c>
      <c r="S153" s="6" t="n">
        <f aca="false">AB153-Assumptions!$B$29</f>
        <v>218285.64257699</v>
      </c>
      <c r="T153" s="6" t="n">
        <f aca="false">AC153-Assumptions!$B$29</f>
        <v>175601.872992081</v>
      </c>
      <c r="U153" s="6" t="n">
        <f aca="false">AD153-Assumptions!$B$29</f>
        <v>132638.813036389</v>
      </c>
      <c r="V153" s="6" t="n">
        <f aca="false">AE153-Assumptions!$B$29</f>
        <v>84443.581524135</v>
      </c>
      <c r="W153" s="6" t="n">
        <f aca="false">M153*(1+C153)</f>
        <v>410702.053079305</v>
      </c>
      <c r="X153" s="6" t="n">
        <f aca="false">N153*(1+D153)</f>
        <v>407376.089657714</v>
      </c>
      <c r="Y153" s="6" t="n">
        <f aca="false">O153*(1+E153)</f>
        <v>373228.827291649</v>
      </c>
      <c r="Z153" s="6" t="n">
        <f aca="false">P153*(1+F153)</f>
        <v>339246.632951951</v>
      </c>
      <c r="AA153" s="6" t="n">
        <f aca="false">Q153*(1+G153)</f>
        <v>309156.441446919</v>
      </c>
      <c r="AB153" s="6" t="n">
        <f aca="false">R153*(1+H153)</f>
        <v>268285.64257699</v>
      </c>
      <c r="AC153" s="6" t="n">
        <f aca="false">S153*(1+I153)</f>
        <v>225601.872992081</v>
      </c>
      <c r="AD153" s="6" t="n">
        <f aca="false">T153*(1+J153)</f>
        <v>182638.813036389</v>
      </c>
      <c r="AE153" s="6" t="n">
        <f aca="false">U153*(1+K153)</f>
        <v>134443.581524135</v>
      </c>
      <c r="AF153" s="6" t="n">
        <f aca="false">V153*(1+L153)</f>
        <v>89565.7665730538</v>
      </c>
      <c r="AG153" s="6" t="n">
        <f aca="false">MIN(M153:V153)</f>
        <v>84443.581524135</v>
      </c>
      <c r="AH153" s="19" t="n">
        <f aca="false">IF(AG153&gt;=0,1,0)</f>
        <v>1</v>
      </c>
    </row>
    <row r="154" customFormat="false" ht="15" hidden="false" customHeight="false" outlineLevel="0" collapsed="false">
      <c r="A154" s="0" t="n">
        <f aca="false">ROW()-1</f>
        <v>153</v>
      </c>
      <c r="B154" s="6" t="n">
        <f aca="false">Assumptions!$B$35</f>
        <v>441263.996662504</v>
      </c>
      <c r="C154" s="8" t="n">
        <f aca="true">NORMINV(RAND(),Assumptions!$B$14,Assumptions!$B$15)</f>
        <v>0.0772869280284112</v>
      </c>
      <c r="D154" s="8" t="n">
        <f aca="true">NORMINV(RAND(),Assumptions!$B$14,Assumptions!$B$15)</f>
        <v>0.00161693584816773</v>
      </c>
      <c r="E154" s="8" t="n">
        <f aca="true">NORMINV(RAND(),Assumptions!$B$14,Assumptions!$B$15)</f>
        <v>0.0359634472062174</v>
      </c>
      <c r="F154" s="8" t="n">
        <f aca="true">NORMINV(RAND(),Assumptions!$B$14,Assumptions!$B$15)</f>
        <v>0.0466467874886665</v>
      </c>
      <c r="G154" s="8" t="n">
        <f aca="true">NORMINV(RAND(),Assumptions!$B$14,Assumptions!$B$15)</f>
        <v>0.0643241111207713</v>
      </c>
      <c r="H154" s="8" t="n">
        <f aca="true">NORMINV(RAND(),Assumptions!$B$14,Assumptions!$B$15)</f>
        <v>0.0982579592061073</v>
      </c>
      <c r="I154" s="8" t="n">
        <f aca="true">NORMINV(RAND(),Assumptions!$B$14,Assumptions!$B$15)</f>
        <v>0.000739980114064301</v>
      </c>
      <c r="J154" s="8" t="n">
        <f aca="true">NORMINV(RAND(),Assumptions!$B$14,Assumptions!$B$15)</f>
        <v>0.0318987999612658</v>
      </c>
      <c r="K154" s="8" t="n">
        <f aca="true">NORMINV(RAND(),Assumptions!$B$14,Assumptions!$B$15)</f>
        <v>0.0672320421026593</v>
      </c>
      <c r="L154" s="8" t="n">
        <f aca="true">NORMINV(RAND(),Assumptions!$B$14,Assumptions!$B$15)</f>
        <v>0.0285326579036629</v>
      </c>
      <c r="M154" s="6" t="n">
        <f aca="false">B154-Assumptions!$B$29</f>
        <v>391263.996662504</v>
      </c>
      <c r="N154" s="6" t="n">
        <f aca="false">W154-Assumptions!$B$29</f>
        <v>371503.589012667</v>
      </c>
      <c r="O154" s="6" t="n">
        <f aca="false">X154-Assumptions!$B$29</f>
        <v>322104.286483465</v>
      </c>
      <c r="P154" s="6" t="n">
        <f aca="false">Y154-Assumptions!$B$29</f>
        <v>283688.266985309</v>
      </c>
      <c r="Q154" s="6" t="n">
        <f aca="false">Z154-Assumptions!$B$29</f>
        <v>246921.413288401</v>
      </c>
      <c r="R154" s="6" t="n">
        <f aca="false">AA154-Assumptions!$B$29</f>
        <v>212804.413714862</v>
      </c>
      <c r="S154" s="6" t="n">
        <f aca="false">AB154-Assumptions!$B$29</f>
        <v>183714.141116536</v>
      </c>
      <c r="T154" s="6" t="n">
        <f aca="false">AC154-Assumptions!$B$29</f>
        <v>133850.085927635</v>
      </c>
      <c r="U154" s="6" t="n">
        <f aca="false">AD154-Assumptions!$B$29</f>
        <v>88119.7430434386</v>
      </c>
      <c r="V154" s="6" t="n">
        <f aca="false">AE154-Assumptions!$B$29</f>
        <v>44044.2133178105</v>
      </c>
      <c r="W154" s="6" t="n">
        <f aca="false">M154*(1+C154)</f>
        <v>421503.589012667</v>
      </c>
      <c r="X154" s="6" t="n">
        <f aca="false">N154*(1+D154)</f>
        <v>372104.286483465</v>
      </c>
      <c r="Y154" s="6" t="n">
        <f aca="false">O154*(1+E154)</f>
        <v>333688.266985309</v>
      </c>
      <c r="Z154" s="6" t="n">
        <f aca="false">P154*(1+F154)</f>
        <v>296921.413288401</v>
      </c>
      <c r="AA154" s="6" t="n">
        <f aca="false">Q154*(1+G154)</f>
        <v>262804.413714862</v>
      </c>
      <c r="AB154" s="6" t="n">
        <f aca="false">R154*(1+H154)</f>
        <v>233714.141116536</v>
      </c>
      <c r="AC154" s="6" t="n">
        <f aca="false">S154*(1+I154)</f>
        <v>183850.085927635</v>
      </c>
      <c r="AD154" s="6" t="n">
        <f aca="false">T154*(1+J154)</f>
        <v>138119.743043439</v>
      </c>
      <c r="AE154" s="6" t="n">
        <f aca="false">U154*(1+K154)</f>
        <v>94044.2133178105</v>
      </c>
      <c r="AF154" s="6" t="n">
        <f aca="false">V154*(1+L154)</f>
        <v>45300.9117890436</v>
      </c>
      <c r="AG154" s="6" t="n">
        <f aca="false">MIN(M154:V154)</f>
        <v>44044.2133178105</v>
      </c>
      <c r="AH154" s="19" t="n">
        <f aca="false">IF(AG154&gt;=0,1,0)</f>
        <v>1</v>
      </c>
    </row>
    <row r="155" customFormat="false" ht="15" hidden="false" customHeight="false" outlineLevel="0" collapsed="false">
      <c r="A155" s="0" t="n">
        <f aca="false">ROW()-1</f>
        <v>154</v>
      </c>
      <c r="B155" s="6" t="n">
        <f aca="false">Assumptions!$B$35</f>
        <v>441263.996662504</v>
      </c>
      <c r="C155" s="8" t="n">
        <f aca="true">NORMINV(RAND(),Assumptions!$B$14,Assumptions!$B$15)</f>
        <v>0.114197853129156</v>
      </c>
      <c r="D155" s="8" t="n">
        <f aca="true">NORMINV(RAND(),Assumptions!$B$14,Assumptions!$B$15)</f>
        <v>0.0777213388443497</v>
      </c>
      <c r="E155" s="8" t="n">
        <f aca="true">NORMINV(RAND(),Assumptions!$B$14,Assumptions!$B$15)</f>
        <v>0.118865107878149</v>
      </c>
      <c r="F155" s="8" t="n">
        <f aca="true">NORMINV(RAND(),Assumptions!$B$14,Assumptions!$B$15)</f>
        <v>0.0475170356195348</v>
      </c>
      <c r="G155" s="8" t="n">
        <f aca="true">NORMINV(RAND(),Assumptions!$B$14,Assumptions!$B$15)</f>
        <v>0.0667941908376332</v>
      </c>
      <c r="H155" s="8" t="n">
        <f aca="true">NORMINV(RAND(),Assumptions!$B$14,Assumptions!$B$15)</f>
        <v>0.0927968277317106</v>
      </c>
      <c r="I155" s="8" t="n">
        <f aca="true">NORMINV(RAND(),Assumptions!$B$14,Assumptions!$B$15)</f>
        <v>0.00196786670999826</v>
      </c>
      <c r="J155" s="8" t="n">
        <f aca="true">NORMINV(RAND(),Assumptions!$B$14,Assumptions!$B$15)</f>
        <v>0.0111742596948728</v>
      </c>
      <c r="K155" s="8" t="n">
        <f aca="true">NORMINV(RAND(),Assumptions!$B$14,Assumptions!$B$15)</f>
        <v>0.051349436581386</v>
      </c>
      <c r="L155" s="8" t="n">
        <f aca="true">NORMINV(RAND(),Assumptions!$B$14,Assumptions!$B$15)</f>
        <v>0.0125662250717631</v>
      </c>
      <c r="M155" s="6" t="n">
        <f aca="false">B155-Assumptions!$B$29</f>
        <v>391263.996662504</v>
      </c>
      <c r="N155" s="6" t="n">
        <f aca="false">W155-Assumptions!$B$29</f>
        <v>385945.505088095</v>
      </c>
      <c r="O155" s="6" t="n">
        <f aca="false">X155-Assumptions!$B$29</f>
        <v>365941.7064645</v>
      </c>
      <c r="P155" s="6" t="n">
        <f aca="false">Y155-Assumptions!$B$29</f>
        <v>359439.406880517</v>
      </c>
      <c r="Q155" s="6" t="n">
        <f aca="false">Z155-Assumptions!$B$29</f>
        <v>326518.901980323</v>
      </c>
      <c r="R155" s="6" t="n">
        <f aca="false">AA155-Assumptions!$B$29</f>
        <v>298328.467831291</v>
      </c>
      <c r="S155" s="6" t="n">
        <f aca="false">AB155-Assumptions!$B$29</f>
        <v>276012.403268097</v>
      </c>
      <c r="T155" s="6" t="n">
        <f aca="false">AC155-Assumptions!$B$29</f>
        <v>226555.558888035</v>
      </c>
      <c r="U155" s="6" t="n">
        <f aca="false">AD155-Assumptions!$B$29</f>
        <v>179087.149538367</v>
      </c>
      <c r="V155" s="6" t="n">
        <f aca="false">AE155-Assumptions!$B$29</f>
        <v>138283.173766128</v>
      </c>
      <c r="W155" s="6" t="n">
        <f aca="false">M155*(1+C155)</f>
        <v>435945.505088095</v>
      </c>
      <c r="X155" s="6" t="n">
        <f aca="false">N155*(1+D155)</f>
        <v>415941.7064645</v>
      </c>
      <c r="Y155" s="6" t="n">
        <f aca="false">O155*(1+E155)</f>
        <v>409439.406880517</v>
      </c>
      <c r="Z155" s="6" t="n">
        <f aca="false">P155*(1+F155)</f>
        <v>376518.901980323</v>
      </c>
      <c r="AA155" s="6" t="n">
        <f aca="false">Q155*(1+G155)</f>
        <v>348328.467831291</v>
      </c>
      <c r="AB155" s="6" t="n">
        <f aca="false">R155*(1+H155)</f>
        <v>326012.403268097</v>
      </c>
      <c r="AC155" s="6" t="n">
        <f aca="false">S155*(1+I155)</f>
        <v>276555.558888035</v>
      </c>
      <c r="AD155" s="6" t="n">
        <f aca="false">T155*(1+J155)</f>
        <v>229087.149538367</v>
      </c>
      <c r="AE155" s="6" t="n">
        <f aca="false">U155*(1+K155)</f>
        <v>188283.173766128</v>
      </c>
      <c r="AF155" s="6" t="n">
        <f aca="false">V155*(1+L155)</f>
        <v>140020.871251311</v>
      </c>
      <c r="AG155" s="6" t="n">
        <f aca="false">MIN(M155:V155)</f>
        <v>138283.173766128</v>
      </c>
      <c r="AH155" s="19" t="n">
        <f aca="false">IF(AG155&gt;=0,1,0)</f>
        <v>1</v>
      </c>
    </row>
    <row r="156" customFormat="false" ht="15" hidden="false" customHeight="false" outlineLevel="0" collapsed="false">
      <c r="A156" s="0" t="n">
        <f aca="false">ROW()-1</f>
        <v>155</v>
      </c>
      <c r="B156" s="6" t="n">
        <f aca="false">Assumptions!$B$35</f>
        <v>441263.996662504</v>
      </c>
      <c r="C156" s="8" t="n">
        <f aca="true">NORMINV(RAND(),Assumptions!$B$14,Assumptions!$B$15)</f>
        <v>0.0604370942729231</v>
      </c>
      <c r="D156" s="8" t="n">
        <f aca="true">NORMINV(RAND(),Assumptions!$B$14,Assumptions!$B$15)</f>
        <v>0.0391023096368029</v>
      </c>
      <c r="E156" s="8" t="n">
        <f aca="true">NORMINV(RAND(),Assumptions!$B$14,Assumptions!$B$15)</f>
        <v>0.0254290952891566</v>
      </c>
      <c r="F156" s="8" t="n">
        <f aca="true">NORMINV(RAND(),Assumptions!$B$14,Assumptions!$B$15)</f>
        <v>0.084451646748447</v>
      </c>
      <c r="G156" s="8" t="n">
        <f aca="true">NORMINV(RAND(),Assumptions!$B$14,Assumptions!$B$15)</f>
        <v>0.0362847332924693</v>
      </c>
      <c r="H156" s="8" t="n">
        <f aca="true">NORMINV(RAND(),Assumptions!$B$14,Assumptions!$B$15)</f>
        <v>0.0706858140554336</v>
      </c>
      <c r="I156" s="8" t="n">
        <f aca="true">NORMINV(RAND(),Assumptions!$B$14,Assumptions!$B$15)</f>
        <v>0.0636183006277899</v>
      </c>
      <c r="J156" s="8" t="n">
        <f aca="true">NORMINV(RAND(),Assumptions!$B$14,Assumptions!$B$15)</f>
        <v>0.0120710655288865</v>
      </c>
      <c r="K156" s="8" t="n">
        <f aca="true">NORMINV(RAND(),Assumptions!$B$14,Assumptions!$B$15)</f>
        <v>0.0732788834535955</v>
      </c>
      <c r="L156" s="8" t="n">
        <f aca="true">NORMINV(RAND(),Assumptions!$B$14,Assumptions!$B$15)</f>
        <v>0.0562712076214579</v>
      </c>
      <c r="M156" s="6" t="n">
        <f aca="false">B156-Assumptions!$B$29</f>
        <v>391263.996662504</v>
      </c>
      <c r="N156" s="6" t="n">
        <f aca="false">W156-Assumptions!$B$29</f>
        <v>364910.855714396</v>
      </c>
      <c r="O156" s="6" t="n">
        <f aca="false">X156-Assumptions!$B$29</f>
        <v>329179.712984371</v>
      </c>
      <c r="P156" s="6" t="n">
        <f aca="false">Y156-Assumptions!$B$29</f>
        <v>287550.455273108</v>
      </c>
      <c r="Q156" s="6" t="n">
        <f aca="false">Z156-Assumptions!$B$29</f>
        <v>261834.564744187</v>
      </c>
      <c r="R156" s="6" t="n">
        <f aca="false">AA156-Assumptions!$B$29</f>
        <v>221335.16209268</v>
      </c>
      <c r="S156" s="6" t="n">
        <f aca="false">AB156-Assumptions!$B$29</f>
        <v>186980.418204292</v>
      </c>
      <c r="T156" s="6" t="n">
        <f aca="false">AC156-Assumptions!$B$29</f>
        <v>148875.794661123</v>
      </c>
      <c r="U156" s="6" t="n">
        <f aca="false">AD156-Assumptions!$B$29</f>
        <v>100672.884134142</v>
      </c>
      <c r="V156" s="6" t="n">
        <f aca="false">AE156-Assumptions!$B$29</f>
        <v>58050.0806775454</v>
      </c>
      <c r="W156" s="6" t="n">
        <f aca="false">M156*(1+C156)</f>
        <v>414910.855714396</v>
      </c>
      <c r="X156" s="6" t="n">
        <f aca="false">N156*(1+D156)</f>
        <v>379179.712984371</v>
      </c>
      <c r="Y156" s="6" t="n">
        <f aca="false">O156*(1+E156)</f>
        <v>337550.455273108</v>
      </c>
      <c r="Z156" s="6" t="n">
        <f aca="false">P156*(1+F156)</f>
        <v>311834.564744187</v>
      </c>
      <c r="AA156" s="6" t="n">
        <f aca="false">Q156*(1+G156)</f>
        <v>271335.16209268</v>
      </c>
      <c r="AB156" s="6" t="n">
        <f aca="false">R156*(1+H156)</f>
        <v>236980.418204292</v>
      </c>
      <c r="AC156" s="6" t="n">
        <f aca="false">S156*(1+I156)</f>
        <v>198875.794661123</v>
      </c>
      <c r="AD156" s="6" t="n">
        <f aca="false">T156*(1+J156)</f>
        <v>150672.884134142</v>
      </c>
      <c r="AE156" s="6" t="n">
        <f aca="false">U156*(1+K156)</f>
        <v>108050.080677545</v>
      </c>
      <c r="AF156" s="6" t="n">
        <f aca="false">V156*(1+L156)</f>
        <v>61316.628819794</v>
      </c>
      <c r="AG156" s="6" t="n">
        <f aca="false">MIN(M156:V156)</f>
        <v>58050.0806775454</v>
      </c>
      <c r="AH156" s="19" t="n">
        <f aca="false">IF(AG156&gt;=0,1,0)</f>
        <v>1</v>
      </c>
    </row>
    <row r="157" customFormat="false" ht="15" hidden="false" customHeight="false" outlineLevel="0" collapsed="false">
      <c r="A157" s="0" t="n">
        <f aca="false">ROW()-1</f>
        <v>156</v>
      </c>
      <c r="B157" s="6" t="n">
        <f aca="false">Assumptions!$B$35</f>
        <v>441263.996662504</v>
      </c>
      <c r="C157" s="8" t="n">
        <f aca="true">NORMINV(RAND(),Assumptions!$B$14,Assumptions!$B$15)</f>
        <v>0.042306007158534</v>
      </c>
      <c r="D157" s="8" t="n">
        <f aca="true">NORMINV(RAND(),Assumptions!$B$14,Assumptions!$B$15)</f>
        <v>0.0367749169048393</v>
      </c>
      <c r="E157" s="8" t="n">
        <f aca="true">NORMINV(RAND(),Assumptions!$B$14,Assumptions!$B$15)</f>
        <v>0.0350061828145528</v>
      </c>
      <c r="F157" s="8" t="n">
        <f aca="true">NORMINV(RAND(),Assumptions!$B$14,Assumptions!$B$15)</f>
        <v>0.0674854050538735</v>
      </c>
      <c r="G157" s="8" t="n">
        <f aca="true">NORMINV(RAND(),Assumptions!$B$14,Assumptions!$B$15)</f>
        <v>0.0042512935172891</v>
      </c>
      <c r="H157" s="8" t="n">
        <f aca="true">NORMINV(RAND(),Assumptions!$B$14,Assumptions!$B$15)</f>
        <v>0.0582664911278808</v>
      </c>
      <c r="I157" s="8" t="n">
        <f aca="true">NORMINV(RAND(),Assumptions!$B$14,Assumptions!$B$15)</f>
        <v>0.0545873421456696</v>
      </c>
      <c r="J157" s="8" t="n">
        <f aca="true">NORMINV(RAND(),Assumptions!$B$14,Assumptions!$B$15)</f>
        <v>0.00758866455372995</v>
      </c>
      <c r="K157" s="8" t="n">
        <f aca="true">NORMINV(RAND(),Assumptions!$B$14,Assumptions!$B$15)</f>
        <v>0.0338233211928014</v>
      </c>
      <c r="L157" s="8" t="n">
        <f aca="true">NORMINV(RAND(),Assumptions!$B$14,Assumptions!$B$15)</f>
        <v>0.0025178309737843</v>
      </c>
      <c r="M157" s="6" t="n">
        <f aca="false">B157-Assumptions!$B$29</f>
        <v>391263.996662504</v>
      </c>
      <c r="N157" s="6" t="n">
        <f aca="false">W157-Assumptions!$B$29</f>
        <v>357816.814106184</v>
      </c>
      <c r="O157" s="6" t="n">
        <f aca="false">X157-Assumptions!$B$29</f>
        <v>320975.497712093</v>
      </c>
      <c r="P157" s="6" t="n">
        <f aca="false">Y157-Assumptions!$B$29</f>
        <v>282211.624663995</v>
      </c>
      <c r="Q157" s="6" t="n">
        <f aca="false">Z157-Assumptions!$B$29</f>
        <v>251256.790465356</v>
      </c>
      <c r="R157" s="6" t="n">
        <f aca="false">AA157-Assumptions!$B$29</f>
        <v>202324.956829837</v>
      </c>
      <c r="S157" s="6" t="n">
        <f aca="false">AB157-Assumptions!$B$29</f>
        <v>164113.722131911</v>
      </c>
      <c r="T157" s="6" t="n">
        <f aca="false">AC157-Assumptions!$B$29</f>
        <v>123072.254032725</v>
      </c>
      <c r="U157" s="6" t="n">
        <f aca="false">AD157-Assumptions!$B$29</f>
        <v>74006.2080844509</v>
      </c>
      <c r="V157" s="6" t="n">
        <f aca="false">AE157-Assumptions!$B$29</f>
        <v>26509.3438307525</v>
      </c>
      <c r="W157" s="6" t="n">
        <f aca="false">M157*(1+C157)</f>
        <v>407816.814106184</v>
      </c>
      <c r="X157" s="6" t="n">
        <f aca="false">N157*(1+D157)</f>
        <v>370975.497712093</v>
      </c>
      <c r="Y157" s="6" t="n">
        <f aca="false">O157*(1+E157)</f>
        <v>332211.624663995</v>
      </c>
      <c r="Z157" s="6" t="n">
        <f aca="false">P157*(1+F157)</f>
        <v>301256.790465356</v>
      </c>
      <c r="AA157" s="6" t="n">
        <f aca="false">Q157*(1+G157)</f>
        <v>252324.956829837</v>
      </c>
      <c r="AB157" s="6" t="n">
        <f aca="false">R157*(1+H157)</f>
        <v>214113.722131911</v>
      </c>
      <c r="AC157" s="6" t="n">
        <f aca="false">S157*(1+I157)</f>
        <v>173072.254032725</v>
      </c>
      <c r="AD157" s="6" t="n">
        <f aca="false">T157*(1+J157)</f>
        <v>124006.208084451</v>
      </c>
      <c r="AE157" s="6" t="n">
        <f aca="false">U157*(1+K157)</f>
        <v>76509.3438307525</v>
      </c>
      <c r="AF157" s="6" t="n">
        <f aca="false">V157*(1+L157)</f>
        <v>26576.0898777443</v>
      </c>
      <c r="AG157" s="6" t="n">
        <f aca="false">MIN(M157:V157)</f>
        <v>26509.3438307525</v>
      </c>
      <c r="AH157" s="19" t="n">
        <f aca="false">IF(AG157&gt;=0,1,0)</f>
        <v>1</v>
      </c>
    </row>
    <row r="158" customFormat="false" ht="15" hidden="false" customHeight="false" outlineLevel="0" collapsed="false">
      <c r="A158" s="0" t="n">
        <f aca="false">ROW()-1</f>
        <v>157</v>
      </c>
      <c r="B158" s="6" t="n">
        <f aca="false">Assumptions!$B$35</f>
        <v>441263.996662504</v>
      </c>
      <c r="C158" s="8" t="n">
        <f aca="true">NORMINV(RAND(),Assumptions!$B$14,Assumptions!$B$15)</f>
        <v>0.0741676465844547</v>
      </c>
      <c r="D158" s="8" t="n">
        <f aca="true">NORMINV(RAND(),Assumptions!$B$14,Assumptions!$B$15)</f>
        <v>0.0763268732179905</v>
      </c>
      <c r="E158" s="8" t="n">
        <f aca="true">NORMINV(RAND(),Assumptions!$B$14,Assumptions!$B$15)</f>
        <v>0.0825629759210793</v>
      </c>
      <c r="F158" s="8" t="n">
        <f aca="true">NORMINV(RAND(),Assumptions!$B$14,Assumptions!$B$15)</f>
        <v>0.0534750309864637</v>
      </c>
      <c r="G158" s="8" t="n">
        <f aca="true">NORMINV(RAND(),Assumptions!$B$14,Assumptions!$B$15)</f>
        <v>0.0722743626780048</v>
      </c>
      <c r="H158" s="8" t="n">
        <f aca="true">NORMINV(RAND(),Assumptions!$B$14,Assumptions!$B$15)</f>
        <v>0.092118697867282</v>
      </c>
      <c r="I158" s="8" t="n">
        <f aca="true">NORMINV(RAND(),Assumptions!$B$14,Assumptions!$B$15)</f>
        <v>0.00882979827958529</v>
      </c>
      <c r="J158" s="8" t="n">
        <f aca="true">NORMINV(RAND(),Assumptions!$B$14,Assumptions!$B$15)</f>
        <v>-0.0136154075089557</v>
      </c>
      <c r="K158" s="8" t="n">
        <f aca="true">NORMINV(RAND(),Assumptions!$B$14,Assumptions!$B$15)</f>
        <v>0.0441154873179296</v>
      </c>
      <c r="L158" s="8" t="n">
        <f aca="true">NORMINV(RAND(),Assumptions!$B$14,Assumptions!$B$15)</f>
        <v>0.0278495883324153</v>
      </c>
      <c r="M158" s="6" t="n">
        <f aca="false">B158-Assumptions!$B$29</f>
        <v>391263.996662504</v>
      </c>
      <c r="N158" s="6" t="n">
        <f aca="false">W158-Assumptions!$B$29</f>
        <v>370283.126488189</v>
      </c>
      <c r="O158" s="6" t="n">
        <f aca="false">X158-Assumptions!$B$29</f>
        <v>348545.679738415</v>
      </c>
      <c r="P158" s="6" t="n">
        <f aca="false">Y158-Assumptions!$B$29</f>
        <v>327322.648302053</v>
      </c>
      <c r="Q158" s="6" t="n">
        <f aca="false">Z158-Assumptions!$B$29</f>
        <v>294826.237062577</v>
      </c>
      <c r="R158" s="6" t="n">
        <f aca="false">AA158-Assumptions!$B$29</f>
        <v>266134.615447029</v>
      </c>
      <c r="S158" s="6" t="n">
        <f aca="false">AB158-Assumptions!$B$29</f>
        <v>240650.589679419</v>
      </c>
      <c r="T158" s="6" t="n">
        <f aca="false">AC158-Assumptions!$B$29</f>
        <v>192775.485842152</v>
      </c>
      <c r="U158" s="6" t="n">
        <f aca="false">AD158-Assumptions!$B$29</f>
        <v>140150.769044674</v>
      </c>
      <c r="V158" s="6" t="n">
        <f aca="false">AE158-Assumptions!$B$29</f>
        <v>96333.5885190624</v>
      </c>
      <c r="W158" s="6" t="n">
        <f aca="false">M158*(1+C158)</f>
        <v>420283.126488189</v>
      </c>
      <c r="X158" s="6" t="n">
        <f aca="false">N158*(1+D158)</f>
        <v>398545.679738415</v>
      </c>
      <c r="Y158" s="6" t="n">
        <f aca="false">O158*(1+E158)</f>
        <v>377322.648302053</v>
      </c>
      <c r="Z158" s="6" t="n">
        <f aca="false">P158*(1+F158)</f>
        <v>344826.237062577</v>
      </c>
      <c r="AA158" s="6" t="n">
        <f aca="false">Q158*(1+G158)</f>
        <v>316134.615447029</v>
      </c>
      <c r="AB158" s="6" t="n">
        <f aca="false">R158*(1+H158)</f>
        <v>290650.589679419</v>
      </c>
      <c r="AC158" s="6" t="n">
        <f aca="false">S158*(1+I158)</f>
        <v>242775.485842152</v>
      </c>
      <c r="AD158" s="6" t="n">
        <f aca="false">T158*(1+J158)</f>
        <v>190150.769044674</v>
      </c>
      <c r="AE158" s="6" t="n">
        <f aca="false">U158*(1+K158)</f>
        <v>146333.588519062</v>
      </c>
      <c r="AF158" s="6" t="n">
        <f aca="false">V158*(1+L158)</f>
        <v>99016.4393019026</v>
      </c>
      <c r="AG158" s="6" t="n">
        <f aca="false">MIN(M158:V158)</f>
        <v>96333.5885190624</v>
      </c>
      <c r="AH158" s="19" t="n">
        <f aca="false">IF(AG158&gt;=0,1,0)</f>
        <v>1</v>
      </c>
    </row>
    <row r="159" customFormat="false" ht="15" hidden="false" customHeight="false" outlineLevel="0" collapsed="false">
      <c r="A159" s="0" t="n">
        <f aca="false">ROW()-1</f>
        <v>158</v>
      </c>
      <c r="B159" s="6" t="n">
        <f aca="false">Assumptions!$B$35</f>
        <v>441263.996662504</v>
      </c>
      <c r="C159" s="8" t="n">
        <f aca="true">NORMINV(RAND(),Assumptions!$B$14,Assumptions!$B$15)</f>
        <v>0.089123238225294</v>
      </c>
      <c r="D159" s="8" t="n">
        <f aca="true">NORMINV(RAND(),Assumptions!$B$14,Assumptions!$B$15)</f>
        <v>0.0637095965617392</v>
      </c>
      <c r="E159" s="8" t="n">
        <f aca="true">NORMINV(RAND(),Assumptions!$B$14,Assumptions!$B$15)</f>
        <v>0.0275281428168718</v>
      </c>
      <c r="F159" s="8" t="n">
        <f aca="true">NORMINV(RAND(),Assumptions!$B$14,Assumptions!$B$15)</f>
        <v>0.0297532342408933</v>
      </c>
      <c r="G159" s="8" t="n">
        <f aca="true">NORMINV(RAND(),Assumptions!$B$14,Assumptions!$B$15)</f>
        <v>0.0277108689871784</v>
      </c>
      <c r="H159" s="8" t="n">
        <f aca="true">NORMINV(RAND(),Assumptions!$B$14,Assumptions!$B$15)</f>
        <v>0.0197931279094839</v>
      </c>
      <c r="I159" s="8" t="n">
        <f aca="true">NORMINV(RAND(),Assumptions!$B$14,Assumptions!$B$15)</f>
        <v>0.0055484404375498</v>
      </c>
      <c r="J159" s="8" t="n">
        <f aca="true">NORMINV(RAND(),Assumptions!$B$14,Assumptions!$B$15)</f>
        <v>0.0319655692912532</v>
      </c>
      <c r="K159" s="8" t="n">
        <f aca="true">NORMINV(RAND(),Assumptions!$B$14,Assumptions!$B$15)</f>
        <v>0.0502191681423773</v>
      </c>
      <c r="L159" s="8" t="n">
        <f aca="true">NORMINV(RAND(),Assumptions!$B$14,Assumptions!$B$15)</f>
        <v>0.061098748172456</v>
      </c>
      <c r="M159" s="6" t="n">
        <f aca="false">B159-Assumptions!$B$29</f>
        <v>391263.996662504</v>
      </c>
      <c r="N159" s="6" t="n">
        <f aca="false">W159-Assumptions!$B$29</f>
        <v>376134.711046036</v>
      </c>
      <c r="O159" s="6" t="n">
        <f aca="false">X159-Assumptions!$B$29</f>
        <v>350098.101739646</v>
      </c>
      <c r="P159" s="6" t="n">
        <f aca="false">Y159-Assumptions!$B$29</f>
        <v>309735.652284251</v>
      </c>
      <c r="Q159" s="6" t="n">
        <f aca="false">Z159-Assumptions!$B$29</f>
        <v>268951.28969942</v>
      </c>
      <c r="R159" s="6" t="n">
        <f aca="false">AA159-Assumptions!$B$29</f>
        <v>226404.163652213</v>
      </c>
      <c r="S159" s="6" t="n">
        <f aca="false">AB159-Assumptions!$B$29</f>
        <v>180885.410222621</v>
      </c>
      <c r="T159" s="6" t="n">
        <f aca="false">AC159-Assumptions!$B$29</f>
        <v>131889.042147263</v>
      </c>
      <c r="U159" s="6" t="n">
        <f aca="false">AD159-Assumptions!$B$29</f>
        <v>86104.9504627782</v>
      </c>
      <c r="V159" s="6" t="n">
        <f aca="false">AE159-Assumptions!$B$29</f>
        <v>40429.0694479595</v>
      </c>
      <c r="W159" s="6" t="n">
        <f aca="false">M159*(1+C159)</f>
        <v>426134.711046036</v>
      </c>
      <c r="X159" s="6" t="n">
        <f aca="false">N159*(1+D159)</f>
        <v>400098.101739646</v>
      </c>
      <c r="Y159" s="6" t="n">
        <f aca="false">O159*(1+E159)</f>
        <v>359735.652284251</v>
      </c>
      <c r="Z159" s="6" t="n">
        <f aca="false">P159*(1+F159)</f>
        <v>318951.28969942</v>
      </c>
      <c r="AA159" s="6" t="n">
        <f aca="false">Q159*(1+G159)</f>
        <v>276404.163652213</v>
      </c>
      <c r="AB159" s="6" t="n">
        <f aca="false">R159*(1+H159)</f>
        <v>230885.410222621</v>
      </c>
      <c r="AC159" s="6" t="n">
        <f aca="false">S159*(1+I159)</f>
        <v>181889.042147263</v>
      </c>
      <c r="AD159" s="6" t="n">
        <f aca="false">T159*(1+J159)</f>
        <v>136104.950462778</v>
      </c>
      <c r="AE159" s="6" t="n">
        <f aca="false">U159*(1+K159)</f>
        <v>90429.0694479595</v>
      </c>
      <c r="AF159" s="6" t="n">
        <f aca="false">V159*(1+L159)</f>
        <v>42899.2349810071</v>
      </c>
      <c r="AG159" s="6" t="n">
        <f aca="false">MIN(M159:V159)</f>
        <v>40429.0694479595</v>
      </c>
      <c r="AH159" s="19" t="n">
        <f aca="false">IF(AG159&gt;=0,1,0)</f>
        <v>1</v>
      </c>
    </row>
    <row r="160" customFormat="false" ht="15" hidden="false" customHeight="false" outlineLevel="0" collapsed="false">
      <c r="A160" s="0" t="n">
        <f aca="false">ROW()-1</f>
        <v>159</v>
      </c>
      <c r="B160" s="6" t="n">
        <f aca="false">Assumptions!$B$35</f>
        <v>441263.996662504</v>
      </c>
      <c r="C160" s="8" t="n">
        <f aca="true">NORMINV(RAND(),Assumptions!$B$14,Assumptions!$B$15)</f>
        <v>-0.0183853005116333</v>
      </c>
      <c r="D160" s="8" t="n">
        <f aca="true">NORMINV(RAND(),Assumptions!$B$14,Assumptions!$B$15)</f>
        <v>0.0646319374288784</v>
      </c>
      <c r="E160" s="8" t="n">
        <f aca="true">NORMINV(RAND(),Assumptions!$B$14,Assumptions!$B$15)</f>
        <v>0.121901051655081</v>
      </c>
      <c r="F160" s="8" t="n">
        <f aca="true">NORMINV(RAND(),Assumptions!$B$14,Assumptions!$B$15)</f>
        <v>0.0984780987310756</v>
      </c>
      <c r="G160" s="8" t="n">
        <f aca="true">NORMINV(RAND(),Assumptions!$B$14,Assumptions!$B$15)</f>
        <v>0.0179321346218347</v>
      </c>
      <c r="H160" s="8" t="n">
        <f aca="true">NORMINV(RAND(),Assumptions!$B$14,Assumptions!$B$15)</f>
        <v>0.0664537762732273</v>
      </c>
      <c r="I160" s="8" t="n">
        <f aca="true">NORMINV(RAND(),Assumptions!$B$14,Assumptions!$B$15)</f>
        <v>0.0983477940913257</v>
      </c>
      <c r="J160" s="8" t="n">
        <f aca="true">NORMINV(RAND(),Assumptions!$B$14,Assumptions!$B$15)</f>
        <v>0.0785967226087385</v>
      </c>
      <c r="K160" s="8" t="n">
        <f aca="true">NORMINV(RAND(),Assumptions!$B$14,Assumptions!$B$15)</f>
        <v>0.0674915928341414</v>
      </c>
      <c r="L160" s="8" t="n">
        <f aca="true">NORMINV(RAND(),Assumptions!$B$14,Assumptions!$B$15)</f>
        <v>0.0613488092723667</v>
      </c>
      <c r="M160" s="6" t="n">
        <f aca="false">B160-Assumptions!$B$29</f>
        <v>391263.996662504</v>
      </c>
      <c r="N160" s="6" t="n">
        <f aca="false">W160-Assumptions!$B$29</f>
        <v>334070.490504481</v>
      </c>
      <c r="O160" s="6" t="n">
        <f aca="false">X160-Assumptions!$B$29</f>
        <v>305662.113543601</v>
      </c>
      <c r="P160" s="6" t="n">
        <f aca="false">Y160-Assumptions!$B$29</f>
        <v>292922.646635681</v>
      </c>
      <c r="Q160" s="6" t="n">
        <f aca="false">Z160-Assumptions!$B$29</f>
        <v>271769.111951637</v>
      </c>
      <c r="R160" s="6" t="n">
        <f aca="false">AA160-Assumptions!$B$29</f>
        <v>226642.512253211</v>
      </c>
      <c r="S160" s="6" t="n">
        <f aca="false">AB160-Assumptions!$B$29</f>
        <v>191703.763056488</v>
      </c>
      <c r="T160" s="6" t="n">
        <f aca="false">AC160-Assumptions!$B$29</f>
        <v>160557.405272099</v>
      </c>
      <c r="U160" s="6" t="n">
        <f aca="false">AD160-Assumptions!$B$29</f>
        <v>123176.691117049</v>
      </c>
      <c r="V160" s="6" t="n">
        <f aca="false">AE160-Assumptions!$B$29</f>
        <v>81490.0822005782</v>
      </c>
      <c r="W160" s="6" t="n">
        <f aca="false">M160*(1+C160)</f>
        <v>384070.490504481</v>
      </c>
      <c r="X160" s="6" t="n">
        <f aca="false">N160*(1+D160)</f>
        <v>355662.113543601</v>
      </c>
      <c r="Y160" s="6" t="n">
        <f aca="false">O160*(1+E160)</f>
        <v>342922.646635681</v>
      </c>
      <c r="Z160" s="6" t="n">
        <f aca="false">P160*(1+F160)</f>
        <v>321769.111951637</v>
      </c>
      <c r="AA160" s="6" t="n">
        <f aca="false">Q160*(1+G160)</f>
        <v>276642.512253211</v>
      </c>
      <c r="AB160" s="6" t="n">
        <f aca="false">R160*(1+H160)</f>
        <v>241703.763056488</v>
      </c>
      <c r="AC160" s="6" t="n">
        <f aca="false">S160*(1+I160)</f>
        <v>210557.405272099</v>
      </c>
      <c r="AD160" s="6" t="n">
        <f aca="false">T160*(1+J160)</f>
        <v>173176.691117049</v>
      </c>
      <c r="AE160" s="6" t="n">
        <f aca="false">U160*(1+K160)</f>
        <v>131490.082200578</v>
      </c>
      <c r="AF160" s="6" t="n">
        <f aca="false">V160*(1+L160)</f>
        <v>86489.4017110909</v>
      </c>
      <c r="AG160" s="6" t="n">
        <f aca="false">MIN(M160:V160)</f>
        <v>81490.0822005782</v>
      </c>
      <c r="AH160" s="19" t="n">
        <f aca="false">IF(AG160&gt;=0,1,0)</f>
        <v>1</v>
      </c>
    </row>
    <row r="161" customFormat="false" ht="15" hidden="false" customHeight="false" outlineLevel="0" collapsed="false">
      <c r="A161" s="0" t="n">
        <f aca="false">ROW()-1</f>
        <v>160</v>
      </c>
      <c r="B161" s="6" t="n">
        <f aca="false">Assumptions!$B$35</f>
        <v>441263.996662504</v>
      </c>
      <c r="C161" s="8" t="n">
        <f aca="true">NORMINV(RAND(),Assumptions!$B$14,Assumptions!$B$15)</f>
        <v>0.0863233799821395</v>
      </c>
      <c r="D161" s="8" t="n">
        <f aca="true">NORMINV(RAND(),Assumptions!$B$14,Assumptions!$B$15)</f>
        <v>0.0546754018313045</v>
      </c>
      <c r="E161" s="8" t="n">
        <f aca="true">NORMINV(RAND(),Assumptions!$B$14,Assumptions!$B$15)</f>
        <v>0.0308315382069939</v>
      </c>
      <c r="F161" s="8" t="n">
        <f aca="true">NORMINV(RAND(),Assumptions!$B$14,Assumptions!$B$15)</f>
        <v>-0.00599398960651218</v>
      </c>
      <c r="G161" s="8" t="n">
        <f aca="true">NORMINV(RAND(),Assumptions!$B$14,Assumptions!$B$15)</f>
        <v>0.064391162886752</v>
      </c>
      <c r="H161" s="8" t="n">
        <f aca="true">NORMINV(RAND(),Assumptions!$B$14,Assumptions!$B$15)</f>
        <v>0.0736842473063549</v>
      </c>
      <c r="I161" s="8" t="n">
        <f aca="true">NORMINV(RAND(),Assumptions!$B$14,Assumptions!$B$15)</f>
        <v>0.0531637176834877</v>
      </c>
      <c r="J161" s="8" t="n">
        <f aca="true">NORMINV(RAND(),Assumptions!$B$14,Assumptions!$B$15)</f>
        <v>0.0578405099748186</v>
      </c>
      <c r="K161" s="8" t="n">
        <f aca="true">NORMINV(RAND(),Assumptions!$B$14,Assumptions!$B$15)</f>
        <v>0.0651555462384841</v>
      </c>
      <c r="L161" s="8" t="n">
        <f aca="true">NORMINV(RAND(),Assumptions!$B$14,Assumptions!$B$15)</f>
        <v>-0.0157659484622883</v>
      </c>
      <c r="M161" s="6" t="n">
        <f aca="false">B161-Assumptions!$B$29</f>
        <v>391263.996662504</v>
      </c>
      <c r="N161" s="6" t="n">
        <f aca="false">W161-Assumptions!$B$29</f>
        <v>375039.227319731</v>
      </c>
      <c r="O161" s="6" t="n">
        <f aca="false">X161-Assumptions!$B$29</f>
        <v>345544.64777594</v>
      </c>
      <c r="P161" s="6" t="n">
        <f aca="false">Y161-Assumptions!$B$29</f>
        <v>306198.320786066</v>
      </c>
      <c r="Q161" s="6" t="n">
        <f aca="false">Z161-Assumptions!$B$29</f>
        <v>254362.971233743</v>
      </c>
      <c r="R161" s="6" t="n">
        <f aca="false">AA161-Assumptions!$B$29</f>
        <v>220741.698746813</v>
      </c>
      <c r="S161" s="6" t="n">
        <f aca="false">AB161-Assumptions!$B$29</f>
        <v>187006.884668098</v>
      </c>
      <c r="T161" s="6" t="n">
        <f aca="false">AC161-Assumptions!$B$29</f>
        <v>146948.865889461</v>
      </c>
      <c r="U161" s="6" t="n">
        <f aca="false">AD161-Assumptions!$B$29</f>
        <v>105448.463232729</v>
      </c>
      <c r="V161" s="6" t="n">
        <f aca="false">AE161-Assumptions!$B$29</f>
        <v>62319.0154546659</v>
      </c>
      <c r="W161" s="6" t="n">
        <f aca="false">M161*(1+C161)</f>
        <v>425039.227319731</v>
      </c>
      <c r="X161" s="6" t="n">
        <f aca="false">N161*(1+D161)</f>
        <v>395544.64777594</v>
      </c>
      <c r="Y161" s="6" t="n">
        <f aca="false">O161*(1+E161)</f>
        <v>356198.320786066</v>
      </c>
      <c r="Z161" s="6" t="n">
        <f aca="false">P161*(1+F161)</f>
        <v>304362.971233743</v>
      </c>
      <c r="AA161" s="6" t="n">
        <f aca="false">Q161*(1+G161)</f>
        <v>270741.698746813</v>
      </c>
      <c r="AB161" s="6" t="n">
        <f aca="false">R161*(1+H161)</f>
        <v>237006.884668098</v>
      </c>
      <c r="AC161" s="6" t="n">
        <f aca="false">S161*(1+I161)</f>
        <v>196948.865889461</v>
      </c>
      <c r="AD161" s="6" t="n">
        <f aca="false">T161*(1+J161)</f>
        <v>155448.463232729</v>
      </c>
      <c r="AE161" s="6" t="n">
        <f aca="false">U161*(1+K161)</f>
        <v>112319.015454666</v>
      </c>
      <c r="AF161" s="6" t="n">
        <f aca="false">V161*(1+L161)</f>
        <v>61336.4970687871</v>
      </c>
      <c r="AG161" s="6" t="n">
        <f aca="false">MIN(M161:V161)</f>
        <v>62319.0154546659</v>
      </c>
      <c r="AH161" s="19" t="n">
        <f aca="false">IF(AG161&gt;=0,1,0)</f>
        <v>1</v>
      </c>
    </row>
    <row r="162" customFormat="false" ht="15" hidden="false" customHeight="false" outlineLevel="0" collapsed="false">
      <c r="A162" s="0" t="n">
        <f aca="false">ROW()-1</f>
        <v>161</v>
      </c>
      <c r="B162" s="6" t="n">
        <f aca="false">Assumptions!$B$35</f>
        <v>441263.996662504</v>
      </c>
      <c r="C162" s="8" t="n">
        <f aca="true">NORMINV(RAND(),Assumptions!$B$14,Assumptions!$B$15)</f>
        <v>0.0862169049273923</v>
      </c>
      <c r="D162" s="8" t="n">
        <f aca="true">NORMINV(RAND(),Assumptions!$B$14,Assumptions!$B$15)</f>
        <v>0.0189881867680271</v>
      </c>
      <c r="E162" s="8" t="n">
        <f aca="true">NORMINV(RAND(),Assumptions!$B$14,Assumptions!$B$15)</f>
        <v>0.0344967033566484</v>
      </c>
      <c r="F162" s="8" t="n">
        <f aca="true">NORMINV(RAND(),Assumptions!$B$14,Assumptions!$B$15)</f>
        <v>0.0250575258331253</v>
      </c>
      <c r="G162" s="8" t="n">
        <f aca="true">NORMINV(RAND(),Assumptions!$B$14,Assumptions!$B$15)</f>
        <v>0.0482584156591812</v>
      </c>
      <c r="H162" s="8" t="n">
        <f aca="true">NORMINV(RAND(),Assumptions!$B$14,Assumptions!$B$15)</f>
        <v>0.00854529308083203</v>
      </c>
      <c r="I162" s="8" t="n">
        <f aca="true">NORMINV(RAND(),Assumptions!$B$14,Assumptions!$B$15)</f>
        <v>0.0430848556697356</v>
      </c>
      <c r="J162" s="8" t="n">
        <f aca="true">NORMINV(RAND(),Assumptions!$B$14,Assumptions!$B$15)</f>
        <v>0.0225746486528091</v>
      </c>
      <c r="K162" s="8" t="n">
        <f aca="true">NORMINV(RAND(),Assumptions!$B$14,Assumptions!$B$15)</f>
        <v>0.0828801121073398</v>
      </c>
      <c r="L162" s="8" t="n">
        <f aca="true">NORMINV(RAND(),Assumptions!$B$14,Assumptions!$B$15)</f>
        <v>-0.00541927098927352</v>
      </c>
      <c r="M162" s="6" t="n">
        <f aca="false">B162-Assumptions!$B$29</f>
        <v>391263.996662504</v>
      </c>
      <c r="N162" s="6" t="n">
        <f aca="false">W162-Assumptions!$B$29</f>
        <v>374997.567464266</v>
      </c>
      <c r="O162" s="6" t="n">
        <f aca="false">X162-Assumptions!$B$29</f>
        <v>332118.091312833</v>
      </c>
      <c r="P162" s="6" t="n">
        <f aca="false">Y162-Assumptions!$B$29</f>
        <v>293575.070588228</v>
      </c>
      <c r="Q162" s="6" t="n">
        <f aca="false">Z162-Assumptions!$B$29</f>
        <v>250931.335503455</v>
      </c>
      <c r="R162" s="6" t="n">
        <f aca="false">AA162-Assumptions!$B$29</f>
        <v>213040.884194094</v>
      </c>
      <c r="S162" s="6" t="n">
        <f aca="false">AB162-Assumptions!$B$29</f>
        <v>164861.380987732</v>
      </c>
      <c r="T162" s="6" t="n">
        <f aca="false">AC162-Assumptions!$B$29</f>
        <v>121964.409793102</v>
      </c>
      <c r="U162" s="6" t="n">
        <f aca="false">AD162-Assumptions!$B$29</f>
        <v>74717.7134923281</v>
      </c>
      <c r="V162" s="6" t="n">
        <f aca="false">AE162-Assumptions!$B$29</f>
        <v>30910.3259629763</v>
      </c>
      <c r="W162" s="6" t="n">
        <f aca="false">M162*(1+C162)</f>
        <v>424997.567464266</v>
      </c>
      <c r="X162" s="6" t="n">
        <f aca="false">N162*(1+D162)</f>
        <v>382118.091312833</v>
      </c>
      <c r="Y162" s="6" t="n">
        <f aca="false">O162*(1+E162)</f>
        <v>343575.070588228</v>
      </c>
      <c r="Z162" s="6" t="n">
        <f aca="false">P162*(1+F162)</f>
        <v>300931.335503455</v>
      </c>
      <c r="AA162" s="6" t="n">
        <f aca="false">Q162*(1+G162)</f>
        <v>263040.884194094</v>
      </c>
      <c r="AB162" s="6" t="n">
        <f aca="false">R162*(1+H162)</f>
        <v>214861.380987732</v>
      </c>
      <c r="AC162" s="6" t="n">
        <f aca="false">S162*(1+I162)</f>
        <v>171964.409793102</v>
      </c>
      <c r="AD162" s="6" t="n">
        <f aca="false">T162*(1+J162)</f>
        <v>124717.713492328</v>
      </c>
      <c r="AE162" s="6" t="n">
        <f aca="false">U162*(1+K162)</f>
        <v>80910.3259629763</v>
      </c>
      <c r="AF162" s="6" t="n">
        <f aca="false">V162*(1+L162)</f>
        <v>30742.8145302162</v>
      </c>
      <c r="AG162" s="6" t="n">
        <f aca="false">MIN(M162:V162)</f>
        <v>30910.3259629763</v>
      </c>
      <c r="AH162" s="19" t="n">
        <f aca="false">IF(AG162&gt;=0,1,0)</f>
        <v>1</v>
      </c>
    </row>
    <row r="163" customFormat="false" ht="15" hidden="false" customHeight="false" outlineLevel="0" collapsed="false">
      <c r="A163" s="0" t="n">
        <f aca="false">ROW()-1</f>
        <v>162</v>
      </c>
      <c r="B163" s="6" t="n">
        <f aca="false">Assumptions!$B$35</f>
        <v>441263.996662504</v>
      </c>
      <c r="C163" s="8" t="n">
        <f aca="true">NORMINV(RAND(),Assumptions!$B$14,Assumptions!$B$15)</f>
        <v>0.0430594255786316</v>
      </c>
      <c r="D163" s="8" t="n">
        <f aca="true">NORMINV(RAND(),Assumptions!$B$14,Assumptions!$B$15)</f>
        <v>0.0937697037807657</v>
      </c>
      <c r="E163" s="8" t="n">
        <f aca="true">NORMINV(RAND(),Assumptions!$B$14,Assumptions!$B$15)</f>
        <v>0.00357454631478901</v>
      </c>
      <c r="F163" s="8" t="n">
        <f aca="true">NORMINV(RAND(),Assumptions!$B$14,Assumptions!$B$15)</f>
        <v>-0.0230150169695437</v>
      </c>
      <c r="G163" s="8" t="n">
        <f aca="true">NORMINV(RAND(),Assumptions!$B$14,Assumptions!$B$15)</f>
        <v>0.0594773966305118</v>
      </c>
      <c r="H163" s="8" t="n">
        <f aca="true">NORMINV(RAND(),Assumptions!$B$14,Assumptions!$B$15)</f>
        <v>0.132658105469746</v>
      </c>
      <c r="I163" s="8" t="n">
        <f aca="true">NORMINV(RAND(),Assumptions!$B$14,Assumptions!$B$15)</f>
        <v>0.0394721214084146</v>
      </c>
      <c r="J163" s="8" t="n">
        <f aca="true">NORMINV(RAND(),Assumptions!$B$14,Assumptions!$B$15)</f>
        <v>0.0208141342994616</v>
      </c>
      <c r="K163" s="8" t="n">
        <f aca="true">NORMINV(RAND(),Assumptions!$B$14,Assumptions!$B$15)</f>
        <v>-0.014269184320315</v>
      </c>
      <c r="L163" s="8" t="n">
        <f aca="true">NORMINV(RAND(),Assumptions!$B$14,Assumptions!$B$15)</f>
        <v>0.0356910645295581</v>
      </c>
      <c r="M163" s="6" t="n">
        <f aca="false">B163-Assumptions!$B$29</f>
        <v>391263.996662504</v>
      </c>
      <c r="N163" s="6" t="n">
        <f aca="false">W163-Assumptions!$B$29</f>
        <v>358111.599608391</v>
      </c>
      <c r="O163" s="6" t="n">
        <f aca="false">X163-Assumptions!$B$29</f>
        <v>341691.618224126</v>
      </c>
      <c r="P163" s="6" t="n">
        <f aca="false">Y163-Assumptions!$B$29</f>
        <v>292913.010738843</v>
      </c>
      <c r="Q163" s="6" t="n">
        <f aca="false">Z163-Assumptions!$B$29</f>
        <v>236171.612826088</v>
      </c>
      <c r="R163" s="6" t="n">
        <f aca="false">AA163-Assumptions!$B$29</f>
        <v>200218.485515013</v>
      </c>
      <c r="S163" s="6" t="n">
        <f aca="false">AB163-Assumptions!$B$29</f>
        <v>176779.090483456</v>
      </c>
      <c r="T163" s="6" t="n">
        <f aca="false">AC163-Assumptions!$B$29</f>
        <v>133756.936205489</v>
      </c>
      <c r="U163" s="6" t="n">
        <f aca="false">AD163-Assumptions!$B$29</f>
        <v>86540.9710391541</v>
      </c>
      <c r="V163" s="6" t="n">
        <f aca="false">AE163-Assumptions!$B$29</f>
        <v>35306.1019721374</v>
      </c>
      <c r="W163" s="6" t="n">
        <f aca="false">M163*(1+C163)</f>
        <v>408111.599608391</v>
      </c>
      <c r="X163" s="6" t="n">
        <f aca="false">N163*(1+D163)</f>
        <v>391691.618224126</v>
      </c>
      <c r="Y163" s="6" t="n">
        <f aca="false">O163*(1+E163)</f>
        <v>342913.010738843</v>
      </c>
      <c r="Z163" s="6" t="n">
        <f aca="false">P163*(1+F163)</f>
        <v>286171.612826088</v>
      </c>
      <c r="AA163" s="6" t="n">
        <f aca="false">Q163*(1+G163)</f>
        <v>250218.485515013</v>
      </c>
      <c r="AB163" s="6" t="n">
        <f aca="false">R163*(1+H163)</f>
        <v>226779.090483456</v>
      </c>
      <c r="AC163" s="6" t="n">
        <f aca="false">S163*(1+I163)</f>
        <v>183756.936205489</v>
      </c>
      <c r="AD163" s="6" t="n">
        <f aca="false">T163*(1+J163)</f>
        <v>136540.971039154</v>
      </c>
      <c r="AE163" s="6" t="n">
        <f aca="false">U163*(1+K163)</f>
        <v>85306.1019721374</v>
      </c>
      <c r="AF163" s="6" t="n">
        <f aca="false">V163*(1+L163)</f>
        <v>36566.2143359121</v>
      </c>
      <c r="AG163" s="6" t="n">
        <f aca="false">MIN(M163:V163)</f>
        <v>35306.1019721374</v>
      </c>
      <c r="AH163" s="19" t="n">
        <f aca="false">IF(AG163&gt;=0,1,0)</f>
        <v>1</v>
      </c>
    </row>
    <row r="164" customFormat="false" ht="15" hidden="false" customHeight="false" outlineLevel="0" collapsed="false">
      <c r="A164" s="0" t="n">
        <f aca="false">ROW()-1</f>
        <v>163</v>
      </c>
      <c r="B164" s="6" t="n">
        <f aca="false">Assumptions!$B$35</f>
        <v>441263.996662504</v>
      </c>
      <c r="C164" s="8" t="n">
        <f aca="true">NORMINV(RAND(),Assumptions!$B$14,Assumptions!$B$15)</f>
        <v>0.03371001825735</v>
      </c>
      <c r="D164" s="8" t="n">
        <f aca="true">NORMINV(RAND(),Assumptions!$B$14,Assumptions!$B$15)</f>
        <v>0.105159539599667</v>
      </c>
      <c r="E164" s="8" t="n">
        <f aca="true">NORMINV(RAND(),Assumptions!$B$14,Assumptions!$B$15)</f>
        <v>0.0361743781112518</v>
      </c>
      <c r="F164" s="8" t="n">
        <f aca="true">NORMINV(RAND(),Assumptions!$B$14,Assumptions!$B$15)</f>
        <v>0.0273645489254687</v>
      </c>
      <c r="G164" s="8" t="n">
        <f aca="true">NORMINV(RAND(),Assumptions!$B$14,Assumptions!$B$15)</f>
        <v>0.0581029199994837</v>
      </c>
      <c r="H164" s="8" t="n">
        <f aca="true">NORMINV(RAND(),Assumptions!$B$14,Assumptions!$B$15)</f>
        <v>0.0534958930004583</v>
      </c>
      <c r="I164" s="8" t="n">
        <f aca="true">NORMINV(RAND(),Assumptions!$B$14,Assumptions!$B$15)</f>
        <v>0.0541765173058262</v>
      </c>
      <c r="J164" s="8" t="n">
        <f aca="true">NORMINV(RAND(),Assumptions!$B$14,Assumptions!$B$15)</f>
        <v>0.0238034797031931</v>
      </c>
      <c r="K164" s="8" t="n">
        <f aca="true">NORMINV(RAND(),Assumptions!$B$14,Assumptions!$B$15)</f>
        <v>0.101046934875869</v>
      </c>
      <c r="L164" s="8" t="n">
        <f aca="true">NORMINV(RAND(),Assumptions!$B$14,Assumptions!$B$15)</f>
        <v>0.142237223072287</v>
      </c>
      <c r="M164" s="6" t="n">
        <f aca="false">B164-Assumptions!$B$29</f>
        <v>391263.996662504</v>
      </c>
      <c r="N164" s="6" t="n">
        <f aca="false">W164-Assumptions!$B$29</f>
        <v>354453.51313344</v>
      </c>
      <c r="O164" s="6" t="n">
        <f aca="false">X164-Assumptions!$B$29</f>
        <v>341727.681384037</v>
      </c>
      <c r="P164" s="6" t="n">
        <f aca="false">Y164-Assumptions!$B$29</f>
        <v>304089.467741505</v>
      </c>
      <c r="Q164" s="6" t="n">
        <f aca="false">Z164-Assumptions!$B$29</f>
        <v>262410.738859237</v>
      </c>
      <c r="R164" s="6" t="n">
        <f aca="false">AA164-Assumptions!$B$29</f>
        <v>227657.569026181</v>
      </c>
      <c r="S164" s="6" t="n">
        <f aca="false">AB164-Assumptions!$B$29</f>
        <v>189836.31397955</v>
      </c>
      <c r="T164" s="6" t="n">
        <f aca="false">AC164-Assumptions!$B$29</f>
        <v>150120.984329137</v>
      </c>
      <c r="U164" s="6" t="n">
        <f aca="false">AD164-Assumptions!$B$29</f>
        <v>103694.386132639</v>
      </c>
      <c r="V164" s="6" t="n">
        <f aca="false">AE164-Assumptions!$B$29</f>
        <v>64172.3860151768</v>
      </c>
      <c r="W164" s="6" t="n">
        <f aca="false">M164*(1+C164)</f>
        <v>404453.51313344</v>
      </c>
      <c r="X164" s="6" t="n">
        <f aca="false">N164*(1+D164)</f>
        <v>391727.681384037</v>
      </c>
      <c r="Y164" s="6" t="n">
        <f aca="false">O164*(1+E164)</f>
        <v>354089.467741505</v>
      </c>
      <c r="Z164" s="6" t="n">
        <f aca="false">P164*(1+F164)</f>
        <v>312410.738859237</v>
      </c>
      <c r="AA164" s="6" t="n">
        <f aca="false">Q164*(1+G164)</f>
        <v>277657.569026181</v>
      </c>
      <c r="AB164" s="6" t="n">
        <f aca="false">R164*(1+H164)</f>
        <v>239836.31397955</v>
      </c>
      <c r="AC164" s="6" t="n">
        <f aca="false">S164*(1+I164)</f>
        <v>200120.984329137</v>
      </c>
      <c r="AD164" s="6" t="n">
        <f aca="false">T164*(1+J164)</f>
        <v>153694.386132639</v>
      </c>
      <c r="AE164" s="6" t="n">
        <f aca="false">U164*(1+K164)</f>
        <v>114172.386015177</v>
      </c>
      <c r="AF164" s="6" t="n">
        <f aca="false">V164*(1+L164)</f>
        <v>73300.0879998985</v>
      </c>
      <c r="AG164" s="6" t="n">
        <f aca="false">MIN(M164:V164)</f>
        <v>64172.3860151768</v>
      </c>
      <c r="AH164" s="19" t="n">
        <f aca="false">IF(AG164&gt;=0,1,0)</f>
        <v>1</v>
      </c>
    </row>
    <row r="165" customFormat="false" ht="15" hidden="false" customHeight="false" outlineLevel="0" collapsed="false">
      <c r="A165" s="0" t="n">
        <f aca="false">ROW()-1</f>
        <v>164</v>
      </c>
      <c r="B165" s="6" t="n">
        <f aca="false">Assumptions!$B$35</f>
        <v>441263.996662504</v>
      </c>
      <c r="C165" s="8" t="n">
        <f aca="true">NORMINV(RAND(),Assumptions!$B$14,Assumptions!$B$15)</f>
        <v>0.0408807994374497</v>
      </c>
      <c r="D165" s="8" t="n">
        <f aca="true">NORMINV(RAND(),Assumptions!$B$14,Assumptions!$B$15)</f>
        <v>0.0231772392277741</v>
      </c>
      <c r="E165" s="8" t="n">
        <f aca="true">NORMINV(RAND(),Assumptions!$B$14,Assumptions!$B$15)</f>
        <v>0.064773409997323</v>
      </c>
      <c r="F165" s="8" t="n">
        <f aca="true">NORMINV(RAND(),Assumptions!$B$14,Assumptions!$B$15)</f>
        <v>0.0519854080898692</v>
      </c>
      <c r="G165" s="8" t="n">
        <f aca="true">NORMINV(RAND(),Assumptions!$B$14,Assumptions!$B$15)</f>
        <v>0.0494754204032523</v>
      </c>
      <c r="H165" s="8" t="n">
        <f aca="true">NORMINV(RAND(),Assumptions!$B$14,Assumptions!$B$15)</f>
        <v>0.0682715786379939</v>
      </c>
      <c r="I165" s="8" t="n">
        <f aca="true">NORMINV(RAND(),Assumptions!$B$14,Assumptions!$B$15)</f>
        <v>0.0977003532895626</v>
      </c>
      <c r="J165" s="8" t="n">
        <f aca="true">NORMINV(RAND(),Assumptions!$B$14,Assumptions!$B$15)</f>
        <v>0.0753406969166421</v>
      </c>
      <c r="K165" s="8" t="n">
        <f aca="true">NORMINV(RAND(),Assumptions!$B$14,Assumptions!$B$15)</f>
        <v>0.0367782739400752</v>
      </c>
      <c r="L165" s="8" t="n">
        <f aca="true">NORMINV(RAND(),Assumptions!$B$14,Assumptions!$B$15)</f>
        <v>0.0653130945269162</v>
      </c>
      <c r="M165" s="6" t="n">
        <f aca="false">B165-Assumptions!$B$29</f>
        <v>391263.996662504</v>
      </c>
      <c r="N165" s="6" t="n">
        <f aca="false">W165-Assumptions!$B$29</f>
        <v>357259.181637158</v>
      </c>
      <c r="O165" s="6" t="n">
        <f aca="false">X165-Assumptions!$B$29</f>
        <v>315539.463156282</v>
      </c>
      <c r="P165" s="6" t="n">
        <f aca="false">Y165-Assumptions!$B$29</f>
        <v>285978.030173639</v>
      </c>
      <c r="Q165" s="6" t="n">
        <f aca="false">Z165-Assumptions!$B$29</f>
        <v>250844.714776952</v>
      </c>
      <c r="R165" s="6" t="n">
        <f aca="false">AA165-Assumptions!$B$29</f>
        <v>213255.362496476</v>
      </c>
      <c r="S165" s="6" t="n">
        <f aca="false">AB165-Assumptions!$B$29</f>
        <v>177814.642747128</v>
      </c>
      <c r="T165" s="6" t="n">
        <f aca="false">AC165-Assumptions!$B$29</f>
        <v>145187.196163579</v>
      </c>
      <c r="U165" s="6" t="n">
        <f aca="false">AD165-Assumptions!$B$29</f>
        <v>106125.700705917</v>
      </c>
      <c r="V165" s="6" t="n">
        <f aca="false">AE165-Assumptions!$B$29</f>
        <v>60028.8207985614</v>
      </c>
      <c r="W165" s="6" t="n">
        <f aca="false">M165*(1+C165)</f>
        <v>407259.181637158</v>
      </c>
      <c r="X165" s="6" t="n">
        <f aca="false">N165*(1+D165)</f>
        <v>365539.463156282</v>
      </c>
      <c r="Y165" s="6" t="n">
        <f aca="false">O165*(1+E165)</f>
        <v>335978.030173639</v>
      </c>
      <c r="Z165" s="6" t="n">
        <f aca="false">P165*(1+F165)</f>
        <v>300844.714776952</v>
      </c>
      <c r="AA165" s="6" t="n">
        <f aca="false">Q165*(1+G165)</f>
        <v>263255.362496476</v>
      </c>
      <c r="AB165" s="6" t="n">
        <f aca="false">R165*(1+H165)</f>
        <v>227814.642747128</v>
      </c>
      <c r="AC165" s="6" t="n">
        <f aca="false">S165*(1+I165)</f>
        <v>195187.196163579</v>
      </c>
      <c r="AD165" s="6" t="n">
        <f aca="false">T165*(1+J165)</f>
        <v>156125.700705917</v>
      </c>
      <c r="AE165" s="6" t="n">
        <f aca="false">U165*(1+K165)</f>
        <v>110028.820798561</v>
      </c>
      <c r="AF165" s="6" t="n">
        <f aca="false">V165*(1+L165)</f>
        <v>63949.4888457172</v>
      </c>
      <c r="AG165" s="6" t="n">
        <f aca="false">MIN(M165:V165)</f>
        <v>60028.8207985614</v>
      </c>
      <c r="AH165" s="19" t="n">
        <f aca="false">IF(AG165&gt;=0,1,0)</f>
        <v>1</v>
      </c>
    </row>
    <row r="166" customFormat="false" ht="15" hidden="false" customHeight="false" outlineLevel="0" collapsed="false">
      <c r="A166" s="0" t="n">
        <f aca="false">ROW()-1</f>
        <v>165</v>
      </c>
      <c r="B166" s="6" t="n">
        <f aca="false">Assumptions!$B$35</f>
        <v>441263.996662504</v>
      </c>
      <c r="C166" s="8" t="n">
        <f aca="true">NORMINV(RAND(),Assumptions!$B$14,Assumptions!$B$15)</f>
        <v>-0.00105694161918676</v>
      </c>
      <c r="D166" s="8" t="n">
        <f aca="true">NORMINV(RAND(),Assumptions!$B$14,Assumptions!$B$15)</f>
        <v>0.0468487451177719</v>
      </c>
      <c r="E166" s="8" t="n">
        <f aca="true">NORMINV(RAND(),Assumptions!$B$14,Assumptions!$B$15)</f>
        <v>0.0727818527190274</v>
      </c>
      <c r="F166" s="8" t="n">
        <f aca="true">NORMINV(RAND(),Assumptions!$B$14,Assumptions!$B$15)</f>
        <v>0.0735920812747841</v>
      </c>
      <c r="G166" s="8" t="n">
        <f aca="true">NORMINV(RAND(),Assumptions!$B$14,Assumptions!$B$15)</f>
        <v>0.0582512286433007</v>
      </c>
      <c r="H166" s="8" t="n">
        <f aca="true">NORMINV(RAND(),Assumptions!$B$14,Assumptions!$B$15)</f>
        <v>0.0938291910140543</v>
      </c>
      <c r="I166" s="8" t="n">
        <f aca="true">NORMINV(RAND(),Assumptions!$B$14,Assumptions!$B$15)</f>
        <v>0.0516528894145084</v>
      </c>
      <c r="J166" s="8" t="n">
        <f aca="true">NORMINV(RAND(),Assumptions!$B$14,Assumptions!$B$15)</f>
        <v>0.00683109415734041</v>
      </c>
      <c r="K166" s="8" t="n">
        <f aca="true">NORMINV(RAND(),Assumptions!$B$14,Assumptions!$B$15)</f>
        <v>0.0238065225788739</v>
      </c>
      <c r="L166" s="8" t="n">
        <f aca="true">NORMINV(RAND(),Assumptions!$B$14,Assumptions!$B$15)</f>
        <v>0.0468506161804325</v>
      </c>
      <c r="M166" s="6" t="n">
        <f aca="false">B166-Assumptions!$B$29</f>
        <v>391263.996662504</v>
      </c>
      <c r="N166" s="6" t="n">
        <f aca="false">W166-Assumptions!$B$29</f>
        <v>340850.453460342</v>
      </c>
      <c r="O166" s="6" t="n">
        <f aca="false">X166-Assumptions!$B$29</f>
        <v>306818.869477782</v>
      </c>
      <c r="P166" s="6" t="n">
        <f aca="false">Y166-Assumptions!$B$29</f>
        <v>279149.715247532</v>
      </c>
      <c r="Q166" s="6" t="n">
        <f aca="false">Z166-Assumptions!$B$29</f>
        <v>249692.923779862</v>
      </c>
      <c r="R166" s="6" t="n">
        <f aca="false">AA166-Assumptions!$B$29</f>
        <v>214237.843373577</v>
      </c>
      <c r="S166" s="6" t="n">
        <f aca="false">AB166-Assumptions!$B$29</f>
        <v>184339.606901915</v>
      </c>
      <c r="T166" s="6" t="n">
        <f aca="false">AC166-Assumptions!$B$29</f>
        <v>143861.280231934</v>
      </c>
      <c r="U166" s="6" t="n">
        <f aca="false">AD166-Assumptions!$B$29</f>
        <v>94844.0101827935</v>
      </c>
      <c r="V166" s="6" t="n">
        <f aca="false">AE166-Assumptions!$B$29</f>
        <v>47101.9162526811</v>
      </c>
      <c r="W166" s="6" t="n">
        <f aca="false">M166*(1+C166)</f>
        <v>390850.453460342</v>
      </c>
      <c r="X166" s="6" t="n">
        <f aca="false">N166*(1+D166)</f>
        <v>356818.869477782</v>
      </c>
      <c r="Y166" s="6" t="n">
        <f aca="false">O166*(1+E166)</f>
        <v>329149.715247532</v>
      </c>
      <c r="Z166" s="6" t="n">
        <f aca="false">P166*(1+F166)</f>
        <v>299692.923779862</v>
      </c>
      <c r="AA166" s="6" t="n">
        <f aca="false">Q166*(1+G166)</f>
        <v>264237.843373577</v>
      </c>
      <c r="AB166" s="6" t="n">
        <f aca="false">R166*(1+H166)</f>
        <v>234339.606901915</v>
      </c>
      <c r="AC166" s="6" t="n">
        <f aca="false">S166*(1+I166)</f>
        <v>193861.280231934</v>
      </c>
      <c r="AD166" s="6" t="n">
        <f aca="false">T166*(1+J166)</f>
        <v>144844.010182793</v>
      </c>
      <c r="AE166" s="6" t="n">
        <f aca="false">U166*(1+K166)</f>
        <v>97101.9162526811</v>
      </c>
      <c r="AF166" s="6" t="n">
        <f aca="false">V166*(1+L166)</f>
        <v>49308.6700523984</v>
      </c>
      <c r="AG166" s="6" t="n">
        <f aca="false">MIN(M166:V166)</f>
        <v>47101.9162526811</v>
      </c>
      <c r="AH166" s="19" t="n">
        <f aca="false">IF(AG166&gt;=0,1,0)</f>
        <v>1</v>
      </c>
    </row>
    <row r="167" customFormat="false" ht="15" hidden="false" customHeight="false" outlineLevel="0" collapsed="false">
      <c r="A167" s="0" t="n">
        <f aca="false">ROW()-1</f>
        <v>166</v>
      </c>
      <c r="B167" s="6" t="n">
        <f aca="false">Assumptions!$B$35</f>
        <v>441263.996662504</v>
      </c>
      <c r="C167" s="8" t="n">
        <f aca="true">NORMINV(RAND(),Assumptions!$B$14,Assumptions!$B$15)</f>
        <v>0.0322114363487911</v>
      </c>
      <c r="D167" s="8" t="n">
        <f aca="true">NORMINV(RAND(),Assumptions!$B$14,Assumptions!$B$15)</f>
        <v>-0.00269433793996151</v>
      </c>
      <c r="E167" s="8" t="n">
        <f aca="true">NORMINV(RAND(),Assumptions!$B$14,Assumptions!$B$15)</f>
        <v>0.0513205016945802</v>
      </c>
      <c r="F167" s="8" t="n">
        <f aca="true">NORMINV(RAND(),Assumptions!$B$14,Assumptions!$B$15)</f>
        <v>0.00655756221095673</v>
      </c>
      <c r="G167" s="8" t="n">
        <f aca="true">NORMINV(RAND(),Assumptions!$B$14,Assumptions!$B$15)</f>
        <v>0.0591133153258527</v>
      </c>
      <c r="H167" s="8" t="n">
        <f aca="true">NORMINV(RAND(),Assumptions!$B$14,Assumptions!$B$15)</f>
        <v>-0.00570935382380568</v>
      </c>
      <c r="I167" s="8" t="n">
        <f aca="true">NORMINV(RAND(),Assumptions!$B$14,Assumptions!$B$15)</f>
        <v>0.0863951353636737</v>
      </c>
      <c r="J167" s="8" t="n">
        <f aca="true">NORMINV(RAND(),Assumptions!$B$14,Assumptions!$B$15)</f>
        <v>0.0478328909805458</v>
      </c>
      <c r="K167" s="8" t="n">
        <f aca="true">NORMINV(RAND(),Assumptions!$B$14,Assumptions!$B$15)</f>
        <v>0.0104057116931648</v>
      </c>
      <c r="L167" s="8" t="n">
        <f aca="true">NORMINV(RAND(),Assumptions!$B$14,Assumptions!$B$15)</f>
        <v>0.0612291020158203</v>
      </c>
      <c r="M167" s="6" t="n">
        <f aca="false">B167-Assumptions!$B$29</f>
        <v>391263.996662504</v>
      </c>
      <c r="N167" s="6" t="n">
        <f aca="false">W167-Assumptions!$B$29</f>
        <v>353867.171986571</v>
      </c>
      <c r="O167" s="6" t="n">
        <f aca="false">X167-Assumptions!$B$29</f>
        <v>302913.734239381</v>
      </c>
      <c r="P167" s="6" t="n">
        <f aca="false">Y167-Assumptions!$B$29</f>
        <v>268459.419050725</v>
      </c>
      <c r="Q167" s="6" t="n">
        <f aca="false">Z167-Assumptions!$B$29</f>
        <v>220219.858392267</v>
      </c>
      <c r="R167" s="6" t="n">
        <f aca="false">AA167-Assumptions!$B$29</f>
        <v>183237.784322424</v>
      </c>
      <c r="S167" s="6" t="n">
        <f aca="false">AB167-Assumptions!$B$29</f>
        <v>132191.614977837</v>
      </c>
      <c r="T167" s="6" t="n">
        <f aca="false">AC167-Assumptions!$B$29</f>
        <v>93612.3274477899</v>
      </c>
      <c r="U167" s="6" t="n">
        <f aca="false">AD167-Assumptions!$B$29</f>
        <v>48090.0757010352</v>
      </c>
      <c r="V167" s="6" t="n">
        <f aca="false">AE167-Assumptions!$B$29</f>
        <v>-1409.51283591739</v>
      </c>
      <c r="W167" s="6" t="n">
        <f aca="false">M167*(1+C167)</f>
        <v>403867.171986571</v>
      </c>
      <c r="X167" s="6" t="n">
        <f aca="false">N167*(1+D167)</f>
        <v>352913.734239381</v>
      </c>
      <c r="Y167" s="6" t="n">
        <f aca="false">O167*(1+E167)</f>
        <v>318459.419050725</v>
      </c>
      <c r="Z167" s="6" t="n">
        <f aca="false">P167*(1+F167)</f>
        <v>270219.858392267</v>
      </c>
      <c r="AA167" s="6" t="n">
        <f aca="false">Q167*(1+G167)</f>
        <v>233237.784322424</v>
      </c>
      <c r="AB167" s="6" t="n">
        <f aca="false">R167*(1+H167)</f>
        <v>182191.614977837</v>
      </c>
      <c r="AC167" s="6" t="n">
        <f aca="false">S167*(1+I167)</f>
        <v>143612.32744779</v>
      </c>
      <c r="AD167" s="6" t="n">
        <f aca="false">T167*(1+J167)</f>
        <v>98090.0757010352</v>
      </c>
      <c r="AE167" s="6" t="n">
        <f aca="false">U167*(1+K167)</f>
        <v>48590.4871640826</v>
      </c>
      <c r="AF167" s="6" t="n">
        <f aca="false">V167*(1+L167)</f>
        <v>-1495.81604114038</v>
      </c>
      <c r="AG167" s="6" t="n">
        <f aca="false">MIN(M167:V167)</f>
        <v>-1409.51283591739</v>
      </c>
      <c r="AH167" s="19" t="n">
        <f aca="false">IF(AG167&gt;=0,1,0)</f>
        <v>0</v>
      </c>
    </row>
    <row r="168" customFormat="false" ht="15" hidden="false" customHeight="false" outlineLevel="0" collapsed="false">
      <c r="A168" s="0" t="n">
        <f aca="false">ROW()-1</f>
        <v>167</v>
      </c>
      <c r="B168" s="6" t="n">
        <f aca="false">Assumptions!$B$35</f>
        <v>441263.996662504</v>
      </c>
      <c r="C168" s="8" t="n">
        <f aca="true">NORMINV(RAND(),Assumptions!$B$14,Assumptions!$B$15)</f>
        <v>0.0465820994336135</v>
      </c>
      <c r="D168" s="8" t="n">
        <f aca="true">NORMINV(RAND(),Assumptions!$B$14,Assumptions!$B$15)</f>
        <v>0.0250190747372158</v>
      </c>
      <c r="E168" s="8" t="n">
        <f aca="true">NORMINV(RAND(),Assumptions!$B$14,Assumptions!$B$15)</f>
        <v>0.0582177697240792</v>
      </c>
      <c r="F168" s="8" t="n">
        <f aca="true">NORMINV(RAND(),Assumptions!$B$14,Assumptions!$B$15)</f>
        <v>0.0191630289517279</v>
      </c>
      <c r="G168" s="8" t="n">
        <f aca="true">NORMINV(RAND(),Assumptions!$B$14,Assumptions!$B$15)</f>
        <v>0.0556248393941465</v>
      </c>
      <c r="H168" s="8" t="n">
        <f aca="true">NORMINV(RAND(),Assumptions!$B$14,Assumptions!$B$15)</f>
        <v>0.0721720475354812</v>
      </c>
      <c r="I168" s="8" t="n">
        <f aca="true">NORMINV(RAND(),Assumptions!$B$14,Assumptions!$B$15)</f>
        <v>0.0487137234839389</v>
      </c>
      <c r="J168" s="8" t="n">
        <f aca="true">NORMINV(RAND(),Assumptions!$B$14,Assumptions!$B$15)</f>
        <v>0.0413512876031863</v>
      </c>
      <c r="K168" s="8" t="n">
        <f aca="true">NORMINV(RAND(),Assumptions!$B$14,Assumptions!$B$15)</f>
        <v>0.0591644597974086</v>
      </c>
      <c r="L168" s="8" t="n">
        <f aca="true">NORMINV(RAND(),Assumptions!$B$14,Assumptions!$B$15)</f>
        <v>0.0570032471156861</v>
      </c>
      <c r="M168" s="6" t="n">
        <f aca="false">B168-Assumptions!$B$29</f>
        <v>391263.996662504</v>
      </c>
      <c r="N168" s="6" t="n">
        <f aca="false">W168-Assumptions!$B$29</f>
        <v>359489.895059829</v>
      </c>
      <c r="O168" s="6" t="n">
        <f aca="false">X168-Assumptions!$B$29</f>
        <v>318483.999611605</v>
      </c>
      <c r="P168" s="6" t="n">
        <f aca="false">Y168-Assumptions!$B$29</f>
        <v>287025.427761797</v>
      </c>
      <c r="Q168" s="6" t="n">
        <f aca="false">Z168-Assumptions!$B$29</f>
        <v>242525.704343879</v>
      </c>
      <c r="R168" s="6" t="n">
        <f aca="false">AA168-Assumptions!$B$29</f>
        <v>206016.157696959</v>
      </c>
      <c r="S168" s="6" t="n">
        <f aca="false">AB168-Assumptions!$B$29</f>
        <v>170884.765623341</v>
      </c>
      <c r="T168" s="6" t="n">
        <f aca="false">AC168-Assumptions!$B$29</f>
        <v>129209.198843534</v>
      </c>
      <c r="U168" s="6" t="n">
        <f aca="false">AD168-Assumptions!$B$29</f>
        <v>84552.1655858907</v>
      </c>
      <c r="V168" s="6" t="n">
        <f aca="false">AE168-Assumptions!$B$29</f>
        <v>39554.648787481</v>
      </c>
      <c r="W168" s="6" t="n">
        <f aca="false">M168*(1+C168)</f>
        <v>409489.895059829</v>
      </c>
      <c r="X168" s="6" t="n">
        <f aca="false">N168*(1+D168)</f>
        <v>368483.999611605</v>
      </c>
      <c r="Y168" s="6" t="n">
        <f aca="false">O168*(1+E168)</f>
        <v>337025.427761797</v>
      </c>
      <c r="Z168" s="6" t="n">
        <f aca="false">P168*(1+F168)</f>
        <v>292525.704343879</v>
      </c>
      <c r="AA168" s="6" t="n">
        <f aca="false">Q168*(1+G168)</f>
        <v>256016.157696959</v>
      </c>
      <c r="AB168" s="6" t="n">
        <f aca="false">R168*(1+H168)</f>
        <v>220884.765623341</v>
      </c>
      <c r="AC168" s="6" t="n">
        <f aca="false">S168*(1+I168)</f>
        <v>179209.198843534</v>
      </c>
      <c r="AD168" s="6" t="n">
        <f aca="false">T168*(1+J168)</f>
        <v>134552.165585891</v>
      </c>
      <c r="AE168" s="6" t="n">
        <f aca="false">U168*(1+K168)</f>
        <v>89554.648787481</v>
      </c>
      <c r="AF168" s="6" t="n">
        <f aca="false">V168*(1+L168)</f>
        <v>41809.3922068879</v>
      </c>
      <c r="AG168" s="6" t="n">
        <f aca="false">MIN(M168:V168)</f>
        <v>39554.648787481</v>
      </c>
      <c r="AH168" s="19" t="n">
        <f aca="false">IF(AG168&gt;=0,1,0)</f>
        <v>1</v>
      </c>
    </row>
    <row r="169" customFormat="false" ht="15" hidden="false" customHeight="false" outlineLevel="0" collapsed="false">
      <c r="A169" s="0" t="n">
        <f aca="false">ROW()-1</f>
        <v>168</v>
      </c>
      <c r="B169" s="6" t="n">
        <f aca="false">Assumptions!$B$35</f>
        <v>441263.996662504</v>
      </c>
      <c r="C169" s="8" t="n">
        <f aca="true">NORMINV(RAND(),Assumptions!$B$14,Assumptions!$B$15)</f>
        <v>0.00756086158161372</v>
      </c>
      <c r="D169" s="8" t="n">
        <f aca="true">NORMINV(RAND(),Assumptions!$B$14,Assumptions!$B$15)</f>
        <v>0.0506092285469933</v>
      </c>
      <c r="E169" s="8" t="n">
        <f aca="true">NORMINV(RAND(),Assumptions!$B$14,Assumptions!$B$15)</f>
        <v>0.0151651956547484</v>
      </c>
      <c r="F169" s="8" t="n">
        <f aca="true">NORMINV(RAND(),Assumptions!$B$14,Assumptions!$B$15)</f>
        <v>0.0632476048779884</v>
      </c>
      <c r="G169" s="8" t="n">
        <f aca="true">NORMINV(RAND(),Assumptions!$B$14,Assumptions!$B$15)</f>
        <v>0.0536941249668477</v>
      </c>
      <c r="H169" s="8" t="n">
        <f aca="true">NORMINV(RAND(),Assumptions!$B$14,Assumptions!$B$15)</f>
        <v>0.0344520733442132</v>
      </c>
      <c r="I169" s="8" t="n">
        <f aca="true">NORMINV(RAND(),Assumptions!$B$14,Assumptions!$B$15)</f>
        <v>0.0307774773624219</v>
      </c>
      <c r="J169" s="8" t="n">
        <f aca="true">NORMINV(RAND(),Assumptions!$B$14,Assumptions!$B$15)</f>
        <v>0.0225152932541228</v>
      </c>
      <c r="K169" s="8" t="n">
        <f aca="true">NORMINV(RAND(),Assumptions!$B$14,Assumptions!$B$15)</f>
        <v>0.0320397725341392</v>
      </c>
      <c r="L169" s="8" t="n">
        <f aca="true">NORMINV(RAND(),Assumptions!$B$14,Assumptions!$B$15)</f>
        <v>0.0717439371872417</v>
      </c>
      <c r="M169" s="6" t="n">
        <f aca="false">B169-Assumptions!$B$29</f>
        <v>391263.996662504</v>
      </c>
      <c r="N169" s="6" t="n">
        <f aca="false">W169-Assumptions!$B$29</f>
        <v>344222.289583138</v>
      </c>
      <c r="O169" s="6" t="n">
        <f aca="false">X169-Assumptions!$B$29</f>
        <v>311643.11410762</v>
      </c>
      <c r="P169" s="6" t="n">
        <f aca="false">Y169-Assumptions!$B$29</f>
        <v>266369.242907517</v>
      </c>
      <c r="Q169" s="6" t="n">
        <f aca="false">Z169-Assumptions!$B$29</f>
        <v>233216.459534581</v>
      </c>
      <c r="R169" s="6" t="n">
        <f aca="false">AA169-Assumptions!$B$29</f>
        <v>195738.813257156</v>
      </c>
      <c r="S169" s="6" t="n">
        <f aca="false">AB169-Assumptions!$B$29</f>
        <v>152482.421207801</v>
      </c>
      <c r="T169" s="6" t="n">
        <f aca="false">AC169-Assumptions!$B$29</f>
        <v>107175.445474691</v>
      </c>
      <c r="U169" s="6" t="n">
        <f aca="false">AD169-Assumptions!$B$29</f>
        <v>59588.5320591953</v>
      </c>
      <c r="V169" s="6" t="n">
        <f aca="false">AE169-Assumptions!$B$29</f>
        <v>11497.7350720152</v>
      </c>
      <c r="W169" s="6" t="n">
        <f aca="false">M169*(1+C169)</f>
        <v>394222.289583138</v>
      </c>
      <c r="X169" s="6" t="n">
        <f aca="false">N169*(1+D169)</f>
        <v>361643.11410762</v>
      </c>
      <c r="Y169" s="6" t="n">
        <f aca="false">O169*(1+E169)</f>
        <v>316369.242907517</v>
      </c>
      <c r="Z169" s="6" t="n">
        <f aca="false">P169*(1+F169)</f>
        <v>283216.459534581</v>
      </c>
      <c r="AA169" s="6" t="n">
        <f aca="false">Q169*(1+G169)</f>
        <v>245738.813257156</v>
      </c>
      <c r="AB169" s="6" t="n">
        <f aca="false">R169*(1+H169)</f>
        <v>202482.421207801</v>
      </c>
      <c r="AC169" s="6" t="n">
        <f aca="false">S169*(1+I169)</f>
        <v>157175.445474691</v>
      </c>
      <c r="AD169" s="6" t="n">
        <f aca="false">T169*(1+J169)</f>
        <v>109588.532059195</v>
      </c>
      <c r="AE169" s="6" t="n">
        <f aca="false">U169*(1+K169)</f>
        <v>61497.7350720152</v>
      </c>
      <c r="AF169" s="6" t="n">
        <f aca="false">V169*(1+L169)</f>
        <v>12322.6278548174</v>
      </c>
      <c r="AG169" s="6" t="n">
        <f aca="false">MIN(M169:V169)</f>
        <v>11497.7350720152</v>
      </c>
      <c r="AH169" s="19" t="n">
        <f aca="false">IF(AG169&gt;=0,1,0)</f>
        <v>1</v>
      </c>
    </row>
    <row r="170" customFormat="false" ht="15" hidden="false" customHeight="false" outlineLevel="0" collapsed="false">
      <c r="A170" s="0" t="n">
        <f aca="false">ROW()-1</f>
        <v>169</v>
      </c>
      <c r="B170" s="6" t="n">
        <f aca="false">Assumptions!$B$35</f>
        <v>441263.996662504</v>
      </c>
      <c r="C170" s="8" t="n">
        <f aca="true">NORMINV(RAND(),Assumptions!$B$14,Assumptions!$B$15)</f>
        <v>0.0379162113179936</v>
      </c>
      <c r="D170" s="8" t="n">
        <f aca="true">NORMINV(RAND(),Assumptions!$B$14,Assumptions!$B$15)</f>
        <v>0.0708777357927893</v>
      </c>
      <c r="E170" s="8" t="n">
        <f aca="true">NORMINV(RAND(),Assumptions!$B$14,Assumptions!$B$15)</f>
        <v>-0.00437768108882871</v>
      </c>
      <c r="F170" s="8" t="n">
        <f aca="true">NORMINV(RAND(),Assumptions!$B$14,Assumptions!$B$15)</f>
        <v>0.0131407750772463</v>
      </c>
      <c r="G170" s="8" t="n">
        <f aca="true">NORMINV(RAND(),Assumptions!$B$14,Assumptions!$B$15)</f>
        <v>-0.0062594790823045</v>
      </c>
      <c r="H170" s="8" t="n">
        <f aca="true">NORMINV(RAND(),Assumptions!$B$14,Assumptions!$B$15)</f>
        <v>0.0570670148336421</v>
      </c>
      <c r="I170" s="8" t="n">
        <f aca="true">NORMINV(RAND(),Assumptions!$B$14,Assumptions!$B$15)</f>
        <v>0.00621379458570442</v>
      </c>
      <c r="J170" s="8" t="n">
        <f aca="true">NORMINV(RAND(),Assumptions!$B$14,Assumptions!$B$15)</f>
        <v>0.0579564349497228</v>
      </c>
      <c r="K170" s="8" t="n">
        <f aca="true">NORMINV(RAND(),Assumptions!$B$14,Assumptions!$B$15)</f>
        <v>0.0692895852958063</v>
      </c>
      <c r="L170" s="8" t="n">
        <f aca="true">NORMINV(RAND(),Assumptions!$B$14,Assumptions!$B$15)</f>
        <v>0.00256409243005467</v>
      </c>
      <c r="M170" s="6" t="n">
        <f aca="false">B170-Assumptions!$B$29</f>
        <v>391263.996662504</v>
      </c>
      <c r="N170" s="6" t="n">
        <f aca="false">W170-Assumptions!$B$29</f>
        <v>356099.245041082</v>
      </c>
      <c r="O170" s="6" t="n">
        <f aca="false">X170-Assumptions!$B$29</f>
        <v>331338.753247115</v>
      </c>
      <c r="P170" s="6" t="n">
        <f aca="false">Y170-Assumptions!$B$29</f>
        <v>279888.257853029</v>
      </c>
      <c r="Q170" s="6" t="n">
        <f aca="false">Z170-Assumptions!$B$29</f>
        <v>233566.206496238</v>
      </c>
      <c r="R170" s="6" t="n">
        <f aca="false">AA170-Assumptions!$B$29</f>
        <v>182104.203712342</v>
      </c>
      <c r="S170" s="6" t="n">
        <f aca="false">AB170-Assumptions!$B$29</f>
        <v>142496.347006863</v>
      </c>
      <c r="T170" s="6" t="n">
        <f aca="false">AC170-Assumptions!$B$29</f>
        <v>93381.7900363765</v>
      </c>
      <c r="U170" s="6" t="n">
        <f aca="false">AD170-Assumptions!$B$29</f>
        <v>48793.8656761084</v>
      </c>
      <c r="V170" s="6" t="n">
        <f aca="false">AE170-Assumptions!$B$29</f>
        <v>2174.77239378527</v>
      </c>
      <c r="W170" s="6" t="n">
        <f aca="false">M170*(1+C170)</f>
        <v>406099.245041082</v>
      </c>
      <c r="X170" s="6" t="n">
        <f aca="false">N170*(1+D170)</f>
        <v>381338.753247115</v>
      </c>
      <c r="Y170" s="6" t="n">
        <f aca="false">O170*(1+E170)</f>
        <v>329888.257853029</v>
      </c>
      <c r="Z170" s="6" t="n">
        <f aca="false">P170*(1+F170)</f>
        <v>283566.206496238</v>
      </c>
      <c r="AA170" s="6" t="n">
        <f aca="false">Q170*(1+G170)</f>
        <v>232104.203712342</v>
      </c>
      <c r="AB170" s="6" t="n">
        <f aca="false">R170*(1+H170)</f>
        <v>192496.347006863</v>
      </c>
      <c r="AC170" s="6" t="n">
        <f aca="false">S170*(1+I170)</f>
        <v>143381.790036377</v>
      </c>
      <c r="AD170" s="6" t="n">
        <f aca="false">T170*(1+J170)</f>
        <v>98793.8656761084</v>
      </c>
      <c r="AE170" s="6" t="n">
        <f aca="false">U170*(1+K170)</f>
        <v>52174.7723937853</v>
      </c>
      <c r="AF170" s="6" t="n">
        <f aca="false">V170*(1+L170)</f>
        <v>2180.34871121727</v>
      </c>
      <c r="AG170" s="6" t="n">
        <f aca="false">MIN(M170:V170)</f>
        <v>2174.77239378527</v>
      </c>
      <c r="AH170" s="19" t="n">
        <f aca="false">IF(AG170&gt;=0,1,0)</f>
        <v>1</v>
      </c>
    </row>
    <row r="171" customFormat="false" ht="15" hidden="false" customHeight="false" outlineLevel="0" collapsed="false">
      <c r="A171" s="0" t="n">
        <f aca="false">ROW()-1</f>
        <v>170</v>
      </c>
      <c r="B171" s="6" t="n">
        <f aca="false">Assumptions!$B$35</f>
        <v>441263.996662504</v>
      </c>
      <c r="C171" s="8" t="n">
        <f aca="true">NORMINV(RAND(),Assumptions!$B$14,Assumptions!$B$15)</f>
        <v>0.00791371671348193</v>
      </c>
      <c r="D171" s="8" t="n">
        <f aca="true">NORMINV(RAND(),Assumptions!$B$14,Assumptions!$B$15)</f>
        <v>-0.00466925910621951</v>
      </c>
      <c r="E171" s="8" t="n">
        <f aca="true">NORMINV(RAND(),Assumptions!$B$14,Assumptions!$B$15)</f>
        <v>0.00966561653922241</v>
      </c>
      <c r="F171" s="8" t="n">
        <f aca="true">NORMINV(RAND(),Assumptions!$B$14,Assumptions!$B$15)</f>
        <v>0.0711357767215111</v>
      </c>
      <c r="G171" s="8" t="n">
        <f aca="true">NORMINV(RAND(),Assumptions!$B$14,Assumptions!$B$15)</f>
        <v>0.0626248032746058</v>
      </c>
      <c r="H171" s="8" t="n">
        <f aca="true">NORMINV(RAND(),Assumptions!$B$14,Assumptions!$B$15)</f>
        <v>0.060996809617557</v>
      </c>
      <c r="I171" s="8" t="n">
        <f aca="true">NORMINV(RAND(),Assumptions!$B$14,Assumptions!$B$15)</f>
        <v>0.0253553664093397</v>
      </c>
      <c r="J171" s="8" t="n">
        <f aca="true">NORMINV(RAND(),Assumptions!$B$14,Assumptions!$B$15)</f>
        <v>0.0315389804571707</v>
      </c>
      <c r="K171" s="8" t="n">
        <f aca="true">NORMINV(RAND(),Assumptions!$B$14,Assumptions!$B$15)</f>
        <v>0.0412408946895079</v>
      </c>
      <c r="L171" s="8" t="n">
        <f aca="true">NORMINV(RAND(),Assumptions!$B$14,Assumptions!$B$15)</f>
        <v>0.0158627313544149</v>
      </c>
      <c r="M171" s="6" t="n">
        <f aca="false">B171-Assumptions!$B$29</f>
        <v>391263.996662504</v>
      </c>
      <c r="N171" s="6" t="n">
        <f aca="false">W171-Assumptions!$B$29</f>
        <v>344360.349092275</v>
      </c>
      <c r="O171" s="6" t="n">
        <f aca="false">X171-Assumptions!$B$29</f>
        <v>292752.441396455</v>
      </c>
      <c r="P171" s="6" t="n">
        <f aca="false">Y171-Assumptions!$B$29</f>
        <v>245582.074235915</v>
      </c>
      <c r="Q171" s="6" t="n">
        <f aca="false">Z171-Assumptions!$B$29</f>
        <v>213051.745835566</v>
      </c>
      <c r="R171" s="6" t="n">
        <f aca="false">AA171-Assumptions!$B$29</f>
        <v>176394.06950583</v>
      </c>
      <c r="S171" s="6" t="n">
        <f aca="false">AB171-Assumptions!$B$29</f>
        <v>137153.544981143</v>
      </c>
      <c r="T171" s="6" t="n">
        <f aca="false">AC171-Assumptions!$B$29</f>
        <v>90631.1233684798</v>
      </c>
      <c r="U171" s="6" t="n">
        <f aca="false">AD171-Assumptions!$B$29</f>
        <v>43489.5365972097</v>
      </c>
      <c r="V171" s="6" t="n">
        <f aca="false">AE171-Assumptions!$B$29</f>
        <v>-4716.91600388934</v>
      </c>
      <c r="W171" s="6" t="n">
        <f aca="false">M171*(1+C171)</f>
        <v>394360.349092275</v>
      </c>
      <c r="X171" s="6" t="n">
        <f aca="false">N171*(1+D171)</f>
        <v>342752.441396455</v>
      </c>
      <c r="Y171" s="6" t="n">
        <f aca="false">O171*(1+E171)</f>
        <v>295582.074235915</v>
      </c>
      <c r="Z171" s="6" t="n">
        <f aca="false">P171*(1+F171)</f>
        <v>263051.745835566</v>
      </c>
      <c r="AA171" s="6" t="n">
        <f aca="false">Q171*(1+G171)</f>
        <v>226394.06950583</v>
      </c>
      <c r="AB171" s="6" t="n">
        <f aca="false">R171*(1+H171)</f>
        <v>187153.544981143</v>
      </c>
      <c r="AC171" s="6" t="n">
        <f aca="false">S171*(1+I171)</f>
        <v>140631.12336848</v>
      </c>
      <c r="AD171" s="6" t="n">
        <f aca="false">T171*(1+J171)</f>
        <v>93489.5365972097</v>
      </c>
      <c r="AE171" s="6" t="n">
        <f aca="false">U171*(1+K171)</f>
        <v>45283.0839961107</v>
      </c>
      <c r="AF171" s="6" t="n">
        <f aca="false">V171*(1+L171)</f>
        <v>-4791.73917528038</v>
      </c>
      <c r="AG171" s="6" t="n">
        <f aca="false">MIN(M171:V171)</f>
        <v>-4716.91600388934</v>
      </c>
      <c r="AH171" s="19" t="n">
        <f aca="false">IF(AG171&gt;=0,1,0)</f>
        <v>0</v>
      </c>
    </row>
    <row r="172" customFormat="false" ht="15" hidden="false" customHeight="false" outlineLevel="0" collapsed="false">
      <c r="A172" s="0" t="n">
        <f aca="false">ROW()-1</f>
        <v>171</v>
      </c>
      <c r="B172" s="6" t="n">
        <f aca="false">Assumptions!$B$35</f>
        <v>441263.996662504</v>
      </c>
      <c r="C172" s="8" t="n">
        <f aca="true">NORMINV(RAND(),Assumptions!$B$14,Assumptions!$B$15)</f>
        <v>0.0855292201855929</v>
      </c>
      <c r="D172" s="8" t="n">
        <f aca="true">NORMINV(RAND(),Assumptions!$B$14,Assumptions!$B$15)</f>
        <v>0.0816320065167973</v>
      </c>
      <c r="E172" s="8" t="n">
        <f aca="true">NORMINV(RAND(),Assumptions!$B$14,Assumptions!$B$15)</f>
        <v>0.063480088681975</v>
      </c>
      <c r="F172" s="8" t="n">
        <f aca="true">NORMINV(RAND(),Assumptions!$B$14,Assumptions!$B$15)</f>
        <v>0.021522297021397</v>
      </c>
      <c r="G172" s="8" t="n">
        <f aca="true">NORMINV(RAND(),Assumptions!$B$14,Assumptions!$B$15)</f>
        <v>0.0599244806889773</v>
      </c>
      <c r="H172" s="8" t="n">
        <f aca="true">NORMINV(RAND(),Assumptions!$B$14,Assumptions!$B$15)</f>
        <v>0.0490157788829063</v>
      </c>
      <c r="I172" s="8" t="n">
        <f aca="true">NORMINV(RAND(),Assumptions!$B$14,Assumptions!$B$15)</f>
        <v>0.0387275561300268</v>
      </c>
      <c r="J172" s="8" t="n">
        <f aca="true">NORMINV(RAND(),Assumptions!$B$14,Assumptions!$B$15)</f>
        <v>0.0291489613542368</v>
      </c>
      <c r="K172" s="8" t="n">
        <f aca="true">NORMINV(RAND(),Assumptions!$B$14,Assumptions!$B$15)</f>
        <v>-0.0310583491268807</v>
      </c>
      <c r="L172" s="8" t="n">
        <f aca="true">NORMINV(RAND(),Assumptions!$B$14,Assumptions!$B$15)</f>
        <v>0.0414303832655746</v>
      </c>
      <c r="M172" s="6" t="n">
        <f aca="false">B172-Assumptions!$B$29</f>
        <v>391263.996662504</v>
      </c>
      <c r="N172" s="6" t="n">
        <f aca="false">W172-Assumptions!$B$29</f>
        <v>374728.501183746</v>
      </c>
      <c r="O172" s="6" t="n">
        <f aca="false">X172-Assumptions!$B$29</f>
        <v>355318.340634407</v>
      </c>
      <c r="P172" s="6" t="n">
        <f aca="false">Y172-Assumptions!$B$29</f>
        <v>327873.980408212</v>
      </c>
      <c r="Q172" s="6" t="n">
        <f aca="false">Z172-Assumptions!$B$29</f>
        <v>284930.581600145</v>
      </c>
      <c r="R172" s="6" t="n">
        <f aca="false">AA172-Assumptions!$B$29</f>
        <v>252004.898734942</v>
      </c>
      <c r="S172" s="6" t="n">
        <f aca="false">AB172-Assumptions!$B$29</f>
        <v>214357.115128743</v>
      </c>
      <c r="T172" s="6" t="n">
        <f aca="false">AC172-Assumptions!$B$29</f>
        <v>172658.642336762</v>
      </c>
      <c r="U172" s="6" t="n">
        <f aca="false">AD172-Assumptions!$B$29</f>
        <v>127691.462429711</v>
      </c>
      <c r="V172" s="6" t="n">
        <f aca="false">AE172-Assumptions!$B$29</f>
        <v>73725.5764090471</v>
      </c>
      <c r="W172" s="6" t="n">
        <f aca="false">M172*(1+C172)</f>
        <v>424728.501183746</v>
      </c>
      <c r="X172" s="6" t="n">
        <f aca="false">N172*(1+D172)</f>
        <v>405318.340634407</v>
      </c>
      <c r="Y172" s="6" t="n">
        <f aca="false">O172*(1+E172)</f>
        <v>377873.980408212</v>
      </c>
      <c r="Z172" s="6" t="n">
        <f aca="false">P172*(1+F172)</f>
        <v>334930.581600145</v>
      </c>
      <c r="AA172" s="6" t="n">
        <f aca="false">Q172*(1+G172)</f>
        <v>302004.898734942</v>
      </c>
      <c r="AB172" s="6" t="n">
        <f aca="false">R172*(1+H172)</f>
        <v>264357.115128743</v>
      </c>
      <c r="AC172" s="6" t="n">
        <f aca="false">S172*(1+I172)</f>
        <v>222658.642336762</v>
      </c>
      <c r="AD172" s="6" t="n">
        <f aca="false">T172*(1+J172)</f>
        <v>177691.462429711</v>
      </c>
      <c r="AE172" s="6" t="n">
        <f aca="false">U172*(1+K172)</f>
        <v>123725.576409047</v>
      </c>
      <c r="AF172" s="6" t="n">
        <f aca="false">V172*(1+L172)</f>
        <v>76780.0552961493</v>
      </c>
      <c r="AG172" s="6" t="n">
        <f aca="false">MIN(M172:V172)</f>
        <v>73725.5764090471</v>
      </c>
      <c r="AH172" s="19" t="n">
        <f aca="false">IF(AG172&gt;=0,1,0)</f>
        <v>1</v>
      </c>
    </row>
    <row r="173" customFormat="false" ht="15" hidden="false" customHeight="false" outlineLevel="0" collapsed="false">
      <c r="A173" s="0" t="n">
        <f aca="false">ROW()-1</f>
        <v>172</v>
      </c>
      <c r="B173" s="6" t="n">
        <f aca="false">Assumptions!$B$35</f>
        <v>441263.996662504</v>
      </c>
      <c r="C173" s="8" t="n">
        <f aca="true">NORMINV(RAND(),Assumptions!$B$14,Assumptions!$B$15)</f>
        <v>0.01903825611225</v>
      </c>
      <c r="D173" s="8" t="n">
        <f aca="true">NORMINV(RAND(),Assumptions!$B$14,Assumptions!$B$15)</f>
        <v>0.0495410291522193</v>
      </c>
      <c r="E173" s="8" t="n">
        <f aca="true">NORMINV(RAND(),Assumptions!$B$14,Assumptions!$B$15)</f>
        <v>0.0859736466964309</v>
      </c>
      <c r="F173" s="8" t="n">
        <f aca="true">NORMINV(RAND(),Assumptions!$B$14,Assumptions!$B$15)</f>
        <v>0.0498931306777332</v>
      </c>
      <c r="G173" s="8" t="n">
        <f aca="true">NORMINV(RAND(),Assumptions!$B$14,Assumptions!$B$15)</f>
        <v>0.0464490241452622</v>
      </c>
      <c r="H173" s="8" t="n">
        <f aca="true">NORMINV(RAND(),Assumptions!$B$14,Assumptions!$B$15)</f>
        <v>0.0646167035716212</v>
      </c>
      <c r="I173" s="8" t="n">
        <f aca="true">NORMINV(RAND(),Assumptions!$B$14,Assumptions!$B$15)</f>
        <v>0.0518700597752685</v>
      </c>
      <c r="J173" s="8" t="n">
        <f aca="true">NORMINV(RAND(),Assumptions!$B$14,Assumptions!$B$15)</f>
        <v>0.0205102112888317</v>
      </c>
      <c r="K173" s="8" t="n">
        <f aca="true">NORMINV(RAND(),Assumptions!$B$14,Assumptions!$B$15)</f>
        <v>0.0265498914007801</v>
      </c>
      <c r="L173" s="8" t="n">
        <f aca="true">NORMINV(RAND(),Assumptions!$B$14,Assumptions!$B$15)</f>
        <v>0.0717041803421988</v>
      </c>
      <c r="M173" s="6" t="n">
        <f aca="false">B173-Assumptions!$B$29</f>
        <v>391263.996662504</v>
      </c>
      <c r="N173" s="6" t="n">
        <f aca="false">W173-Assumptions!$B$29</f>
        <v>348712.980838467</v>
      </c>
      <c r="O173" s="6" t="n">
        <f aca="false">X173-Assumptions!$B$29</f>
        <v>315988.580787943</v>
      </c>
      <c r="P173" s="6" t="n">
        <f aca="false">Y173-Assumptions!$B$29</f>
        <v>293155.271392712</v>
      </c>
      <c r="Q173" s="6" t="n">
        <f aca="false">Z173-Assumptions!$B$29</f>
        <v>257781.705657175</v>
      </c>
      <c r="R173" s="6" t="n">
        <f aca="false">AA173-Assumptions!$B$29</f>
        <v>219755.414327452</v>
      </c>
      <c r="S173" s="6" t="n">
        <f aca="false">AB173-Assumptions!$B$29</f>
        <v>183955.284793307</v>
      </c>
      <c r="T173" s="6" t="n">
        <f aca="false">AC173-Assumptions!$B$29</f>
        <v>143497.056411513</v>
      </c>
      <c r="U173" s="6" t="n">
        <f aca="false">AD173-Assumptions!$B$29</f>
        <v>96440.2113578384</v>
      </c>
      <c r="V173" s="6" t="n">
        <f aca="false">AE173-Assumptions!$B$29</f>
        <v>49000.6884960573</v>
      </c>
      <c r="W173" s="6" t="n">
        <f aca="false">M173*(1+C173)</f>
        <v>398712.980838467</v>
      </c>
      <c r="X173" s="6" t="n">
        <f aca="false">N173*(1+D173)</f>
        <v>365988.580787943</v>
      </c>
      <c r="Y173" s="6" t="n">
        <f aca="false">O173*(1+E173)</f>
        <v>343155.271392712</v>
      </c>
      <c r="Z173" s="6" t="n">
        <f aca="false">P173*(1+F173)</f>
        <v>307781.705657175</v>
      </c>
      <c r="AA173" s="6" t="n">
        <f aca="false">Q173*(1+G173)</f>
        <v>269755.414327452</v>
      </c>
      <c r="AB173" s="6" t="n">
        <f aca="false">R173*(1+H173)</f>
        <v>233955.284793307</v>
      </c>
      <c r="AC173" s="6" t="n">
        <f aca="false">S173*(1+I173)</f>
        <v>193497.056411513</v>
      </c>
      <c r="AD173" s="6" t="n">
        <f aca="false">T173*(1+J173)</f>
        <v>146440.211357838</v>
      </c>
      <c r="AE173" s="6" t="n">
        <f aca="false">U173*(1+K173)</f>
        <v>99000.6884960573</v>
      </c>
      <c r="AF173" s="6" t="n">
        <f aca="false">V173*(1+L173)</f>
        <v>52514.2427008705</v>
      </c>
      <c r="AG173" s="6" t="n">
        <f aca="false">MIN(M173:V173)</f>
        <v>49000.6884960573</v>
      </c>
      <c r="AH173" s="19" t="n">
        <f aca="false">IF(AG173&gt;=0,1,0)</f>
        <v>1</v>
      </c>
    </row>
    <row r="174" customFormat="false" ht="15" hidden="false" customHeight="false" outlineLevel="0" collapsed="false">
      <c r="A174" s="0" t="n">
        <f aca="false">ROW()-1</f>
        <v>173</v>
      </c>
      <c r="B174" s="6" t="n">
        <f aca="false">Assumptions!$B$35</f>
        <v>441263.996662504</v>
      </c>
      <c r="C174" s="8" t="n">
        <f aca="true">NORMINV(RAND(),Assumptions!$B$14,Assumptions!$B$15)</f>
        <v>0.0153340297122345</v>
      </c>
      <c r="D174" s="8" t="n">
        <f aca="true">NORMINV(RAND(),Assumptions!$B$14,Assumptions!$B$15)</f>
        <v>0.0275493328052706</v>
      </c>
      <c r="E174" s="8" t="n">
        <f aca="true">NORMINV(RAND(),Assumptions!$B$14,Assumptions!$B$15)</f>
        <v>0.0396366709589104</v>
      </c>
      <c r="F174" s="8" t="n">
        <f aca="true">NORMINV(RAND(),Assumptions!$B$14,Assumptions!$B$15)</f>
        <v>0.0625256297659376</v>
      </c>
      <c r="G174" s="8" t="n">
        <f aca="true">NORMINV(RAND(),Assumptions!$B$14,Assumptions!$B$15)</f>
        <v>0.0758854315664743</v>
      </c>
      <c r="H174" s="8" t="n">
        <f aca="true">NORMINV(RAND(),Assumptions!$B$14,Assumptions!$B$15)</f>
        <v>0.0672578865414616</v>
      </c>
      <c r="I174" s="8" t="n">
        <f aca="true">NORMINV(RAND(),Assumptions!$B$14,Assumptions!$B$15)</f>
        <v>0.0486826473794788</v>
      </c>
      <c r="J174" s="8" t="n">
        <f aca="true">NORMINV(RAND(),Assumptions!$B$14,Assumptions!$B$15)</f>
        <v>0.0141049354262408</v>
      </c>
      <c r="K174" s="8" t="n">
        <f aca="true">NORMINV(RAND(),Assumptions!$B$14,Assumptions!$B$15)</f>
        <v>0.0387953406675876</v>
      </c>
      <c r="L174" s="8" t="n">
        <f aca="true">NORMINV(RAND(),Assumptions!$B$14,Assumptions!$B$15)</f>
        <v>0.0495076631051393</v>
      </c>
      <c r="M174" s="6" t="n">
        <f aca="false">B174-Assumptions!$B$29</f>
        <v>391263.996662504</v>
      </c>
      <c r="N174" s="6" t="n">
        <f aca="false">W174-Assumptions!$B$29</f>
        <v>347263.650412654</v>
      </c>
      <c r="O174" s="6" t="n">
        <f aca="false">X174-Assumptions!$B$29</f>
        <v>306830.532289045</v>
      </c>
      <c r="P174" s="6" t="n">
        <f aca="false">Y174-Assumptions!$B$29</f>
        <v>268992.273137534</v>
      </c>
      <c r="Q174" s="6" t="n">
        <f aca="false">Z174-Assumptions!$B$29</f>
        <v>235811.184417629</v>
      </c>
      <c r="R174" s="6" t="n">
        <f aca="false">AA174-Assumptions!$B$29</f>
        <v>203705.817915362</v>
      </c>
      <c r="S174" s="6" t="n">
        <f aca="false">AB174-Assumptions!$B$29</f>
        <v>167406.640704549</v>
      </c>
      <c r="T174" s="6" t="n">
        <f aca="false">AC174-Assumptions!$B$29</f>
        <v>125556.439162952</v>
      </c>
      <c r="U174" s="6" t="n">
        <f aca="false">AD174-Assumptions!$B$29</f>
        <v>77327.4046296942</v>
      </c>
      <c r="V174" s="6" t="n">
        <f aca="false">AE174-Assumptions!$B$29</f>
        <v>30327.3476352435</v>
      </c>
      <c r="W174" s="6" t="n">
        <f aca="false">M174*(1+C174)</f>
        <v>397263.650412654</v>
      </c>
      <c r="X174" s="6" t="n">
        <f aca="false">N174*(1+D174)</f>
        <v>356830.532289045</v>
      </c>
      <c r="Y174" s="6" t="n">
        <f aca="false">O174*(1+E174)</f>
        <v>318992.273137534</v>
      </c>
      <c r="Z174" s="6" t="n">
        <f aca="false">P174*(1+F174)</f>
        <v>285811.184417629</v>
      </c>
      <c r="AA174" s="6" t="n">
        <f aca="false">Q174*(1+G174)</f>
        <v>253705.817915362</v>
      </c>
      <c r="AB174" s="6" t="n">
        <f aca="false">R174*(1+H174)</f>
        <v>217406.640704549</v>
      </c>
      <c r="AC174" s="6" t="n">
        <f aca="false">S174*(1+I174)</f>
        <v>175556.439162952</v>
      </c>
      <c r="AD174" s="6" t="n">
        <f aca="false">T174*(1+J174)</f>
        <v>127327.404629694</v>
      </c>
      <c r="AE174" s="6" t="n">
        <f aca="false">U174*(1+K174)</f>
        <v>80327.3476352435</v>
      </c>
      <c r="AF174" s="6" t="n">
        <f aca="false">V174*(1+L174)</f>
        <v>31828.7837448416</v>
      </c>
      <c r="AG174" s="6" t="n">
        <f aca="false">MIN(M174:V174)</f>
        <v>30327.3476352435</v>
      </c>
      <c r="AH174" s="19" t="n">
        <f aca="false">IF(AG174&gt;=0,1,0)</f>
        <v>1</v>
      </c>
    </row>
    <row r="175" customFormat="false" ht="15" hidden="false" customHeight="false" outlineLevel="0" collapsed="false">
      <c r="A175" s="0" t="n">
        <f aca="false">ROW()-1</f>
        <v>174</v>
      </c>
      <c r="B175" s="6" t="n">
        <f aca="false">Assumptions!$B$35</f>
        <v>441263.996662504</v>
      </c>
      <c r="C175" s="8" t="n">
        <f aca="true">NORMINV(RAND(),Assumptions!$B$14,Assumptions!$B$15)</f>
        <v>0.0488800181749666</v>
      </c>
      <c r="D175" s="8" t="n">
        <f aca="true">NORMINV(RAND(),Assumptions!$B$14,Assumptions!$B$15)</f>
        <v>-0.000178430357873641</v>
      </c>
      <c r="E175" s="8" t="n">
        <f aca="true">NORMINV(RAND(),Assumptions!$B$14,Assumptions!$B$15)</f>
        <v>0.0289954168084091</v>
      </c>
      <c r="F175" s="8" t="n">
        <f aca="true">NORMINV(RAND(),Assumptions!$B$14,Assumptions!$B$15)</f>
        <v>0.0815493340505279</v>
      </c>
      <c r="G175" s="8" t="n">
        <f aca="true">NORMINV(RAND(),Assumptions!$B$14,Assumptions!$B$15)</f>
        <v>0.0748458363550641</v>
      </c>
      <c r="H175" s="8" t="n">
        <f aca="true">NORMINV(RAND(),Assumptions!$B$14,Assumptions!$B$15)</f>
        <v>0.0283595057151931</v>
      </c>
      <c r="I175" s="8" t="n">
        <f aca="true">NORMINV(RAND(),Assumptions!$B$14,Assumptions!$B$15)</f>
        <v>0.0410796910324085</v>
      </c>
      <c r="J175" s="8" t="n">
        <f aca="true">NORMINV(RAND(),Assumptions!$B$14,Assumptions!$B$15)</f>
        <v>0.0501548622471444</v>
      </c>
      <c r="K175" s="8" t="n">
        <f aca="true">NORMINV(RAND(),Assumptions!$B$14,Assumptions!$B$15)</f>
        <v>0.0146039535947467</v>
      </c>
      <c r="L175" s="8" t="n">
        <f aca="true">NORMINV(RAND(),Assumptions!$B$14,Assumptions!$B$15)</f>
        <v>0.0200013946291553</v>
      </c>
      <c r="M175" s="6" t="n">
        <f aca="false">B175-Assumptions!$B$29</f>
        <v>391263.996662504</v>
      </c>
      <c r="N175" s="6" t="n">
        <f aca="false">W175-Assumptions!$B$29</f>
        <v>360388.987930577</v>
      </c>
      <c r="O175" s="6" t="n">
        <f aca="false">X175-Assumptions!$B$29</f>
        <v>310324.683594487</v>
      </c>
      <c r="P175" s="6" t="n">
        <f aca="false">Y175-Assumptions!$B$29</f>
        <v>269322.677141246</v>
      </c>
      <c r="Q175" s="6" t="n">
        <f aca="false">Z175-Assumptions!$B$29</f>
        <v>241285.76210682</v>
      </c>
      <c r="R175" s="6" t="n">
        <f aca="false">AA175-Assumptions!$B$29</f>
        <v>209344.996772274</v>
      </c>
      <c r="S175" s="6" t="n">
        <f aca="false">AB175-Assumptions!$B$29</f>
        <v>165281.917404685</v>
      </c>
      <c r="T175" s="6" t="n">
        <f aca="false">AC175-Assumptions!$B$29</f>
        <v>122071.647504913</v>
      </c>
      <c r="U175" s="6" t="n">
        <f aca="false">AD175-Assumptions!$B$29</f>
        <v>78194.1341698042</v>
      </c>
      <c r="V175" s="6" t="n">
        <f aca="false">AE175-Assumptions!$B$29</f>
        <v>29336.0776766014</v>
      </c>
      <c r="W175" s="6" t="n">
        <f aca="false">M175*(1+C175)</f>
        <v>410388.987930577</v>
      </c>
      <c r="X175" s="6" t="n">
        <f aca="false">N175*(1+D175)</f>
        <v>360324.683594487</v>
      </c>
      <c r="Y175" s="6" t="n">
        <f aca="false">O175*(1+E175)</f>
        <v>319322.677141246</v>
      </c>
      <c r="Z175" s="6" t="n">
        <f aca="false">P175*(1+F175)</f>
        <v>291285.76210682</v>
      </c>
      <c r="AA175" s="6" t="n">
        <f aca="false">Q175*(1+G175)</f>
        <v>259344.996772274</v>
      </c>
      <c r="AB175" s="6" t="n">
        <f aca="false">R175*(1+H175)</f>
        <v>215281.917404685</v>
      </c>
      <c r="AC175" s="6" t="n">
        <f aca="false">S175*(1+I175)</f>
        <v>172071.647504913</v>
      </c>
      <c r="AD175" s="6" t="n">
        <f aca="false">T175*(1+J175)</f>
        <v>128194.134169804</v>
      </c>
      <c r="AE175" s="6" t="n">
        <f aca="false">U175*(1+K175)</f>
        <v>79336.0776766014</v>
      </c>
      <c r="AF175" s="6" t="n">
        <f aca="false">V175*(1+L175)</f>
        <v>29922.8401430827</v>
      </c>
      <c r="AG175" s="6" t="n">
        <f aca="false">MIN(M175:V175)</f>
        <v>29336.0776766014</v>
      </c>
      <c r="AH175" s="19" t="n">
        <f aca="false">IF(AG175&gt;=0,1,0)</f>
        <v>1</v>
      </c>
    </row>
    <row r="176" customFormat="false" ht="15" hidden="false" customHeight="false" outlineLevel="0" collapsed="false">
      <c r="A176" s="0" t="n">
        <f aca="false">ROW()-1</f>
        <v>175</v>
      </c>
      <c r="B176" s="6" t="n">
        <f aca="false">Assumptions!$B$35</f>
        <v>441263.996662504</v>
      </c>
      <c r="C176" s="8" t="n">
        <f aca="true">NORMINV(RAND(),Assumptions!$B$14,Assumptions!$B$15)</f>
        <v>0.0836592500718864</v>
      </c>
      <c r="D176" s="8" t="n">
        <f aca="true">NORMINV(RAND(),Assumptions!$B$14,Assumptions!$B$15)</f>
        <v>0.0359058991173857</v>
      </c>
      <c r="E176" s="8" t="n">
        <f aca="true">NORMINV(RAND(),Assumptions!$B$14,Assumptions!$B$15)</f>
        <v>0.017038818074269</v>
      </c>
      <c r="F176" s="8" t="n">
        <f aca="true">NORMINV(RAND(),Assumptions!$B$14,Assumptions!$B$15)</f>
        <v>0.0463928593226581</v>
      </c>
      <c r="G176" s="8" t="n">
        <f aca="true">NORMINV(RAND(),Assumptions!$B$14,Assumptions!$B$15)</f>
        <v>-0.0272353558751517</v>
      </c>
      <c r="H176" s="8" t="n">
        <f aca="true">NORMINV(RAND(),Assumptions!$B$14,Assumptions!$B$15)</f>
        <v>0.016868210073194</v>
      </c>
      <c r="I176" s="8" t="n">
        <f aca="true">NORMINV(RAND(),Assumptions!$B$14,Assumptions!$B$15)</f>
        <v>0.0724649637573026</v>
      </c>
      <c r="J176" s="8" t="n">
        <f aca="true">NORMINV(RAND(),Assumptions!$B$14,Assumptions!$B$15)</f>
        <v>0.0615171090584362</v>
      </c>
      <c r="K176" s="8" t="n">
        <f aca="true">NORMINV(RAND(),Assumptions!$B$14,Assumptions!$B$15)</f>
        <v>0.0683633450493709</v>
      </c>
      <c r="L176" s="8" t="n">
        <f aca="true">NORMINV(RAND(),Assumptions!$B$14,Assumptions!$B$15)</f>
        <v>0.0280714583575886</v>
      </c>
      <c r="M176" s="6" t="n">
        <f aca="false">B176-Assumptions!$B$29</f>
        <v>391263.996662504</v>
      </c>
      <c r="N176" s="6" t="n">
        <f aca="false">W176-Assumptions!$B$29</f>
        <v>373996.849203418</v>
      </c>
      <c r="O176" s="6" t="n">
        <f aca="false">X176-Assumptions!$B$29</f>
        <v>337425.542341136</v>
      </c>
      <c r="P176" s="6" t="n">
        <f aca="false">Y176-Assumptions!$B$29</f>
        <v>293174.874770698</v>
      </c>
      <c r="Q176" s="6" t="n">
        <f aca="false">Z176-Assumptions!$B$29</f>
        <v>256776.095492873</v>
      </c>
      <c r="R176" s="6" t="n">
        <f aca="false">AA176-Assumptions!$B$29</f>
        <v>199782.707151892</v>
      </c>
      <c r="S176" s="6" t="n">
        <f aca="false">AB176-Assumptions!$B$29</f>
        <v>153152.683825122</v>
      </c>
      <c r="T176" s="6" t="n">
        <f aca="false">AC176-Assumptions!$B$29</f>
        <v>114250.887507843</v>
      </c>
      <c r="U176" s="6" t="n">
        <f aca="false">AD176-Assumptions!$B$29</f>
        <v>71279.2718146862</v>
      </c>
      <c r="V176" s="6" t="n">
        <f aca="false">AE176-Assumptions!$B$29</f>
        <v>26152.1612686215</v>
      </c>
      <c r="W176" s="6" t="n">
        <f aca="false">M176*(1+C176)</f>
        <v>423996.849203418</v>
      </c>
      <c r="X176" s="6" t="n">
        <f aca="false">N176*(1+D176)</f>
        <v>387425.542341136</v>
      </c>
      <c r="Y176" s="6" t="n">
        <f aca="false">O176*(1+E176)</f>
        <v>343174.874770698</v>
      </c>
      <c r="Z176" s="6" t="n">
        <f aca="false">P176*(1+F176)</f>
        <v>306776.095492873</v>
      </c>
      <c r="AA176" s="6" t="n">
        <f aca="false">Q176*(1+G176)</f>
        <v>249782.707151892</v>
      </c>
      <c r="AB176" s="6" t="n">
        <f aca="false">R176*(1+H176)</f>
        <v>203152.683825122</v>
      </c>
      <c r="AC176" s="6" t="n">
        <f aca="false">S176*(1+I176)</f>
        <v>164250.887507843</v>
      </c>
      <c r="AD176" s="6" t="n">
        <f aca="false">T176*(1+J176)</f>
        <v>121279.271814686</v>
      </c>
      <c r="AE176" s="6" t="n">
        <f aca="false">U176*(1+K176)</f>
        <v>76152.1612686215</v>
      </c>
      <c r="AF176" s="6" t="n">
        <f aca="false">V176*(1+L176)</f>
        <v>26886.2905746345</v>
      </c>
      <c r="AG176" s="6" t="n">
        <f aca="false">MIN(M176:V176)</f>
        <v>26152.1612686215</v>
      </c>
      <c r="AH176" s="19" t="n">
        <f aca="false">IF(AG176&gt;=0,1,0)</f>
        <v>1</v>
      </c>
    </row>
    <row r="177" customFormat="false" ht="15" hidden="false" customHeight="false" outlineLevel="0" collapsed="false">
      <c r="A177" s="0" t="n">
        <f aca="false">ROW()-1</f>
        <v>176</v>
      </c>
      <c r="B177" s="6" t="n">
        <f aca="false">Assumptions!$B$35</f>
        <v>441263.996662504</v>
      </c>
      <c r="C177" s="8" t="n">
        <f aca="true">NORMINV(RAND(),Assumptions!$B$14,Assumptions!$B$15)</f>
        <v>0.019735127567183</v>
      </c>
      <c r="D177" s="8" t="n">
        <f aca="true">NORMINV(RAND(),Assumptions!$B$14,Assumptions!$B$15)</f>
        <v>0.0427737309367194</v>
      </c>
      <c r="E177" s="8" t="n">
        <f aca="true">NORMINV(RAND(),Assumptions!$B$14,Assumptions!$B$15)</f>
        <v>0.0580871849369107</v>
      </c>
      <c r="F177" s="8" t="n">
        <f aca="true">NORMINV(RAND(),Assumptions!$B$14,Assumptions!$B$15)</f>
        <v>0.0574543169785514</v>
      </c>
      <c r="G177" s="8" t="n">
        <f aca="true">NORMINV(RAND(),Assumptions!$B$14,Assumptions!$B$15)</f>
        <v>0.0729904811184304</v>
      </c>
      <c r="H177" s="8" t="n">
        <f aca="true">NORMINV(RAND(),Assumptions!$B$14,Assumptions!$B$15)</f>
        <v>0.0608400895915323</v>
      </c>
      <c r="I177" s="8" t="n">
        <f aca="true">NORMINV(RAND(),Assumptions!$B$14,Assumptions!$B$15)</f>
        <v>0.04725393789053</v>
      </c>
      <c r="J177" s="8" t="n">
        <f aca="true">NORMINV(RAND(),Assumptions!$B$14,Assumptions!$B$15)</f>
        <v>0.0577219238881833</v>
      </c>
      <c r="K177" s="8" t="n">
        <f aca="true">NORMINV(RAND(),Assumptions!$B$14,Assumptions!$B$15)</f>
        <v>0.0526742162457703</v>
      </c>
      <c r="L177" s="8" t="n">
        <f aca="true">NORMINV(RAND(),Assumptions!$B$14,Assumptions!$B$15)</f>
        <v>0.0321188209935036</v>
      </c>
      <c r="M177" s="6" t="n">
        <f aca="false">B177-Assumptions!$B$29</f>
        <v>391263.996662504</v>
      </c>
      <c r="N177" s="6" t="n">
        <f aca="false">W177-Assumptions!$B$29</f>
        <v>348985.641549084</v>
      </c>
      <c r="O177" s="6" t="n">
        <f aca="false">X177-Assumptions!$B$29</f>
        <v>313913.059481483</v>
      </c>
      <c r="P177" s="6" t="n">
        <f aca="false">Y177-Assumptions!$B$29</f>
        <v>282147.385421695</v>
      </c>
      <c r="Q177" s="6" t="n">
        <f aca="false">Z177-Assumptions!$B$29</f>
        <v>248357.970738383</v>
      </c>
      <c r="R177" s="6" t="n">
        <f aca="false">AA177-Assumptions!$B$29</f>
        <v>216485.738512174</v>
      </c>
      <c r="S177" s="6" t="n">
        <f aca="false">AB177-Assumptions!$B$29</f>
        <v>179656.750238544</v>
      </c>
      <c r="T177" s="6" t="n">
        <f aca="false">AC177-Assumptions!$B$29</f>
        <v>138146.239155931</v>
      </c>
      <c r="U177" s="6" t="n">
        <f aca="false">AD177-Assumptions!$B$29</f>
        <v>96120.3058579282</v>
      </c>
      <c r="V177" s="6" t="n">
        <f aca="false">AE177-Assumptions!$B$29</f>
        <v>51183.3676342982</v>
      </c>
      <c r="W177" s="6" t="n">
        <f aca="false">M177*(1+C177)</f>
        <v>398985.641549084</v>
      </c>
      <c r="X177" s="6" t="n">
        <f aca="false">N177*(1+D177)</f>
        <v>363913.059481483</v>
      </c>
      <c r="Y177" s="6" t="n">
        <f aca="false">O177*(1+E177)</f>
        <v>332147.385421695</v>
      </c>
      <c r="Z177" s="6" t="n">
        <f aca="false">P177*(1+F177)</f>
        <v>298357.970738383</v>
      </c>
      <c r="AA177" s="6" t="n">
        <f aca="false">Q177*(1+G177)</f>
        <v>266485.738512174</v>
      </c>
      <c r="AB177" s="6" t="n">
        <f aca="false">R177*(1+H177)</f>
        <v>229656.750238544</v>
      </c>
      <c r="AC177" s="6" t="n">
        <f aca="false">S177*(1+I177)</f>
        <v>188146.239155931</v>
      </c>
      <c r="AD177" s="6" t="n">
        <f aca="false">T177*(1+J177)</f>
        <v>146120.305857928</v>
      </c>
      <c r="AE177" s="6" t="n">
        <f aca="false">U177*(1+K177)</f>
        <v>101183.367634298</v>
      </c>
      <c r="AF177" s="6" t="n">
        <f aca="false">V177*(1+L177)</f>
        <v>52827.3170571889</v>
      </c>
      <c r="AG177" s="6" t="n">
        <f aca="false">MIN(M177:V177)</f>
        <v>51183.3676342982</v>
      </c>
      <c r="AH177" s="19" t="n">
        <f aca="false">IF(AG177&gt;=0,1,0)</f>
        <v>1</v>
      </c>
    </row>
    <row r="178" customFormat="false" ht="15" hidden="false" customHeight="false" outlineLevel="0" collapsed="false">
      <c r="A178" s="0" t="n">
        <f aca="false">ROW()-1</f>
        <v>177</v>
      </c>
      <c r="B178" s="6" t="n">
        <f aca="false">Assumptions!$B$35</f>
        <v>441263.996662504</v>
      </c>
      <c r="C178" s="8" t="n">
        <f aca="true">NORMINV(RAND(),Assumptions!$B$14,Assumptions!$B$15)</f>
        <v>0.0403686402156316</v>
      </c>
      <c r="D178" s="8" t="n">
        <f aca="true">NORMINV(RAND(),Assumptions!$B$14,Assumptions!$B$15)</f>
        <v>0.103565498309936</v>
      </c>
      <c r="E178" s="8" t="n">
        <f aca="true">NORMINV(RAND(),Assumptions!$B$14,Assumptions!$B$15)</f>
        <v>0.0562662264091352</v>
      </c>
      <c r="F178" s="8" t="n">
        <f aca="true">NORMINV(RAND(),Assumptions!$B$14,Assumptions!$B$15)</f>
        <v>0.0538500266195471</v>
      </c>
      <c r="G178" s="8" t="n">
        <f aca="true">NORMINV(RAND(),Assumptions!$B$14,Assumptions!$B$15)</f>
        <v>0.0180268053598137</v>
      </c>
      <c r="H178" s="8" t="n">
        <f aca="true">NORMINV(RAND(),Assumptions!$B$14,Assumptions!$B$15)</f>
        <v>0.0217302900298223</v>
      </c>
      <c r="I178" s="8" t="n">
        <f aca="true">NORMINV(RAND(),Assumptions!$B$14,Assumptions!$B$15)</f>
        <v>0.0467246143645955</v>
      </c>
      <c r="J178" s="8" t="n">
        <f aca="true">NORMINV(RAND(),Assumptions!$B$14,Assumptions!$B$15)</f>
        <v>0.0657611674504289</v>
      </c>
      <c r="K178" s="8" t="n">
        <f aca="true">NORMINV(RAND(),Assumptions!$B$14,Assumptions!$B$15)</f>
        <v>-0.0159103619028105</v>
      </c>
      <c r="L178" s="8" t="n">
        <f aca="true">NORMINV(RAND(),Assumptions!$B$14,Assumptions!$B$15)</f>
        <v>0.0434255041801233</v>
      </c>
      <c r="M178" s="6" t="n">
        <f aca="false">B178-Assumptions!$B$29</f>
        <v>391263.996662504</v>
      </c>
      <c r="N178" s="6" t="n">
        <f aca="false">W178-Assumptions!$B$29</f>
        <v>357058.792173102</v>
      </c>
      <c r="O178" s="6" t="n">
        <f aca="false">X178-Assumptions!$B$29</f>
        <v>344037.763910453</v>
      </c>
      <c r="P178" s="6" t="n">
        <f aca="false">Y178-Assumptions!$B$29</f>
        <v>313395.470627931</v>
      </c>
      <c r="Q178" s="6" t="n">
        <f aca="false">Z178-Assumptions!$B$29</f>
        <v>280271.825063691</v>
      </c>
      <c r="R178" s="6" t="n">
        <f aca="false">AA178-Assumptions!$B$29</f>
        <v>235324.230701954</v>
      </c>
      <c r="S178" s="6" t="n">
        <f aca="false">AB178-Assumptions!$B$29</f>
        <v>190437.894486152</v>
      </c>
      <c r="T178" s="6" t="n">
        <f aca="false">AC178-Assumptions!$B$29</f>
        <v>149336.031666423</v>
      </c>
      <c r="U178" s="6" t="n">
        <f aca="false">AD178-Assumptions!$B$29</f>
        <v>109156.543451221</v>
      </c>
      <c r="V178" s="6" t="n">
        <f aca="false">AE178-Assumptions!$B$29</f>
        <v>57419.8233408525</v>
      </c>
      <c r="W178" s="6" t="n">
        <f aca="false">M178*(1+C178)</f>
        <v>407058.792173102</v>
      </c>
      <c r="X178" s="6" t="n">
        <f aca="false">N178*(1+D178)</f>
        <v>394037.763910453</v>
      </c>
      <c r="Y178" s="6" t="n">
        <f aca="false">O178*(1+E178)</f>
        <v>363395.470627931</v>
      </c>
      <c r="Z178" s="6" t="n">
        <f aca="false">P178*(1+F178)</f>
        <v>330271.825063691</v>
      </c>
      <c r="AA178" s="6" t="n">
        <f aca="false">Q178*(1+G178)</f>
        <v>285324.230701954</v>
      </c>
      <c r="AB178" s="6" t="n">
        <f aca="false">R178*(1+H178)</f>
        <v>240437.894486152</v>
      </c>
      <c r="AC178" s="6" t="n">
        <f aca="false">S178*(1+I178)</f>
        <v>199336.031666423</v>
      </c>
      <c r="AD178" s="6" t="n">
        <f aca="false">T178*(1+J178)</f>
        <v>159156.543451221</v>
      </c>
      <c r="AE178" s="6" t="n">
        <f aca="false">U178*(1+K178)</f>
        <v>107419.823340852</v>
      </c>
      <c r="AF178" s="6" t="n">
        <f aca="false">V178*(1+L178)</f>
        <v>59913.3081193626</v>
      </c>
      <c r="AG178" s="6" t="n">
        <f aca="false">MIN(M178:V178)</f>
        <v>57419.8233408525</v>
      </c>
      <c r="AH178" s="19" t="n">
        <f aca="false">IF(AG178&gt;=0,1,0)</f>
        <v>1</v>
      </c>
    </row>
    <row r="179" customFormat="false" ht="15" hidden="false" customHeight="false" outlineLevel="0" collapsed="false">
      <c r="A179" s="0" t="n">
        <f aca="false">ROW()-1</f>
        <v>178</v>
      </c>
      <c r="B179" s="6" t="n">
        <f aca="false">Assumptions!$B$35</f>
        <v>441263.996662504</v>
      </c>
      <c r="C179" s="8" t="n">
        <f aca="true">NORMINV(RAND(),Assumptions!$B$14,Assumptions!$B$15)</f>
        <v>0.0600980004660739</v>
      </c>
      <c r="D179" s="8" t="n">
        <f aca="true">NORMINV(RAND(),Assumptions!$B$14,Assumptions!$B$15)</f>
        <v>0.0860035543136668</v>
      </c>
      <c r="E179" s="8" t="n">
        <f aca="true">NORMINV(RAND(),Assumptions!$B$14,Assumptions!$B$15)</f>
        <v>0.0931964420343894</v>
      </c>
      <c r="F179" s="8" t="n">
        <f aca="true">NORMINV(RAND(),Assumptions!$B$14,Assumptions!$B$15)</f>
        <v>0.0999021297253529</v>
      </c>
      <c r="G179" s="8" t="n">
        <f aca="true">NORMINV(RAND(),Assumptions!$B$14,Assumptions!$B$15)</f>
        <v>0.0750954114258467</v>
      </c>
      <c r="H179" s="8" t="n">
        <f aca="true">NORMINV(RAND(),Assumptions!$B$14,Assumptions!$B$15)</f>
        <v>-0.0245386963686315</v>
      </c>
      <c r="I179" s="8" t="n">
        <f aca="true">NORMINV(RAND(),Assumptions!$B$14,Assumptions!$B$15)</f>
        <v>-0.00766945772769771</v>
      </c>
      <c r="J179" s="8" t="n">
        <f aca="true">NORMINV(RAND(),Assumptions!$B$14,Assumptions!$B$15)</f>
        <v>0.0120459636055425</v>
      </c>
      <c r="K179" s="8" t="n">
        <f aca="true">NORMINV(RAND(),Assumptions!$B$14,Assumptions!$B$15)</f>
        <v>0.031852842702808</v>
      </c>
      <c r="L179" s="8" t="n">
        <f aca="true">NORMINV(RAND(),Assumptions!$B$14,Assumptions!$B$15)</f>
        <v>0.00827458096607248</v>
      </c>
      <c r="M179" s="6" t="n">
        <f aca="false">B179-Assumptions!$B$29</f>
        <v>391263.996662504</v>
      </c>
      <c r="N179" s="6" t="n">
        <f aca="false">W179-Assumptions!$B$29</f>
        <v>364778.180516285</v>
      </c>
      <c r="O179" s="6" t="n">
        <f aca="false">X179-Assumptions!$B$29</f>
        <v>346150.400576757</v>
      </c>
      <c r="P179" s="6" t="n">
        <f aca="false">Y179-Assumptions!$B$29</f>
        <v>328410.38631929</v>
      </c>
      <c r="Q179" s="6" t="n">
        <f aca="false">Z179-Assumptions!$B$29</f>
        <v>311219.283336513</v>
      </c>
      <c r="R179" s="6" t="n">
        <f aca="false">AA179-Assumptions!$B$29</f>
        <v>284590.423462325</v>
      </c>
      <c r="S179" s="6" t="n">
        <f aca="false">AB179-Assumptions!$B$29</f>
        <v>227606.945471563</v>
      </c>
      <c r="T179" s="6" t="n">
        <f aca="false">AC179-Assumptions!$B$29</f>
        <v>175861.323624739</v>
      </c>
      <c r="U179" s="6" t="n">
        <f aca="false">AD179-Assumptions!$B$29</f>
        <v>127979.742728745</v>
      </c>
      <c r="V179" s="6" t="n">
        <f aca="false">AE179-Assumptions!$B$29</f>
        <v>82056.2613430292</v>
      </c>
      <c r="W179" s="6" t="n">
        <f aca="false">M179*(1+C179)</f>
        <v>414778.180516285</v>
      </c>
      <c r="X179" s="6" t="n">
        <f aca="false">N179*(1+D179)</f>
        <v>396150.400576757</v>
      </c>
      <c r="Y179" s="6" t="n">
        <f aca="false">O179*(1+E179)</f>
        <v>378410.38631929</v>
      </c>
      <c r="Z179" s="6" t="n">
        <f aca="false">P179*(1+F179)</f>
        <v>361219.283336513</v>
      </c>
      <c r="AA179" s="6" t="n">
        <f aca="false">Q179*(1+G179)</f>
        <v>334590.423462325</v>
      </c>
      <c r="AB179" s="6" t="n">
        <f aca="false">R179*(1+H179)</f>
        <v>277606.945471563</v>
      </c>
      <c r="AC179" s="6" t="n">
        <f aca="false">S179*(1+I179)</f>
        <v>225861.323624739</v>
      </c>
      <c r="AD179" s="6" t="n">
        <f aca="false">T179*(1+J179)</f>
        <v>177979.742728745</v>
      </c>
      <c r="AE179" s="6" t="n">
        <f aca="false">U179*(1+K179)</f>
        <v>132056.261343029</v>
      </c>
      <c r="AF179" s="6" t="n">
        <f aca="false">V179*(1+L179)</f>
        <v>82735.2425212853</v>
      </c>
      <c r="AG179" s="6" t="n">
        <f aca="false">MIN(M179:V179)</f>
        <v>82056.2613430292</v>
      </c>
      <c r="AH179" s="19" t="n">
        <f aca="false">IF(AG179&gt;=0,1,0)</f>
        <v>1</v>
      </c>
    </row>
    <row r="180" customFormat="false" ht="15" hidden="false" customHeight="false" outlineLevel="0" collapsed="false">
      <c r="A180" s="0" t="n">
        <f aca="false">ROW()-1</f>
        <v>179</v>
      </c>
      <c r="B180" s="6" t="n">
        <f aca="false">Assumptions!$B$35</f>
        <v>441263.996662504</v>
      </c>
      <c r="C180" s="8" t="n">
        <f aca="true">NORMINV(RAND(),Assumptions!$B$14,Assumptions!$B$15)</f>
        <v>0.0644218496091702</v>
      </c>
      <c r="D180" s="8" t="n">
        <f aca="true">NORMINV(RAND(),Assumptions!$B$14,Assumptions!$B$15)</f>
        <v>0.0580904398817036</v>
      </c>
      <c r="E180" s="8" t="n">
        <f aca="true">NORMINV(RAND(),Assumptions!$B$14,Assumptions!$B$15)</f>
        <v>0.0967856125979268</v>
      </c>
      <c r="F180" s="8" t="n">
        <f aca="true">NORMINV(RAND(),Assumptions!$B$14,Assumptions!$B$15)</f>
        <v>0.0280285331861664</v>
      </c>
      <c r="G180" s="8" t="n">
        <f aca="true">NORMINV(RAND(),Assumptions!$B$14,Assumptions!$B$15)</f>
        <v>0.00973644393490742</v>
      </c>
      <c r="H180" s="8" t="n">
        <f aca="true">NORMINV(RAND(),Assumptions!$B$14,Assumptions!$B$15)</f>
        <v>0.0448284290862248</v>
      </c>
      <c r="I180" s="8" t="n">
        <f aca="true">NORMINV(RAND(),Assumptions!$B$14,Assumptions!$B$15)</f>
        <v>0.00342563554422787</v>
      </c>
      <c r="J180" s="8" t="n">
        <f aca="true">NORMINV(RAND(),Assumptions!$B$14,Assumptions!$B$15)</f>
        <v>0.0159184531857669</v>
      </c>
      <c r="K180" s="8" t="n">
        <f aca="true">NORMINV(RAND(),Assumptions!$B$14,Assumptions!$B$15)</f>
        <v>0.0845112263997923</v>
      </c>
      <c r="L180" s="8" t="n">
        <f aca="true">NORMINV(RAND(),Assumptions!$B$14,Assumptions!$B$15)</f>
        <v>0.0587592856466503</v>
      </c>
      <c r="M180" s="6" t="n">
        <f aca="false">B180-Assumptions!$B$29</f>
        <v>391263.996662504</v>
      </c>
      <c r="N180" s="6" t="n">
        <f aca="false">W180-Assumptions!$B$29</f>
        <v>366469.947012978</v>
      </c>
      <c r="O180" s="6" t="n">
        <f aca="false">X180-Assumptions!$B$29</f>
        <v>337758.347438387</v>
      </c>
      <c r="P180" s="6" t="n">
        <f aca="false">Y180-Assumptions!$B$29</f>
        <v>320448.496005274</v>
      </c>
      <c r="Q180" s="6" t="n">
        <f aca="false">Z180-Assumptions!$B$29</f>
        <v>279430.197310015</v>
      </c>
      <c r="R180" s="6" t="n">
        <f aca="false">AA180-Assumptions!$B$29</f>
        <v>232150.853759845</v>
      </c>
      <c r="S180" s="6" t="n">
        <f aca="false">AB180-Assumptions!$B$29</f>
        <v>192557.811844924</v>
      </c>
      <c r="T180" s="6" t="n">
        <f aca="false">AC180-Assumptions!$B$29</f>
        <v>143217.444729499</v>
      </c>
      <c r="U180" s="6" t="n">
        <f aca="false">AD180-Assumptions!$B$29</f>
        <v>95497.2449188106</v>
      </c>
      <c r="V180" s="6" t="n">
        <f aca="false">AE180-Assumptions!$B$29</f>
        <v>53567.8342047007</v>
      </c>
      <c r="W180" s="6" t="n">
        <f aca="false">M180*(1+C180)</f>
        <v>416469.947012978</v>
      </c>
      <c r="X180" s="6" t="n">
        <f aca="false">N180*(1+D180)</f>
        <v>387758.347438387</v>
      </c>
      <c r="Y180" s="6" t="n">
        <f aca="false">O180*(1+E180)</f>
        <v>370448.496005274</v>
      </c>
      <c r="Z180" s="6" t="n">
        <f aca="false">P180*(1+F180)</f>
        <v>329430.197310015</v>
      </c>
      <c r="AA180" s="6" t="n">
        <f aca="false">Q180*(1+G180)</f>
        <v>282150.853759845</v>
      </c>
      <c r="AB180" s="6" t="n">
        <f aca="false">R180*(1+H180)</f>
        <v>242557.811844924</v>
      </c>
      <c r="AC180" s="6" t="n">
        <f aca="false">S180*(1+I180)</f>
        <v>193217.444729499</v>
      </c>
      <c r="AD180" s="6" t="n">
        <f aca="false">T180*(1+J180)</f>
        <v>145497.244918811</v>
      </c>
      <c r="AE180" s="6" t="n">
        <f aca="false">U180*(1+K180)</f>
        <v>103567.834204701</v>
      </c>
      <c r="AF180" s="6" t="n">
        <f aca="false">V180*(1+L180)</f>
        <v>56715.4418762071</v>
      </c>
      <c r="AG180" s="6" t="n">
        <f aca="false">MIN(M180:V180)</f>
        <v>53567.8342047007</v>
      </c>
      <c r="AH180" s="19" t="n">
        <f aca="false">IF(AG180&gt;=0,1,0)</f>
        <v>1</v>
      </c>
    </row>
    <row r="181" customFormat="false" ht="15" hidden="false" customHeight="false" outlineLevel="0" collapsed="false">
      <c r="A181" s="0" t="n">
        <f aca="false">ROW()-1</f>
        <v>180</v>
      </c>
      <c r="B181" s="6" t="n">
        <f aca="false">Assumptions!$B$35</f>
        <v>441263.996662504</v>
      </c>
      <c r="C181" s="8" t="n">
        <f aca="true">NORMINV(RAND(),Assumptions!$B$14,Assumptions!$B$15)</f>
        <v>0.0344426718961229</v>
      </c>
      <c r="D181" s="8" t="n">
        <f aca="true">NORMINV(RAND(),Assumptions!$B$14,Assumptions!$B$15)</f>
        <v>0.0662105854377272</v>
      </c>
      <c r="E181" s="8" t="n">
        <f aca="true">NORMINV(RAND(),Assumptions!$B$14,Assumptions!$B$15)</f>
        <v>0.0164220472004641</v>
      </c>
      <c r="F181" s="8" t="n">
        <f aca="true">NORMINV(RAND(),Assumptions!$B$14,Assumptions!$B$15)</f>
        <v>0.0343892977882124</v>
      </c>
      <c r="G181" s="8" t="n">
        <f aca="true">NORMINV(RAND(),Assumptions!$B$14,Assumptions!$B$15)</f>
        <v>0.0149506421579176</v>
      </c>
      <c r="H181" s="8" t="n">
        <f aca="true">NORMINV(RAND(),Assumptions!$B$14,Assumptions!$B$15)</f>
        <v>0.0330007992849911</v>
      </c>
      <c r="I181" s="8" t="n">
        <f aca="true">NORMINV(RAND(),Assumptions!$B$14,Assumptions!$B$15)</f>
        <v>0.0875435050088135</v>
      </c>
      <c r="J181" s="8" t="n">
        <f aca="true">NORMINV(RAND(),Assumptions!$B$14,Assumptions!$B$15)</f>
        <v>0.000522784099683926</v>
      </c>
      <c r="K181" s="8" t="n">
        <f aca="true">NORMINV(RAND(),Assumptions!$B$14,Assumptions!$B$15)</f>
        <v>0.0521791422017535</v>
      </c>
      <c r="L181" s="8" t="n">
        <f aca="true">NORMINV(RAND(),Assumptions!$B$14,Assumptions!$B$15)</f>
        <v>0.0492004147908313</v>
      </c>
      <c r="M181" s="6" t="n">
        <f aca="false">B181-Assumptions!$B$29</f>
        <v>391263.996662504</v>
      </c>
      <c r="N181" s="6" t="n">
        <f aca="false">W181-Assumptions!$B$29</f>
        <v>354740.174124316</v>
      </c>
      <c r="O181" s="6" t="n">
        <f aca="false">X181-Assumptions!$B$29</f>
        <v>328227.728731368</v>
      </c>
      <c r="P181" s="6" t="n">
        <f aca="false">Y181-Assumptions!$B$29</f>
        <v>283617.899985096</v>
      </c>
      <c r="Q181" s="6" t="n">
        <f aca="false">Z181-Assumptions!$B$29</f>
        <v>243371.320405751</v>
      </c>
      <c r="R181" s="6" t="n">
        <f aca="false">AA181-Assumptions!$B$29</f>
        <v>197009.877928637</v>
      </c>
      <c r="S181" s="6" t="n">
        <f aca="false">AB181-Assumptions!$B$29</f>
        <v>153511.361367321</v>
      </c>
      <c r="T181" s="6" t="n">
        <f aca="false">AC181-Assumptions!$B$29</f>
        <v>116950.28400009</v>
      </c>
      <c r="U181" s="6" t="n">
        <f aca="false">AD181-Assumptions!$B$29</f>
        <v>67011.4237490191</v>
      </c>
      <c r="V181" s="6" t="n">
        <f aca="false">AE181-Assumptions!$B$29</f>
        <v>20508.0223579611</v>
      </c>
      <c r="W181" s="6" t="n">
        <f aca="false">M181*(1+C181)</f>
        <v>404740.174124316</v>
      </c>
      <c r="X181" s="6" t="n">
        <f aca="false">N181*(1+D181)</f>
        <v>378227.728731368</v>
      </c>
      <c r="Y181" s="6" t="n">
        <f aca="false">O181*(1+E181)</f>
        <v>333617.899985096</v>
      </c>
      <c r="Z181" s="6" t="n">
        <f aca="false">P181*(1+F181)</f>
        <v>293371.320405751</v>
      </c>
      <c r="AA181" s="6" t="n">
        <f aca="false">Q181*(1+G181)</f>
        <v>247009.877928637</v>
      </c>
      <c r="AB181" s="6" t="n">
        <f aca="false">R181*(1+H181)</f>
        <v>203511.361367321</v>
      </c>
      <c r="AC181" s="6" t="n">
        <f aca="false">S181*(1+I181)</f>
        <v>166950.28400009</v>
      </c>
      <c r="AD181" s="6" t="n">
        <f aca="false">T181*(1+J181)</f>
        <v>117011.423749019</v>
      </c>
      <c r="AE181" s="6" t="n">
        <f aca="false">U181*(1+K181)</f>
        <v>70508.0223579611</v>
      </c>
      <c r="AF181" s="6" t="n">
        <f aca="false">V181*(1+L181)</f>
        <v>21517.0255645125</v>
      </c>
      <c r="AG181" s="6" t="n">
        <f aca="false">MIN(M181:V181)</f>
        <v>20508.0223579611</v>
      </c>
      <c r="AH181" s="19" t="n">
        <f aca="false">IF(AG181&gt;=0,1,0)</f>
        <v>1</v>
      </c>
    </row>
    <row r="182" customFormat="false" ht="15" hidden="false" customHeight="false" outlineLevel="0" collapsed="false">
      <c r="A182" s="0" t="n">
        <f aca="false">ROW()-1</f>
        <v>181</v>
      </c>
      <c r="B182" s="6" t="n">
        <f aca="false">Assumptions!$B$35</f>
        <v>441263.996662504</v>
      </c>
      <c r="C182" s="8" t="n">
        <f aca="true">NORMINV(RAND(),Assumptions!$B$14,Assumptions!$B$15)</f>
        <v>0.0493993640389946</v>
      </c>
      <c r="D182" s="8" t="n">
        <f aca="true">NORMINV(RAND(),Assumptions!$B$14,Assumptions!$B$15)</f>
        <v>0.084120196229545</v>
      </c>
      <c r="E182" s="8" t="n">
        <f aca="true">NORMINV(RAND(),Assumptions!$B$14,Assumptions!$B$15)</f>
        <v>0.084145848434686</v>
      </c>
      <c r="F182" s="8" t="n">
        <f aca="true">NORMINV(RAND(),Assumptions!$B$14,Assumptions!$B$15)</f>
        <v>0.06618538041036</v>
      </c>
      <c r="G182" s="8" t="n">
        <f aca="true">NORMINV(RAND(),Assumptions!$B$14,Assumptions!$B$15)</f>
        <v>0.0408052925839788</v>
      </c>
      <c r="H182" s="8" t="n">
        <f aca="true">NORMINV(RAND(),Assumptions!$B$14,Assumptions!$B$15)</f>
        <v>0.116632845598636</v>
      </c>
      <c r="I182" s="8" t="n">
        <f aca="true">NORMINV(RAND(),Assumptions!$B$14,Assumptions!$B$15)</f>
        <v>0.0260708319800375</v>
      </c>
      <c r="J182" s="8" t="n">
        <f aca="true">NORMINV(RAND(),Assumptions!$B$14,Assumptions!$B$15)</f>
        <v>0.067809284107268</v>
      </c>
      <c r="K182" s="8" t="n">
        <f aca="true">NORMINV(RAND(),Assumptions!$B$14,Assumptions!$B$15)</f>
        <v>0.071970111075169</v>
      </c>
      <c r="L182" s="8" t="n">
        <f aca="true">NORMINV(RAND(),Assumptions!$B$14,Assumptions!$B$15)</f>
        <v>0.0863288734529181</v>
      </c>
      <c r="M182" s="6" t="n">
        <f aca="false">B182-Assumptions!$B$29</f>
        <v>391263.996662504</v>
      </c>
      <c r="N182" s="6" t="n">
        <f aca="false">W182-Assumptions!$B$29</f>
        <v>360592.189268987</v>
      </c>
      <c r="O182" s="6" t="n">
        <f aca="false">X182-Assumptions!$B$29</f>
        <v>340925.274989135</v>
      </c>
      <c r="P182" s="6" t="n">
        <f aca="false">Y182-Assumptions!$B$29</f>
        <v>319612.721505924</v>
      </c>
      <c r="Q182" s="6" t="n">
        <f aca="false">Z182-Assumptions!$B$29</f>
        <v>290766.411062784</v>
      </c>
      <c r="R182" s="6" t="n">
        <f aca="false">AA182-Assumptions!$B$29</f>
        <v>252631.219539795</v>
      </c>
      <c r="S182" s="6" t="n">
        <f aca="false">AB182-Assumptions!$B$29</f>
        <v>232096.317561775</v>
      </c>
      <c r="T182" s="6" t="n">
        <f aca="false">AC182-Assumptions!$B$29</f>
        <v>188147.261660113</v>
      </c>
      <c r="U182" s="6" t="n">
        <f aca="false">AD182-Assumptions!$B$29</f>
        <v>150905.392780028</v>
      </c>
      <c r="V182" s="6" t="n">
        <f aca="false">AE182-Assumptions!$B$29</f>
        <v>111766.070660249</v>
      </c>
      <c r="W182" s="6" t="n">
        <f aca="false">M182*(1+C182)</f>
        <v>410592.189268987</v>
      </c>
      <c r="X182" s="6" t="n">
        <f aca="false">N182*(1+D182)</f>
        <v>390925.274989135</v>
      </c>
      <c r="Y182" s="6" t="n">
        <f aca="false">O182*(1+E182)</f>
        <v>369612.721505924</v>
      </c>
      <c r="Z182" s="6" t="n">
        <f aca="false">P182*(1+F182)</f>
        <v>340766.411062784</v>
      </c>
      <c r="AA182" s="6" t="n">
        <f aca="false">Q182*(1+G182)</f>
        <v>302631.219539795</v>
      </c>
      <c r="AB182" s="6" t="n">
        <f aca="false">R182*(1+H182)</f>
        <v>282096.317561775</v>
      </c>
      <c r="AC182" s="6" t="n">
        <f aca="false">S182*(1+I182)</f>
        <v>238147.261660113</v>
      </c>
      <c r="AD182" s="6" t="n">
        <f aca="false">T182*(1+J182)</f>
        <v>200905.392780028</v>
      </c>
      <c r="AE182" s="6" t="n">
        <f aca="false">U182*(1+K182)</f>
        <v>161766.070660249</v>
      </c>
      <c r="AF182" s="6" t="n">
        <f aca="false">V182*(1+L182)</f>
        <v>121414.709630607</v>
      </c>
      <c r="AG182" s="6" t="n">
        <f aca="false">MIN(M182:V182)</f>
        <v>111766.070660249</v>
      </c>
      <c r="AH182" s="19" t="n">
        <f aca="false">IF(AG182&gt;=0,1,0)</f>
        <v>1</v>
      </c>
    </row>
    <row r="183" customFormat="false" ht="15" hidden="false" customHeight="false" outlineLevel="0" collapsed="false">
      <c r="A183" s="0" t="n">
        <f aca="false">ROW()-1</f>
        <v>182</v>
      </c>
      <c r="B183" s="6" t="n">
        <f aca="false">Assumptions!$B$35</f>
        <v>441263.996662504</v>
      </c>
      <c r="C183" s="8" t="n">
        <f aca="true">NORMINV(RAND(),Assumptions!$B$14,Assumptions!$B$15)</f>
        <v>0.0500862162139496</v>
      </c>
      <c r="D183" s="8" t="n">
        <f aca="true">NORMINV(RAND(),Assumptions!$B$14,Assumptions!$B$15)</f>
        <v>0.035541220863568</v>
      </c>
      <c r="E183" s="8" t="n">
        <f aca="true">NORMINV(RAND(),Assumptions!$B$14,Assumptions!$B$15)</f>
        <v>0.0518826758138242</v>
      </c>
      <c r="F183" s="8" t="n">
        <f aca="true">NORMINV(RAND(),Assumptions!$B$14,Assumptions!$B$15)</f>
        <v>0.042586698789875</v>
      </c>
      <c r="G183" s="8" t="n">
        <f aca="true">NORMINV(RAND(),Assumptions!$B$14,Assumptions!$B$15)</f>
        <v>0.0595805913441985</v>
      </c>
      <c r="H183" s="8" t="n">
        <f aca="true">NORMINV(RAND(),Assumptions!$B$14,Assumptions!$B$15)</f>
        <v>0.0465335611497131</v>
      </c>
      <c r="I183" s="8" t="n">
        <f aca="true">NORMINV(RAND(),Assumptions!$B$14,Assumptions!$B$15)</f>
        <v>0.080552922538798</v>
      </c>
      <c r="J183" s="8" t="n">
        <f aca="true">NORMINV(RAND(),Assumptions!$B$14,Assumptions!$B$15)</f>
        <v>0.0288820553955165</v>
      </c>
      <c r="K183" s="8" t="n">
        <f aca="true">NORMINV(RAND(),Assumptions!$B$14,Assumptions!$B$15)</f>
        <v>0.0450103759314508</v>
      </c>
      <c r="L183" s="8" t="n">
        <f aca="true">NORMINV(RAND(),Assumptions!$B$14,Assumptions!$B$15)</f>
        <v>0.0144797393249516</v>
      </c>
      <c r="M183" s="6" t="n">
        <f aca="false">B183-Assumptions!$B$29</f>
        <v>391263.996662504</v>
      </c>
      <c r="N183" s="6" t="n">
        <f aca="false">W183-Assumptions!$B$29</f>
        <v>360860.929796076</v>
      </c>
      <c r="O183" s="6" t="n">
        <f aca="false">X183-Assumptions!$B$29</f>
        <v>323686.367802991</v>
      </c>
      <c r="P183" s="6" t="n">
        <f aca="false">Y183-Assumptions!$B$29</f>
        <v>290480.082689067</v>
      </c>
      <c r="Q183" s="6" t="n">
        <f aca="false">Z183-Assumptions!$B$29</f>
        <v>252850.670475005</v>
      </c>
      <c r="R183" s="6" t="n">
        <f aca="false">AA183-Assumptions!$B$29</f>
        <v>217915.662943683</v>
      </c>
      <c r="S183" s="6" t="n">
        <f aca="false">AB183-Assumptions!$B$29</f>
        <v>178056.054770753</v>
      </c>
      <c r="T183" s="6" t="n">
        <f aca="false">AC183-Assumptions!$B$29</f>
        <v>142398.990358265</v>
      </c>
      <c r="U183" s="6" t="n">
        <f aca="false">AD183-Assumptions!$B$29</f>
        <v>96511.7658860581</v>
      </c>
      <c r="V183" s="6" t="n">
        <f aca="false">AE183-Assumptions!$B$29</f>
        <v>50855.7967503977</v>
      </c>
      <c r="W183" s="6" t="n">
        <f aca="false">M183*(1+C183)</f>
        <v>410860.929796076</v>
      </c>
      <c r="X183" s="6" t="n">
        <f aca="false">N183*(1+D183)</f>
        <v>373686.367802991</v>
      </c>
      <c r="Y183" s="6" t="n">
        <f aca="false">O183*(1+E183)</f>
        <v>340480.082689067</v>
      </c>
      <c r="Z183" s="6" t="n">
        <f aca="false">P183*(1+F183)</f>
        <v>302850.670475005</v>
      </c>
      <c r="AA183" s="6" t="n">
        <f aca="false">Q183*(1+G183)</f>
        <v>267915.662943683</v>
      </c>
      <c r="AB183" s="6" t="n">
        <f aca="false">R183*(1+H183)</f>
        <v>228056.054770753</v>
      </c>
      <c r="AC183" s="6" t="n">
        <f aca="false">S183*(1+I183)</f>
        <v>192398.990358265</v>
      </c>
      <c r="AD183" s="6" t="n">
        <f aca="false">T183*(1+J183)</f>
        <v>146511.765886058</v>
      </c>
      <c r="AE183" s="6" t="n">
        <f aca="false">U183*(1+K183)</f>
        <v>100855.796750398</v>
      </c>
      <c r="AF183" s="6" t="n">
        <f aca="false">V183*(1+L183)</f>
        <v>51592.1754305062</v>
      </c>
      <c r="AG183" s="6" t="n">
        <f aca="false">MIN(M183:V183)</f>
        <v>50855.7967503977</v>
      </c>
      <c r="AH183" s="19" t="n">
        <f aca="false">IF(AG183&gt;=0,1,0)</f>
        <v>1</v>
      </c>
    </row>
    <row r="184" customFormat="false" ht="15" hidden="false" customHeight="false" outlineLevel="0" collapsed="false">
      <c r="A184" s="0" t="n">
        <f aca="false">ROW()-1</f>
        <v>183</v>
      </c>
      <c r="B184" s="6" t="n">
        <f aca="false">Assumptions!$B$35</f>
        <v>441263.996662504</v>
      </c>
      <c r="C184" s="8" t="n">
        <f aca="true">NORMINV(RAND(),Assumptions!$B$14,Assumptions!$B$15)</f>
        <v>0.032831481304875</v>
      </c>
      <c r="D184" s="8" t="n">
        <f aca="true">NORMINV(RAND(),Assumptions!$B$14,Assumptions!$B$15)</f>
        <v>0.0746992646227936</v>
      </c>
      <c r="E184" s="8" t="n">
        <f aca="true">NORMINV(RAND(),Assumptions!$B$14,Assumptions!$B$15)</f>
        <v>0.0444943799519805</v>
      </c>
      <c r="F184" s="8" t="n">
        <f aca="true">NORMINV(RAND(),Assumptions!$B$14,Assumptions!$B$15)</f>
        <v>0.0584073047538332</v>
      </c>
      <c r="G184" s="8" t="n">
        <f aca="true">NORMINV(RAND(),Assumptions!$B$14,Assumptions!$B$15)</f>
        <v>0.0673780729367309</v>
      </c>
      <c r="H184" s="8" t="n">
        <f aca="true">NORMINV(RAND(),Assumptions!$B$14,Assumptions!$B$15)</f>
        <v>0.0519644588509673</v>
      </c>
      <c r="I184" s="8" t="n">
        <f aca="true">NORMINV(RAND(),Assumptions!$B$14,Assumptions!$B$15)</f>
        <v>0.0444558591149839</v>
      </c>
      <c r="J184" s="8" t="n">
        <f aca="true">NORMINV(RAND(),Assumptions!$B$14,Assumptions!$B$15)</f>
        <v>0.0696746163762787</v>
      </c>
      <c r="K184" s="8" t="n">
        <f aca="true">NORMINV(RAND(),Assumptions!$B$14,Assumptions!$B$15)</f>
        <v>0.0191837905223928</v>
      </c>
      <c r="L184" s="8" t="n">
        <f aca="true">NORMINV(RAND(),Assumptions!$B$14,Assumptions!$B$15)</f>
        <v>0.00369730278121358</v>
      </c>
      <c r="M184" s="6" t="n">
        <f aca="false">B184-Assumptions!$B$29</f>
        <v>391263.996662504</v>
      </c>
      <c r="N184" s="6" t="n">
        <f aca="false">W184-Assumptions!$B$29</f>
        <v>354109.773254199</v>
      </c>
      <c r="O184" s="6" t="n">
        <f aca="false">X184-Assumptions!$B$29</f>
        <v>330561.512912032</v>
      </c>
      <c r="P184" s="6" t="n">
        <f aca="false">Y184-Assumptions!$B$29</f>
        <v>295269.642465041</v>
      </c>
      <c r="Q184" s="6" t="n">
        <f aca="false">Z184-Assumptions!$B$29</f>
        <v>262515.546457052</v>
      </c>
      <c r="R184" s="6" t="n">
        <f aca="false">AA184-Assumptions!$B$29</f>
        <v>230203.338093261</v>
      </c>
      <c r="S184" s="6" t="n">
        <f aca="false">AB184-Assumptions!$B$29</f>
        <v>192165.729982964</v>
      </c>
      <c r="T184" s="6" t="n">
        <f aca="false">AC184-Assumptions!$B$29</f>
        <v>150708.622601815</v>
      </c>
      <c r="U184" s="6" t="n">
        <f aca="false">AD184-Assumptions!$B$29</f>
        <v>111209.188066194</v>
      </c>
      <c r="V184" s="6" t="n">
        <f aca="false">AE184-Assumptions!$B$29</f>
        <v>63342.6018342208</v>
      </c>
      <c r="W184" s="6" t="n">
        <f aca="false">M184*(1+C184)</f>
        <v>404109.773254199</v>
      </c>
      <c r="X184" s="6" t="n">
        <f aca="false">N184*(1+D184)</f>
        <v>380561.512912032</v>
      </c>
      <c r="Y184" s="6" t="n">
        <f aca="false">O184*(1+E184)</f>
        <v>345269.642465041</v>
      </c>
      <c r="Z184" s="6" t="n">
        <f aca="false">P184*(1+F184)</f>
        <v>312515.546457052</v>
      </c>
      <c r="AA184" s="6" t="n">
        <f aca="false">Q184*(1+G184)</f>
        <v>280203.338093261</v>
      </c>
      <c r="AB184" s="6" t="n">
        <f aca="false">R184*(1+H184)</f>
        <v>242165.729982964</v>
      </c>
      <c r="AC184" s="6" t="n">
        <f aca="false">S184*(1+I184)</f>
        <v>200708.622601815</v>
      </c>
      <c r="AD184" s="6" t="n">
        <f aca="false">T184*(1+J184)</f>
        <v>161209.188066194</v>
      </c>
      <c r="AE184" s="6" t="n">
        <f aca="false">U184*(1+K184)</f>
        <v>113342.601834221</v>
      </c>
      <c r="AF184" s="6" t="n">
        <f aca="false">V184*(1+L184)</f>
        <v>63576.7986121518</v>
      </c>
      <c r="AG184" s="6" t="n">
        <f aca="false">MIN(M184:V184)</f>
        <v>63342.6018342208</v>
      </c>
      <c r="AH184" s="19" t="n">
        <f aca="false">IF(AG184&gt;=0,1,0)</f>
        <v>1</v>
      </c>
    </row>
    <row r="185" customFormat="false" ht="15" hidden="false" customHeight="false" outlineLevel="0" collapsed="false">
      <c r="A185" s="0" t="n">
        <f aca="false">ROW()-1</f>
        <v>184</v>
      </c>
      <c r="B185" s="6" t="n">
        <f aca="false">Assumptions!$B$35</f>
        <v>441263.996662504</v>
      </c>
      <c r="C185" s="8" t="n">
        <f aca="true">NORMINV(RAND(),Assumptions!$B$14,Assumptions!$B$15)</f>
        <v>0.0457211195325082</v>
      </c>
      <c r="D185" s="8" t="n">
        <f aca="true">NORMINV(RAND(),Assumptions!$B$14,Assumptions!$B$15)</f>
        <v>0.0286826950617433</v>
      </c>
      <c r="E185" s="8" t="n">
        <f aca="true">NORMINV(RAND(),Assumptions!$B$14,Assumptions!$B$15)</f>
        <v>-0.0145596687515039</v>
      </c>
      <c r="F185" s="8" t="n">
        <f aca="true">NORMINV(RAND(),Assumptions!$B$14,Assumptions!$B$15)</f>
        <v>0.0227659166358553</v>
      </c>
      <c r="G185" s="8" t="n">
        <f aca="true">NORMINV(RAND(),Assumptions!$B$14,Assumptions!$B$15)</f>
        <v>0.0540849582025719</v>
      </c>
      <c r="H185" s="8" t="n">
        <f aca="true">NORMINV(RAND(),Assumptions!$B$14,Assumptions!$B$15)</f>
        <v>0.111665211107803</v>
      </c>
      <c r="I185" s="8" t="n">
        <f aca="true">NORMINV(RAND(),Assumptions!$B$14,Assumptions!$B$15)</f>
        <v>0.0685286900174744</v>
      </c>
      <c r="J185" s="8" t="n">
        <f aca="true">NORMINV(RAND(),Assumptions!$B$14,Assumptions!$B$15)</f>
        <v>0.0792891356945108</v>
      </c>
      <c r="K185" s="8" t="n">
        <f aca="true">NORMINV(RAND(),Assumptions!$B$14,Assumptions!$B$15)</f>
        <v>0.0376418265550466</v>
      </c>
      <c r="L185" s="8" t="n">
        <f aca="true">NORMINV(RAND(),Assumptions!$B$14,Assumptions!$B$15)</f>
        <v>0.0761577117888797</v>
      </c>
      <c r="M185" s="6" t="n">
        <f aca="false">B185-Assumptions!$B$29</f>
        <v>391263.996662504</v>
      </c>
      <c r="N185" s="6" t="n">
        <f aca="false">W185-Assumptions!$B$29</f>
        <v>359153.024622677</v>
      </c>
      <c r="O185" s="6" t="n">
        <f aca="false">X185-Assumptions!$B$29</f>
        <v>319454.501308432</v>
      </c>
      <c r="P185" s="6" t="n">
        <f aca="false">Y185-Assumptions!$B$29</f>
        <v>264803.349588204</v>
      </c>
      <c r="Q185" s="6" t="n">
        <f aca="false">Z185-Assumptions!$B$29</f>
        <v>220831.840569824</v>
      </c>
      <c r="R185" s="6" t="n">
        <f aca="false">AA185-Assumptions!$B$29</f>
        <v>182775.52143684</v>
      </c>
      <c r="S185" s="6" t="n">
        <f aca="false">AB185-Assumptions!$B$29</f>
        <v>153185.188623424</v>
      </c>
      <c r="T185" s="6" t="n">
        <f aca="false">AC185-Assumptions!$B$29</f>
        <v>113682.768929867</v>
      </c>
      <c r="U185" s="6" t="n">
        <f aca="false">AD185-Assumptions!$B$29</f>
        <v>72696.577421675</v>
      </c>
      <c r="V185" s="6" t="n">
        <f aca="false">AE185-Assumptions!$B$29</f>
        <v>25433.0093801272</v>
      </c>
      <c r="W185" s="6" t="n">
        <f aca="false">M185*(1+C185)</f>
        <v>409153.024622677</v>
      </c>
      <c r="X185" s="6" t="n">
        <f aca="false">N185*(1+D185)</f>
        <v>369454.501308432</v>
      </c>
      <c r="Y185" s="6" t="n">
        <f aca="false">O185*(1+E185)</f>
        <v>314803.349588204</v>
      </c>
      <c r="Z185" s="6" t="n">
        <f aca="false">P185*(1+F185)</f>
        <v>270831.840569824</v>
      </c>
      <c r="AA185" s="6" t="n">
        <f aca="false">Q185*(1+G185)</f>
        <v>232775.52143684</v>
      </c>
      <c r="AB185" s="6" t="n">
        <f aca="false">R185*(1+H185)</f>
        <v>203185.188623424</v>
      </c>
      <c r="AC185" s="6" t="n">
        <f aca="false">S185*(1+I185)</f>
        <v>163682.768929867</v>
      </c>
      <c r="AD185" s="6" t="n">
        <f aca="false">T185*(1+J185)</f>
        <v>122696.577421675</v>
      </c>
      <c r="AE185" s="6" t="n">
        <f aca="false">U185*(1+K185)</f>
        <v>75433.0093801272</v>
      </c>
      <c r="AF185" s="6" t="n">
        <f aca="false">V185*(1+L185)</f>
        <v>27369.9291784228</v>
      </c>
      <c r="AG185" s="6" t="n">
        <f aca="false">MIN(M185:V185)</f>
        <v>25433.0093801272</v>
      </c>
      <c r="AH185" s="19" t="n">
        <f aca="false">IF(AG185&gt;=0,1,0)</f>
        <v>1</v>
      </c>
    </row>
    <row r="186" customFormat="false" ht="15" hidden="false" customHeight="false" outlineLevel="0" collapsed="false">
      <c r="A186" s="0" t="n">
        <f aca="false">ROW()-1</f>
        <v>185</v>
      </c>
      <c r="B186" s="6" t="n">
        <f aca="false">Assumptions!$B$35</f>
        <v>441263.996662504</v>
      </c>
      <c r="C186" s="8" t="n">
        <f aca="true">NORMINV(RAND(),Assumptions!$B$14,Assumptions!$B$15)</f>
        <v>0.127565608160657</v>
      </c>
      <c r="D186" s="8" t="n">
        <f aca="true">NORMINV(RAND(),Assumptions!$B$14,Assumptions!$B$15)</f>
        <v>0.0501706601105226</v>
      </c>
      <c r="E186" s="8" t="n">
        <f aca="true">NORMINV(RAND(),Assumptions!$B$14,Assumptions!$B$15)</f>
        <v>0.0843691724836543</v>
      </c>
      <c r="F186" s="8" t="n">
        <f aca="true">NORMINV(RAND(),Assumptions!$B$14,Assumptions!$B$15)</f>
        <v>0.0848432404608563</v>
      </c>
      <c r="G186" s="8" t="n">
        <f aca="true">NORMINV(RAND(),Assumptions!$B$14,Assumptions!$B$15)</f>
        <v>0.0359938744206049</v>
      </c>
      <c r="H186" s="8" t="n">
        <f aca="true">NORMINV(RAND(),Assumptions!$B$14,Assumptions!$B$15)</f>
        <v>0.0739157218916069</v>
      </c>
      <c r="I186" s="8" t="n">
        <f aca="true">NORMINV(RAND(),Assumptions!$B$14,Assumptions!$B$15)</f>
        <v>0.026741120434043</v>
      </c>
      <c r="J186" s="8" t="n">
        <f aca="true">NORMINV(RAND(),Assumptions!$B$14,Assumptions!$B$15)</f>
        <v>0.0591933560763755</v>
      </c>
      <c r="K186" s="8" t="n">
        <f aca="true">NORMINV(RAND(),Assumptions!$B$14,Assumptions!$B$15)</f>
        <v>0.0464602859898296</v>
      </c>
      <c r="L186" s="8" t="n">
        <f aca="true">NORMINV(RAND(),Assumptions!$B$14,Assumptions!$B$15)</f>
        <v>0.0418075174570691</v>
      </c>
      <c r="M186" s="6" t="n">
        <f aca="false">B186-Assumptions!$B$29</f>
        <v>391263.996662504</v>
      </c>
      <c r="N186" s="6" t="n">
        <f aca="false">W186-Assumptions!$B$29</f>
        <v>391175.826348125</v>
      </c>
      <c r="O186" s="6" t="n">
        <f aca="false">X186-Assumptions!$B$29</f>
        <v>360801.37577529</v>
      </c>
      <c r="P186" s="6" t="n">
        <f aca="false">Y186-Assumptions!$B$29</f>
        <v>341241.889280415</v>
      </c>
      <c r="Q186" s="6" t="n">
        <f aca="false">Z186-Assumptions!$B$29</f>
        <v>320193.95694795</v>
      </c>
      <c r="R186" s="6" t="n">
        <f aca="false">AA186-Assumptions!$B$29</f>
        <v>281718.978024571</v>
      </c>
      <c r="S186" s="6" t="n">
        <f aca="false">AB186-Assumptions!$B$29</f>
        <v>252542.439655823</v>
      </c>
      <c r="T186" s="6" t="n">
        <f aca="false">AC186-Assumptions!$B$29</f>
        <v>209295.707449367</v>
      </c>
      <c r="U186" s="6" t="n">
        <f aca="false">AD186-Assumptions!$B$29</f>
        <v>171684.622785674</v>
      </c>
      <c r="V186" s="6" t="n">
        <f aca="false">AE186-Assumptions!$B$29</f>
        <v>129661.139460352</v>
      </c>
      <c r="W186" s="6" t="n">
        <f aca="false">M186*(1+C186)</f>
        <v>441175.826348125</v>
      </c>
      <c r="X186" s="6" t="n">
        <f aca="false">N186*(1+D186)</f>
        <v>410801.37577529</v>
      </c>
      <c r="Y186" s="6" t="n">
        <f aca="false">O186*(1+E186)</f>
        <v>391241.889280415</v>
      </c>
      <c r="Z186" s="6" t="n">
        <f aca="false">P186*(1+F186)</f>
        <v>370193.95694795</v>
      </c>
      <c r="AA186" s="6" t="n">
        <f aca="false">Q186*(1+G186)</f>
        <v>331718.978024571</v>
      </c>
      <c r="AB186" s="6" t="n">
        <f aca="false">R186*(1+H186)</f>
        <v>302542.439655823</v>
      </c>
      <c r="AC186" s="6" t="n">
        <f aca="false">S186*(1+I186)</f>
        <v>259295.707449367</v>
      </c>
      <c r="AD186" s="6" t="n">
        <f aca="false">T186*(1+J186)</f>
        <v>221684.622785674</v>
      </c>
      <c r="AE186" s="6" t="n">
        <f aca="false">U186*(1+K186)</f>
        <v>179661.139460352</v>
      </c>
      <c r="AF186" s="6" t="n">
        <f aca="false">V186*(1+L186)</f>
        <v>135081.949811844</v>
      </c>
      <c r="AG186" s="6" t="n">
        <f aca="false">MIN(M186:V186)</f>
        <v>129661.139460352</v>
      </c>
      <c r="AH186" s="19" t="n">
        <f aca="false">IF(AG186&gt;=0,1,0)</f>
        <v>1</v>
      </c>
    </row>
    <row r="187" customFormat="false" ht="15" hidden="false" customHeight="false" outlineLevel="0" collapsed="false">
      <c r="A187" s="0" t="n">
        <f aca="false">ROW()-1</f>
        <v>186</v>
      </c>
      <c r="B187" s="6" t="n">
        <f aca="false">Assumptions!$B$35</f>
        <v>441263.996662504</v>
      </c>
      <c r="C187" s="8" t="n">
        <f aca="true">NORMINV(RAND(),Assumptions!$B$14,Assumptions!$B$15)</f>
        <v>0.0595270097374357</v>
      </c>
      <c r="D187" s="8" t="n">
        <f aca="true">NORMINV(RAND(),Assumptions!$B$14,Assumptions!$B$15)</f>
        <v>-0.0273417080724629</v>
      </c>
      <c r="E187" s="8" t="n">
        <f aca="true">NORMINV(RAND(),Assumptions!$B$14,Assumptions!$B$15)</f>
        <v>0.0649579045427406</v>
      </c>
      <c r="F187" s="8" t="n">
        <f aca="true">NORMINV(RAND(),Assumptions!$B$14,Assumptions!$B$15)</f>
        <v>0.0420936538234947</v>
      </c>
      <c r="G187" s="8" t="n">
        <f aca="true">NORMINV(RAND(),Assumptions!$B$14,Assumptions!$B$15)</f>
        <v>-0.0291798539645123</v>
      </c>
      <c r="H187" s="8" t="n">
        <f aca="true">NORMINV(RAND(),Assumptions!$B$14,Assumptions!$B$15)</f>
        <v>0.106011570666059</v>
      </c>
      <c r="I187" s="8" t="n">
        <f aca="true">NORMINV(RAND(),Assumptions!$B$14,Assumptions!$B$15)</f>
        <v>0.0778560412900024</v>
      </c>
      <c r="J187" s="8" t="n">
        <f aca="true">NORMINV(RAND(),Assumptions!$B$14,Assumptions!$B$15)</f>
        <v>0.0496622076028098</v>
      </c>
      <c r="K187" s="8" t="n">
        <f aca="true">NORMINV(RAND(),Assumptions!$B$14,Assumptions!$B$15)</f>
        <v>0.109595886394313</v>
      </c>
      <c r="L187" s="8" t="n">
        <f aca="true">NORMINV(RAND(),Assumptions!$B$14,Assumptions!$B$15)</f>
        <v>0.0412188333668537</v>
      </c>
      <c r="M187" s="6" t="n">
        <f aca="false">B187-Assumptions!$B$29</f>
        <v>391263.996662504</v>
      </c>
      <c r="N187" s="6" t="n">
        <f aca="false">W187-Assumptions!$B$29</f>
        <v>364554.77240174</v>
      </c>
      <c r="O187" s="6" t="n">
        <f aca="false">X187-Assumptions!$B$29</f>
        <v>304587.222238309</v>
      </c>
      <c r="P187" s="6" t="n">
        <f aca="false">Y187-Assumptions!$B$29</f>
        <v>274372.569945403</v>
      </c>
      <c r="Q187" s="6" t="n">
        <f aca="false">Z187-Assumptions!$B$29</f>
        <v>235921.913923348</v>
      </c>
      <c r="R187" s="6" t="n">
        <f aca="false">AA187-Assumptions!$B$29</f>
        <v>179037.746928036</v>
      </c>
      <c r="S187" s="6" t="n">
        <f aca="false">AB187-Assumptions!$B$29</f>
        <v>148017.81968839</v>
      </c>
      <c r="T187" s="6" t="n">
        <f aca="false">AC187-Assumptions!$B$29</f>
        <v>109541.901169705</v>
      </c>
      <c r="U187" s="6" t="n">
        <f aca="false">AD187-Assumptions!$B$29</f>
        <v>64981.9938068015</v>
      </c>
      <c r="V187" s="6" t="n">
        <f aca="false">AE187-Assumptions!$B$29</f>
        <v>22103.7530177277</v>
      </c>
      <c r="W187" s="6" t="n">
        <f aca="false">M187*(1+C187)</f>
        <v>414554.77240174</v>
      </c>
      <c r="X187" s="6" t="n">
        <f aca="false">N187*(1+D187)</f>
        <v>354587.222238309</v>
      </c>
      <c r="Y187" s="6" t="n">
        <f aca="false">O187*(1+E187)</f>
        <v>324372.569945403</v>
      </c>
      <c r="Z187" s="6" t="n">
        <f aca="false">P187*(1+F187)</f>
        <v>285921.913923348</v>
      </c>
      <c r="AA187" s="6" t="n">
        <f aca="false">Q187*(1+G187)</f>
        <v>229037.746928036</v>
      </c>
      <c r="AB187" s="6" t="n">
        <f aca="false">R187*(1+H187)</f>
        <v>198017.81968839</v>
      </c>
      <c r="AC187" s="6" t="n">
        <f aca="false">S187*(1+I187)</f>
        <v>159541.901169705</v>
      </c>
      <c r="AD187" s="6" t="n">
        <f aca="false">T187*(1+J187)</f>
        <v>114981.993806802</v>
      </c>
      <c r="AE187" s="6" t="n">
        <f aca="false">U187*(1+K187)</f>
        <v>72103.7530177277</v>
      </c>
      <c r="AF187" s="6" t="n">
        <f aca="false">V187*(1+L187)</f>
        <v>23014.8439301475</v>
      </c>
      <c r="AG187" s="6" t="n">
        <f aca="false">MIN(M187:V187)</f>
        <v>22103.7530177277</v>
      </c>
      <c r="AH187" s="19" t="n">
        <f aca="false">IF(AG187&gt;=0,1,0)</f>
        <v>1</v>
      </c>
    </row>
    <row r="188" customFormat="false" ht="15" hidden="false" customHeight="false" outlineLevel="0" collapsed="false">
      <c r="A188" s="0" t="n">
        <f aca="false">ROW()-1</f>
        <v>187</v>
      </c>
      <c r="B188" s="6" t="n">
        <f aca="false">Assumptions!$B$35</f>
        <v>441263.996662504</v>
      </c>
      <c r="C188" s="8" t="n">
        <f aca="true">NORMINV(RAND(),Assumptions!$B$14,Assumptions!$B$15)</f>
        <v>0.0571765071256747</v>
      </c>
      <c r="D188" s="8" t="n">
        <f aca="true">NORMINV(RAND(),Assumptions!$B$14,Assumptions!$B$15)</f>
        <v>0.00145441696654948</v>
      </c>
      <c r="E188" s="8" t="n">
        <f aca="true">NORMINV(RAND(),Assumptions!$B$14,Assumptions!$B$15)</f>
        <v>0.150996378560952</v>
      </c>
      <c r="F188" s="8" t="n">
        <f aca="true">NORMINV(RAND(),Assumptions!$B$14,Assumptions!$B$15)</f>
        <v>0.0557028423502518</v>
      </c>
      <c r="G188" s="8" t="n">
        <f aca="true">NORMINV(RAND(),Assumptions!$B$14,Assumptions!$B$15)</f>
        <v>0.0377490998494867</v>
      </c>
      <c r="H188" s="8" t="n">
        <f aca="true">NORMINV(RAND(),Assumptions!$B$14,Assumptions!$B$15)</f>
        <v>0.097105186711744</v>
      </c>
      <c r="I188" s="8" t="n">
        <f aca="true">NORMINV(RAND(),Assumptions!$B$14,Assumptions!$B$15)</f>
        <v>0.0331708222127075</v>
      </c>
      <c r="J188" s="8" t="n">
        <f aca="true">NORMINV(RAND(),Assumptions!$B$14,Assumptions!$B$15)</f>
        <v>0.0551767390178</v>
      </c>
      <c r="K188" s="8" t="n">
        <f aca="true">NORMINV(RAND(),Assumptions!$B$14,Assumptions!$B$15)</f>
        <v>0.0249678323917534</v>
      </c>
      <c r="L188" s="8" t="n">
        <f aca="true">NORMINV(RAND(),Assumptions!$B$14,Assumptions!$B$15)</f>
        <v>0.0471724168776455</v>
      </c>
      <c r="M188" s="6" t="n">
        <f aca="false">B188-Assumptions!$B$29</f>
        <v>391263.996662504</v>
      </c>
      <c r="N188" s="6" t="n">
        <f aca="false">W188-Assumptions!$B$29</f>
        <v>363635.105355697</v>
      </c>
      <c r="O188" s="6" t="n">
        <f aca="false">X188-Assumptions!$B$29</f>
        <v>314163.982422559</v>
      </c>
      <c r="P188" s="6" t="n">
        <f aca="false">Y188-Assumptions!$B$29</f>
        <v>311601.606042652</v>
      </c>
      <c r="Q188" s="6" t="n">
        <f aca="false">Z188-Assumptions!$B$29</f>
        <v>278958.701180132</v>
      </c>
      <c r="R188" s="6" t="n">
        <f aca="false">AA188-Assumptions!$B$29</f>
        <v>239489.141044864</v>
      </c>
      <c r="S188" s="6" t="n">
        <f aca="false">AB188-Assumptions!$B$29</f>
        <v>212744.77880146</v>
      </c>
      <c r="T188" s="6" t="n">
        <f aca="false">AC188-Assumptions!$B$29</f>
        <v>169801.698035765</v>
      </c>
      <c r="U188" s="6" t="n">
        <f aca="false">AD188-Assumptions!$B$29</f>
        <v>129170.802013064</v>
      </c>
      <c r="V188" s="6" t="n">
        <f aca="false">AE188-Assumptions!$B$29</f>
        <v>82395.9169476345</v>
      </c>
      <c r="W188" s="6" t="n">
        <f aca="false">M188*(1+C188)</f>
        <v>413635.105355697</v>
      </c>
      <c r="X188" s="6" t="n">
        <f aca="false">N188*(1+D188)</f>
        <v>364163.982422559</v>
      </c>
      <c r="Y188" s="6" t="n">
        <f aca="false">O188*(1+E188)</f>
        <v>361601.606042652</v>
      </c>
      <c r="Z188" s="6" t="n">
        <f aca="false">P188*(1+F188)</f>
        <v>328958.701180132</v>
      </c>
      <c r="AA188" s="6" t="n">
        <f aca="false">Q188*(1+G188)</f>
        <v>289489.141044864</v>
      </c>
      <c r="AB188" s="6" t="n">
        <f aca="false">R188*(1+H188)</f>
        <v>262744.77880146</v>
      </c>
      <c r="AC188" s="6" t="n">
        <f aca="false">S188*(1+I188)</f>
        <v>219801.698035765</v>
      </c>
      <c r="AD188" s="6" t="n">
        <f aca="false">T188*(1+J188)</f>
        <v>179170.802013064</v>
      </c>
      <c r="AE188" s="6" t="n">
        <f aca="false">U188*(1+K188)</f>
        <v>132395.916947634</v>
      </c>
      <c r="AF188" s="6" t="n">
        <f aca="false">V188*(1+L188)</f>
        <v>86282.7314909041</v>
      </c>
      <c r="AG188" s="6" t="n">
        <f aca="false">MIN(M188:V188)</f>
        <v>82395.9169476345</v>
      </c>
      <c r="AH188" s="19" t="n">
        <f aca="false">IF(AG188&gt;=0,1,0)</f>
        <v>1</v>
      </c>
    </row>
    <row r="189" customFormat="false" ht="15" hidden="false" customHeight="false" outlineLevel="0" collapsed="false">
      <c r="A189" s="0" t="n">
        <f aca="false">ROW()-1</f>
        <v>188</v>
      </c>
      <c r="B189" s="6" t="n">
        <f aca="false">Assumptions!$B$35</f>
        <v>441263.996662504</v>
      </c>
      <c r="C189" s="8" t="n">
        <f aca="true">NORMINV(RAND(),Assumptions!$B$14,Assumptions!$B$15)</f>
        <v>0.0553720725799424</v>
      </c>
      <c r="D189" s="8" t="n">
        <f aca="true">NORMINV(RAND(),Assumptions!$B$14,Assumptions!$B$15)</f>
        <v>0.104892376802294</v>
      </c>
      <c r="E189" s="8" t="n">
        <f aca="true">NORMINV(RAND(),Assumptions!$B$14,Assumptions!$B$15)</f>
        <v>0.0400161629882222</v>
      </c>
      <c r="F189" s="8" t="n">
        <f aca="true">NORMINV(RAND(),Assumptions!$B$14,Assumptions!$B$15)</f>
        <v>0.063549526909025</v>
      </c>
      <c r="G189" s="8" t="n">
        <f aca="true">NORMINV(RAND(),Assumptions!$B$14,Assumptions!$B$15)</f>
        <v>0.0464149197777375</v>
      </c>
      <c r="H189" s="8" t="n">
        <f aca="true">NORMINV(RAND(),Assumptions!$B$14,Assumptions!$B$15)</f>
        <v>0.0505273892080533</v>
      </c>
      <c r="I189" s="8" t="n">
        <f aca="true">NORMINV(RAND(),Assumptions!$B$14,Assumptions!$B$15)</f>
        <v>0.0650200000554435</v>
      </c>
      <c r="J189" s="8" t="n">
        <f aca="true">NORMINV(RAND(),Assumptions!$B$14,Assumptions!$B$15)</f>
        <v>0.0181353714901644</v>
      </c>
      <c r="K189" s="8" t="n">
        <f aca="true">NORMINV(RAND(),Assumptions!$B$14,Assumptions!$B$15)</f>
        <v>0.0487128982024381</v>
      </c>
      <c r="L189" s="8" t="n">
        <f aca="true">NORMINV(RAND(),Assumptions!$B$14,Assumptions!$B$15)</f>
        <v>0.0297846954432525</v>
      </c>
      <c r="M189" s="6" t="n">
        <f aca="false">B189-Assumptions!$B$29</f>
        <v>391263.996662504</v>
      </c>
      <c r="N189" s="6" t="n">
        <f aca="false">W189-Assumptions!$B$29</f>
        <v>362929.095083618</v>
      </c>
      <c r="O189" s="6" t="n">
        <f aca="false">X189-Assumptions!$B$29</f>
        <v>350997.590477645</v>
      </c>
      <c r="P189" s="6" t="n">
        <f aca="false">Y189-Assumptions!$B$29</f>
        <v>315043.167266671</v>
      </c>
      <c r="Q189" s="6" t="n">
        <f aca="false">Z189-Assumptions!$B$29</f>
        <v>285064.011502389</v>
      </c>
      <c r="R189" s="6" t="n">
        <f aca="false">AA189-Assumptions!$B$29</f>
        <v>248295.234727792</v>
      </c>
      <c r="S189" s="6" t="n">
        <f aca="false">AB189-Assumptions!$B$29</f>
        <v>210840.944691389</v>
      </c>
      <c r="T189" s="6" t="n">
        <f aca="false">AC189-Assumptions!$B$29</f>
        <v>174549.822926912</v>
      </c>
      <c r="U189" s="6" t="n">
        <f aca="false">AD189-Assumptions!$B$29</f>
        <v>127715.348809234</v>
      </c>
      <c r="V189" s="6" t="n">
        <f aca="false">AE189-Assumptions!$B$29</f>
        <v>83936.7335946675</v>
      </c>
      <c r="W189" s="6" t="n">
        <f aca="false">M189*(1+C189)</f>
        <v>412929.095083618</v>
      </c>
      <c r="X189" s="6" t="n">
        <f aca="false">N189*(1+D189)</f>
        <v>400997.590477645</v>
      </c>
      <c r="Y189" s="6" t="n">
        <f aca="false">O189*(1+E189)</f>
        <v>365043.167266671</v>
      </c>
      <c r="Z189" s="6" t="n">
        <f aca="false">P189*(1+F189)</f>
        <v>335064.011502389</v>
      </c>
      <c r="AA189" s="6" t="n">
        <f aca="false">Q189*(1+G189)</f>
        <v>298295.234727792</v>
      </c>
      <c r="AB189" s="6" t="n">
        <f aca="false">R189*(1+H189)</f>
        <v>260840.944691389</v>
      </c>
      <c r="AC189" s="6" t="n">
        <f aca="false">S189*(1+I189)</f>
        <v>224549.822926912</v>
      </c>
      <c r="AD189" s="6" t="n">
        <f aca="false">T189*(1+J189)</f>
        <v>177715.348809234</v>
      </c>
      <c r="AE189" s="6" t="n">
        <f aca="false">U189*(1+K189)</f>
        <v>133936.733594668</v>
      </c>
      <c r="AF189" s="6" t="n">
        <f aca="false">V189*(1+L189)</f>
        <v>86436.7636412861</v>
      </c>
      <c r="AG189" s="6" t="n">
        <f aca="false">MIN(M189:V189)</f>
        <v>83936.7335946675</v>
      </c>
      <c r="AH189" s="19" t="n">
        <f aca="false">IF(AG189&gt;=0,1,0)</f>
        <v>1</v>
      </c>
    </row>
    <row r="190" customFormat="false" ht="15" hidden="false" customHeight="false" outlineLevel="0" collapsed="false">
      <c r="A190" s="0" t="n">
        <f aca="false">ROW()-1</f>
        <v>189</v>
      </c>
      <c r="B190" s="6" t="n">
        <f aca="false">Assumptions!$B$35</f>
        <v>441263.996662504</v>
      </c>
      <c r="C190" s="8" t="n">
        <f aca="true">NORMINV(RAND(),Assumptions!$B$14,Assumptions!$B$15)</f>
        <v>0.0708422305656239</v>
      </c>
      <c r="D190" s="8" t="n">
        <f aca="true">NORMINV(RAND(),Assumptions!$B$14,Assumptions!$B$15)</f>
        <v>0.0578064601886072</v>
      </c>
      <c r="E190" s="8" t="n">
        <f aca="true">NORMINV(RAND(),Assumptions!$B$14,Assumptions!$B$15)</f>
        <v>0.0419237145072701</v>
      </c>
      <c r="F190" s="8" t="n">
        <f aca="true">NORMINV(RAND(),Assumptions!$B$14,Assumptions!$B$15)</f>
        <v>0.0463203805852347</v>
      </c>
      <c r="G190" s="8" t="n">
        <f aca="true">NORMINV(RAND(),Assumptions!$B$14,Assumptions!$B$15)</f>
        <v>0.0473999724365931</v>
      </c>
      <c r="H190" s="8" t="n">
        <f aca="true">NORMINV(RAND(),Assumptions!$B$14,Assumptions!$B$15)</f>
        <v>0.047376491916537</v>
      </c>
      <c r="I190" s="8" t="n">
        <f aca="true">NORMINV(RAND(),Assumptions!$B$14,Assumptions!$B$15)</f>
        <v>0.109763176016241</v>
      </c>
      <c r="J190" s="8" t="n">
        <f aca="true">NORMINV(RAND(),Assumptions!$B$14,Assumptions!$B$15)</f>
        <v>0.0541596580389919</v>
      </c>
      <c r="K190" s="8" t="n">
        <f aca="true">NORMINV(RAND(),Assumptions!$B$14,Assumptions!$B$15)</f>
        <v>0.10975237687601</v>
      </c>
      <c r="L190" s="8" t="n">
        <f aca="true">NORMINV(RAND(),Assumptions!$B$14,Assumptions!$B$15)</f>
        <v>0.0409259554170213</v>
      </c>
      <c r="M190" s="6" t="n">
        <f aca="false">B190-Assumptions!$B$29</f>
        <v>391263.996662504</v>
      </c>
      <c r="N190" s="6" t="n">
        <f aca="false">W190-Assumptions!$B$29</f>
        <v>368982.010926096</v>
      </c>
      <c r="O190" s="6" t="n">
        <f aca="false">X190-Assumptions!$B$29</f>
        <v>340311.554851008</v>
      </c>
      <c r="P190" s="6" t="n">
        <f aca="false">Y190-Assumptions!$B$29</f>
        <v>304578.679320107</v>
      </c>
      <c r="Q190" s="6" t="n">
        <f aca="false">Z190-Assumptions!$B$29</f>
        <v>268686.879664362</v>
      </c>
      <c r="R190" s="6" t="n">
        <f aca="false">AA190-Assumptions!$B$29</f>
        <v>231422.630354527</v>
      </c>
      <c r="S190" s="6" t="n">
        <f aca="false">AB190-Assumptions!$B$29</f>
        <v>192386.622730822</v>
      </c>
      <c r="T190" s="6" t="n">
        <f aca="false">AC190-Assumptions!$B$29</f>
        <v>163503.589464795</v>
      </c>
      <c r="U190" s="6" t="n">
        <f aca="false">AD190-Assumptions!$B$29</f>
        <v>122358.887958356</v>
      </c>
      <c r="V190" s="6" t="n">
        <f aca="false">AE190-Assumptions!$B$29</f>
        <v>85788.0667436913</v>
      </c>
      <c r="W190" s="6" t="n">
        <f aca="false">M190*(1+C190)</f>
        <v>418982.010926096</v>
      </c>
      <c r="X190" s="6" t="n">
        <f aca="false">N190*(1+D190)</f>
        <v>390311.554851008</v>
      </c>
      <c r="Y190" s="6" t="n">
        <f aca="false">O190*(1+E190)</f>
        <v>354578.679320107</v>
      </c>
      <c r="Z190" s="6" t="n">
        <f aca="false">P190*(1+F190)</f>
        <v>318686.879664362</v>
      </c>
      <c r="AA190" s="6" t="n">
        <f aca="false">Q190*(1+G190)</f>
        <v>281422.630354527</v>
      </c>
      <c r="AB190" s="6" t="n">
        <f aca="false">R190*(1+H190)</f>
        <v>242386.622730822</v>
      </c>
      <c r="AC190" s="6" t="n">
        <f aca="false">S190*(1+I190)</f>
        <v>213503.589464795</v>
      </c>
      <c r="AD190" s="6" t="n">
        <f aca="false">T190*(1+J190)</f>
        <v>172358.887958356</v>
      </c>
      <c r="AE190" s="6" t="n">
        <f aca="false">U190*(1+K190)</f>
        <v>135788.066743691</v>
      </c>
      <c r="AF190" s="6" t="n">
        <f aca="false">V190*(1+L190)</f>
        <v>89299.0253385561</v>
      </c>
      <c r="AG190" s="6" t="n">
        <f aca="false">MIN(M190:V190)</f>
        <v>85788.0667436913</v>
      </c>
      <c r="AH190" s="19" t="n">
        <f aca="false">IF(AG190&gt;=0,1,0)</f>
        <v>1</v>
      </c>
    </row>
    <row r="191" customFormat="false" ht="15" hidden="false" customHeight="false" outlineLevel="0" collapsed="false">
      <c r="A191" s="0" t="n">
        <f aca="false">ROW()-1</f>
        <v>190</v>
      </c>
      <c r="B191" s="6" t="n">
        <f aca="false">Assumptions!$B$35</f>
        <v>441263.996662504</v>
      </c>
      <c r="C191" s="8" t="n">
        <f aca="true">NORMINV(RAND(),Assumptions!$B$14,Assumptions!$B$15)</f>
        <v>0.0871809196964358</v>
      </c>
      <c r="D191" s="8" t="n">
        <f aca="true">NORMINV(RAND(),Assumptions!$B$14,Assumptions!$B$15)</f>
        <v>0.0547124802666576</v>
      </c>
      <c r="E191" s="8" t="n">
        <f aca="true">NORMINV(RAND(),Assumptions!$B$14,Assumptions!$B$15)</f>
        <v>0.0535257853127417</v>
      </c>
      <c r="F191" s="8" t="n">
        <f aca="true">NORMINV(RAND(),Assumptions!$B$14,Assumptions!$B$15)</f>
        <v>0.0929346415134887</v>
      </c>
      <c r="G191" s="8" t="n">
        <f aca="true">NORMINV(RAND(),Assumptions!$B$14,Assumptions!$B$15)</f>
        <v>0.0287714115711745</v>
      </c>
      <c r="H191" s="8" t="n">
        <f aca="true">NORMINV(RAND(),Assumptions!$B$14,Assumptions!$B$15)</f>
        <v>0.100299393694167</v>
      </c>
      <c r="I191" s="8" t="n">
        <f aca="true">NORMINV(RAND(),Assumptions!$B$14,Assumptions!$B$15)</f>
        <v>0.0851771063275078</v>
      </c>
      <c r="J191" s="8" t="n">
        <f aca="true">NORMINV(RAND(),Assumptions!$B$14,Assumptions!$B$15)</f>
        <v>0.0717855259105004</v>
      </c>
      <c r="K191" s="8" t="n">
        <f aca="true">NORMINV(RAND(),Assumptions!$B$14,Assumptions!$B$15)</f>
        <v>0.0187363178376434</v>
      </c>
      <c r="L191" s="8" t="n">
        <f aca="true">NORMINV(RAND(),Assumptions!$B$14,Assumptions!$B$15)</f>
        <v>0.0440148027075859</v>
      </c>
      <c r="M191" s="6" t="n">
        <f aca="false">B191-Assumptions!$B$29</f>
        <v>391263.996662504</v>
      </c>
      <c r="N191" s="6" t="n">
        <f aca="false">W191-Assumptions!$B$29</f>
        <v>375374.751735644</v>
      </c>
      <c r="O191" s="6" t="n">
        <f aca="false">X191-Assumptions!$B$29</f>
        <v>345912.435432582</v>
      </c>
      <c r="P191" s="6" t="n">
        <f aca="false">Y191-Assumptions!$B$29</f>
        <v>314427.670188554</v>
      </c>
      <c r="Q191" s="6" t="n">
        <f aca="false">Z191-Assumptions!$B$29</f>
        <v>293648.892999448</v>
      </c>
      <c r="R191" s="6" t="n">
        <f aca="false">AA191-Assumptions!$B$29</f>
        <v>252097.586157355</v>
      </c>
      <c r="S191" s="6" t="n">
        <f aca="false">AB191-Assumptions!$B$29</f>
        <v>227382.821200701</v>
      </c>
      <c r="T191" s="6" t="n">
        <f aca="false">AC191-Assumptions!$B$29</f>
        <v>196750.631939162</v>
      </c>
      <c r="U191" s="6" t="n">
        <f aca="false">AD191-Assumptions!$B$29</f>
        <v>160874.479526138</v>
      </c>
      <c r="V191" s="6" t="n">
        <f aca="false">AE191-Assumptions!$B$29</f>
        <v>113888.674906505</v>
      </c>
      <c r="W191" s="6" t="n">
        <f aca="false">M191*(1+C191)</f>
        <v>425374.751735644</v>
      </c>
      <c r="X191" s="6" t="n">
        <f aca="false">N191*(1+D191)</f>
        <v>395912.435432582</v>
      </c>
      <c r="Y191" s="6" t="n">
        <f aca="false">O191*(1+E191)</f>
        <v>364427.670188554</v>
      </c>
      <c r="Z191" s="6" t="n">
        <f aca="false">P191*(1+F191)</f>
        <v>343648.892999448</v>
      </c>
      <c r="AA191" s="6" t="n">
        <f aca="false">Q191*(1+G191)</f>
        <v>302097.586157355</v>
      </c>
      <c r="AB191" s="6" t="n">
        <f aca="false">R191*(1+H191)</f>
        <v>277382.821200701</v>
      </c>
      <c r="AC191" s="6" t="n">
        <f aca="false">S191*(1+I191)</f>
        <v>246750.631939162</v>
      </c>
      <c r="AD191" s="6" t="n">
        <f aca="false">T191*(1+J191)</f>
        <v>210874.479526138</v>
      </c>
      <c r="AE191" s="6" t="n">
        <f aca="false">U191*(1+K191)</f>
        <v>163888.674906505</v>
      </c>
      <c r="AF191" s="6" t="n">
        <f aca="false">V191*(1+L191)</f>
        <v>118901.462463143</v>
      </c>
      <c r="AG191" s="6" t="n">
        <f aca="false">MIN(M191:V191)</f>
        <v>113888.674906505</v>
      </c>
      <c r="AH191" s="19" t="n">
        <f aca="false">IF(AG191&gt;=0,1,0)</f>
        <v>1</v>
      </c>
    </row>
    <row r="192" customFormat="false" ht="15" hidden="false" customHeight="false" outlineLevel="0" collapsed="false">
      <c r="A192" s="0" t="n">
        <f aca="false">ROW()-1</f>
        <v>191</v>
      </c>
      <c r="B192" s="6" t="n">
        <f aca="false">Assumptions!$B$35</f>
        <v>441263.996662504</v>
      </c>
      <c r="C192" s="8" t="n">
        <f aca="true">NORMINV(RAND(),Assumptions!$B$14,Assumptions!$B$15)</f>
        <v>0.0707943797449854</v>
      </c>
      <c r="D192" s="8" t="n">
        <f aca="true">NORMINV(RAND(),Assumptions!$B$14,Assumptions!$B$15)</f>
        <v>0.0644771762762223</v>
      </c>
      <c r="E192" s="8" t="n">
        <f aca="true">NORMINV(RAND(),Assumptions!$B$14,Assumptions!$B$15)</f>
        <v>0.0471216199043799</v>
      </c>
      <c r="F192" s="8" t="n">
        <f aca="true">NORMINV(RAND(),Assumptions!$B$14,Assumptions!$B$15)</f>
        <v>-0.000216882444133627</v>
      </c>
      <c r="G192" s="8" t="n">
        <f aca="true">NORMINV(RAND(),Assumptions!$B$14,Assumptions!$B$15)</f>
        <v>0.0972668973155695</v>
      </c>
      <c r="H192" s="8" t="n">
        <f aca="true">NORMINV(RAND(),Assumptions!$B$14,Assumptions!$B$15)</f>
        <v>0.0376566976344385</v>
      </c>
      <c r="I192" s="8" t="n">
        <f aca="true">NORMINV(RAND(),Assumptions!$B$14,Assumptions!$B$15)</f>
        <v>0.00610719207592911</v>
      </c>
      <c r="J192" s="8" t="n">
        <f aca="true">NORMINV(RAND(),Assumptions!$B$14,Assumptions!$B$15)</f>
        <v>0.0969822606981061</v>
      </c>
      <c r="K192" s="8" t="n">
        <f aca="true">NORMINV(RAND(),Assumptions!$B$14,Assumptions!$B$15)</f>
        <v>0.0784272604375597</v>
      </c>
      <c r="L192" s="8" t="n">
        <f aca="true">NORMINV(RAND(),Assumptions!$B$14,Assumptions!$B$15)</f>
        <v>0.0110274137972053</v>
      </c>
      <c r="M192" s="6" t="n">
        <f aca="false">B192-Assumptions!$B$29</f>
        <v>391263.996662504</v>
      </c>
      <c r="N192" s="6" t="n">
        <f aca="false">W192-Assumptions!$B$29</f>
        <v>368963.28862277</v>
      </c>
      <c r="O192" s="6" t="n">
        <f aca="false">X192-Assumptions!$B$29</f>
        <v>342752.999622755</v>
      </c>
      <c r="P192" s="6" t="n">
        <f aca="false">Y192-Assumptions!$B$29</f>
        <v>308904.076192064</v>
      </c>
      <c r="Q192" s="6" t="n">
        <f aca="false">Z192-Assumptions!$B$29</f>
        <v>258837.080321017</v>
      </c>
      <c r="R192" s="6" t="n">
        <f aca="false">AA192-Assumptions!$B$29</f>
        <v>234013.360034063</v>
      </c>
      <c r="S192" s="6" t="n">
        <f aca="false">AB192-Assumptions!$B$29</f>
        <v>192825.530375285</v>
      </c>
      <c r="T192" s="6" t="n">
        <f aca="false">AC192-Assumptions!$B$29</f>
        <v>144003.152926429</v>
      </c>
      <c r="U192" s="6" t="n">
        <f aca="false">AD192-Assumptions!$B$29</f>
        <v>107968.904244889</v>
      </c>
      <c r="V192" s="6" t="n">
        <f aca="false">AE192-Assumptions!$B$29</f>
        <v>66436.6096172614</v>
      </c>
      <c r="W192" s="6" t="n">
        <f aca="false">M192*(1+C192)</f>
        <v>418963.28862277</v>
      </c>
      <c r="X192" s="6" t="n">
        <f aca="false">N192*(1+D192)</f>
        <v>392752.999622755</v>
      </c>
      <c r="Y192" s="6" t="n">
        <f aca="false">O192*(1+E192)</f>
        <v>358904.076192064</v>
      </c>
      <c r="Z192" s="6" t="n">
        <f aca="false">P192*(1+F192)</f>
        <v>308837.080321017</v>
      </c>
      <c r="AA192" s="6" t="n">
        <f aca="false">Q192*(1+G192)</f>
        <v>284013.360034063</v>
      </c>
      <c r="AB192" s="6" t="n">
        <f aca="false">R192*(1+H192)</f>
        <v>242825.530375285</v>
      </c>
      <c r="AC192" s="6" t="n">
        <f aca="false">S192*(1+I192)</f>
        <v>194003.152926429</v>
      </c>
      <c r="AD192" s="6" t="n">
        <f aca="false">T192*(1+J192)</f>
        <v>157968.904244889</v>
      </c>
      <c r="AE192" s="6" t="n">
        <f aca="false">U192*(1+K192)</f>
        <v>116436.609617261</v>
      </c>
      <c r="AF192" s="6" t="n">
        <f aca="false">V192*(1+L192)</f>
        <v>67169.2336027943</v>
      </c>
      <c r="AG192" s="6" t="n">
        <f aca="false">MIN(M192:V192)</f>
        <v>66436.6096172614</v>
      </c>
      <c r="AH192" s="19" t="n">
        <f aca="false">IF(AG192&gt;=0,1,0)</f>
        <v>1</v>
      </c>
    </row>
    <row r="193" customFormat="false" ht="15" hidden="false" customHeight="false" outlineLevel="0" collapsed="false">
      <c r="A193" s="0" t="n">
        <f aca="false">ROW()-1</f>
        <v>192</v>
      </c>
      <c r="B193" s="6" t="n">
        <f aca="false">Assumptions!$B$35</f>
        <v>441263.996662504</v>
      </c>
      <c r="C193" s="8" t="n">
        <f aca="true">NORMINV(RAND(),Assumptions!$B$14,Assumptions!$B$15)</f>
        <v>0.0508030223065755</v>
      </c>
      <c r="D193" s="8" t="n">
        <f aca="true">NORMINV(RAND(),Assumptions!$B$14,Assumptions!$B$15)</f>
        <v>0.0658050523869395</v>
      </c>
      <c r="E193" s="8" t="n">
        <f aca="true">NORMINV(RAND(),Assumptions!$B$14,Assumptions!$B$15)</f>
        <v>-0.00636059252269319</v>
      </c>
      <c r="F193" s="8" t="n">
        <f aca="true">NORMINV(RAND(),Assumptions!$B$14,Assumptions!$B$15)</f>
        <v>0.057606478130484</v>
      </c>
      <c r="G193" s="8" t="n">
        <f aca="true">NORMINV(RAND(),Assumptions!$B$14,Assumptions!$B$15)</f>
        <v>0.0398991797142451</v>
      </c>
      <c r="H193" s="8" t="n">
        <f aca="true">NORMINV(RAND(),Assumptions!$B$14,Assumptions!$B$15)</f>
        <v>0.0843812008561431</v>
      </c>
      <c r="I193" s="8" t="n">
        <f aca="true">NORMINV(RAND(),Assumptions!$B$14,Assumptions!$B$15)</f>
        <v>0.0633521506775324</v>
      </c>
      <c r="J193" s="8" t="n">
        <f aca="true">NORMINV(RAND(),Assumptions!$B$14,Assumptions!$B$15)</f>
        <v>0.0632407605789113</v>
      </c>
      <c r="K193" s="8" t="n">
        <f aca="true">NORMINV(RAND(),Assumptions!$B$14,Assumptions!$B$15)</f>
        <v>0.0563283383738426</v>
      </c>
      <c r="L193" s="8" t="n">
        <f aca="true">NORMINV(RAND(),Assumptions!$B$14,Assumptions!$B$15)</f>
        <v>0.0986654642440274</v>
      </c>
      <c r="M193" s="6" t="n">
        <f aca="false">B193-Assumptions!$B$29</f>
        <v>391263.996662504</v>
      </c>
      <c r="N193" s="6" t="n">
        <f aca="false">W193-Assumptions!$B$29</f>
        <v>361141.390212709</v>
      </c>
      <c r="O193" s="6" t="n">
        <f aca="false">X193-Assumptions!$B$29</f>
        <v>334906.318314748</v>
      </c>
      <c r="P193" s="6" t="n">
        <f aca="false">Y193-Assumptions!$B$29</f>
        <v>282776.115690673</v>
      </c>
      <c r="Q193" s="6" t="n">
        <f aca="false">Z193-Assumptions!$B$29</f>
        <v>249065.851815031</v>
      </c>
      <c r="R193" s="6" t="n">
        <f aca="false">AA193-Assumptions!$B$29</f>
        <v>209003.37499728</v>
      </c>
      <c r="S193" s="6" t="n">
        <f aca="false">AB193-Assumptions!$B$29</f>
        <v>176639.330762537</v>
      </c>
      <c r="T193" s="6" t="n">
        <f aca="false">AC193-Assumptions!$B$29</f>
        <v>137829.812260584</v>
      </c>
      <c r="U193" s="6" t="n">
        <f aca="false">AD193-Assumptions!$B$29</f>
        <v>96546.2744183919</v>
      </c>
      <c r="V193" s="6" t="n">
        <f aca="false">AE193-Assumptions!$B$29</f>
        <v>51984.565632565</v>
      </c>
      <c r="W193" s="6" t="n">
        <f aca="false">M193*(1+C193)</f>
        <v>411141.390212709</v>
      </c>
      <c r="X193" s="6" t="n">
        <f aca="false">N193*(1+D193)</f>
        <v>384906.318314748</v>
      </c>
      <c r="Y193" s="6" t="n">
        <f aca="false">O193*(1+E193)</f>
        <v>332776.115690673</v>
      </c>
      <c r="Z193" s="6" t="n">
        <f aca="false">P193*(1+F193)</f>
        <v>299065.851815031</v>
      </c>
      <c r="AA193" s="6" t="n">
        <f aca="false">Q193*(1+G193)</f>
        <v>259003.37499728</v>
      </c>
      <c r="AB193" s="6" t="n">
        <f aca="false">R193*(1+H193)</f>
        <v>226639.330762537</v>
      </c>
      <c r="AC193" s="6" t="n">
        <f aca="false">S193*(1+I193)</f>
        <v>187829.812260584</v>
      </c>
      <c r="AD193" s="6" t="n">
        <f aca="false">T193*(1+J193)</f>
        <v>146546.274418392</v>
      </c>
      <c r="AE193" s="6" t="n">
        <f aca="false">U193*(1+K193)</f>
        <v>101984.565632565</v>
      </c>
      <c r="AF193" s="6" t="n">
        <f aca="false">V193*(1+L193)</f>
        <v>57113.6469342261</v>
      </c>
      <c r="AG193" s="6" t="n">
        <f aca="false">MIN(M193:V193)</f>
        <v>51984.565632565</v>
      </c>
      <c r="AH193" s="19" t="n">
        <f aca="false">IF(AG193&gt;=0,1,0)</f>
        <v>1</v>
      </c>
    </row>
    <row r="194" customFormat="false" ht="15" hidden="false" customHeight="false" outlineLevel="0" collapsed="false">
      <c r="A194" s="0" t="n">
        <f aca="false">ROW()-1</f>
        <v>193</v>
      </c>
      <c r="B194" s="6" t="n">
        <f aca="false">Assumptions!$B$35</f>
        <v>441263.996662504</v>
      </c>
      <c r="C194" s="8" t="n">
        <f aca="true">NORMINV(RAND(),Assumptions!$B$14,Assumptions!$B$15)</f>
        <v>0.0515652971125219</v>
      </c>
      <c r="D194" s="8" t="n">
        <f aca="true">NORMINV(RAND(),Assumptions!$B$14,Assumptions!$B$15)</f>
        <v>-0.0166853787427466</v>
      </c>
      <c r="E194" s="8" t="n">
        <f aca="true">NORMINV(RAND(),Assumptions!$B$14,Assumptions!$B$15)</f>
        <v>0.0636753255088404</v>
      </c>
      <c r="F194" s="8" t="n">
        <f aca="true">NORMINV(RAND(),Assumptions!$B$14,Assumptions!$B$15)</f>
        <v>0.0280108722318563</v>
      </c>
      <c r="G194" s="8" t="n">
        <f aca="true">NORMINV(RAND(),Assumptions!$B$14,Assumptions!$B$15)</f>
        <v>0.0532901156543012</v>
      </c>
      <c r="H194" s="8" t="n">
        <f aca="true">NORMINV(RAND(),Assumptions!$B$14,Assumptions!$B$15)</f>
        <v>0.0449943391320205</v>
      </c>
      <c r="I194" s="8" t="n">
        <f aca="true">NORMINV(RAND(),Assumptions!$B$14,Assumptions!$B$15)</f>
        <v>0.0334175427209338</v>
      </c>
      <c r="J194" s="8" t="n">
        <f aca="true">NORMINV(RAND(),Assumptions!$B$14,Assumptions!$B$15)</f>
        <v>0.0628679331274459</v>
      </c>
      <c r="K194" s="8" t="n">
        <f aca="true">NORMINV(RAND(),Assumptions!$B$14,Assumptions!$B$15)</f>
        <v>0.0383296789629892</v>
      </c>
      <c r="L194" s="8" t="n">
        <f aca="true">NORMINV(RAND(),Assumptions!$B$14,Assumptions!$B$15)</f>
        <v>0.0206957936212811</v>
      </c>
      <c r="M194" s="6" t="n">
        <f aca="false">B194-Assumptions!$B$29</f>
        <v>391263.996662504</v>
      </c>
      <c r="N194" s="6" t="n">
        <f aca="false">W194-Assumptions!$B$29</f>
        <v>361439.640899838</v>
      </c>
      <c r="O194" s="6" t="n">
        <f aca="false">X194-Assumptions!$B$29</f>
        <v>305408.883598782</v>
      </c>
      <c r="P194" s="6" t="n">
        <f aca="false">Y194-Assumptions!$B$29</f>
        <v>274855.893675226</v>
      </c>
      <c r="Q194" s="6" t="n">
        <f aca="false">Z194-Assumptions!$B$29</f>
        <v>232554.846995136</v>
      </c>
      <c r="R194" s="6" t="n">
        <f aca="false">AA194-Assumptions!$B$29</f>
        <v>194947.721687475</v>
      </c>
      <c r="S194" s="6" t="n">
        <f aca="false">AB194-Assumptions!$B$29</f>
        <v>153719.265590096</v>
      </c>
      <c r="T194" s="6" t="n">
        <f aca="false">AC194-Assumptions!$B$29</f>
        <v>108856.185714983</v>
      </c>
      <c r="U194" s="6" t="n">
        <f aca="false">AD194-Assumptions!$B$29</f>
        <v>65699.7491190217</v>
      </c>
      <c r="V194" s="6" t="n">
        <f aca="false">AE194-Assumptions!$B$29</f>
        <v>18217.9994107027</v>
      </c>
      <c r="W194" s="6" t="n">
        <f aca="false">M194*(1+C194)</f>
        <v>411439.640899838</v>
      </c>
      <c r="X194" s="6" t="n">
        <f aca="false">N194*(1+D194)</f>
        <v>355408.883598782</v>
      </c>
      <c r="Y194" s="6" t="n">
        <f aca="false">O194*(1+E194)</f>
        <v>324855.893675226</v>
      </c>
      <c r="Z194" s="6" t="n">
        <f aca="false">P194*(1+F194)</f>
        <v>282554.846995136</v>
      </c>
      <c r="AA194" s="6" t="n">
        <f aca="false">Q194*(1+G194)</f>
        <v>244947.721687475</v>
      </c>
      <c r="AB194" s="6" t="n">
        <f aca="false">R194*(1+H194)</f>
        <v>203719.265590096</v>
      </c>
      <c r="AC194" s="6" t="n">
        <f aca="false">S194*(1+I194)</f>
        <v>158856.185714983</v>
      </c>
      <c r="AD194" s="6" t="n">
        <f aca="false">T194*(1+J194)</f>
        <v>115699.749119022</v>
      </c>
      <c r="AE194" s="6" t="n">
        <f aca="false">U194*(1+K194)</f>
        <v>68217.9994107027</v>
      </c>
      <c r="AF194" s="6" t="n">
        <f aca="false">V194*(1+L194)</f>
        <v>18595.0353666992</v>
      </c>
      <c r="AG194" s="6" t="n">
        <f aca="false">MIN(M194:V194)</f>
        <v>18217.9994107027</v>
      </c>
      <c r="AH194" s="19" t="n">
        <f aca="false">IF(AG194&gt;=0,1,0)</f>
        <v>1</v>
      </c>
    </row>
    <row r="195" customFormat="false" ht="15" hidden="false" customHeight="false" outlineLevel="0" collapsed="false">
      <c r="A195" s="0" t="n">
        <f aca="false">ROW()-1</f>
        <v>194</v>
      </c>
      <c r="B195" s="6" t="n">
        <f aca="false">Assumptions!$B$35</f>
        <v>441263.996662504</v>
      </c>
      <c r="C195" s="8" t="n">
        <f aca="true">NORMINV(RAND(),Assumptions!$B$14,Assumptions!$B$15)</f>
        <v>0.010413082793945</v>
      </c>
      <c r="D195" s="8" t="n">
        <f aca="true">NORMINV(RAND(),Assumptions!$B$14,Assumptions!$B$15)</f>
        <v>0.0219342198594593</v>
      </c>
      <c r="E195" s="8" t="n">
        <f aca="true">NORMINV(RAND(),Assumptions!$B$14,Assumptions!$B$15)</f>
        <v>0.0132922406944386</v>
      </c>
      <c r="F195" s="8" t="n">
        <f aca="true">NORMINV(RAND(),Assumptions!$B$14,Assumptions!$B$15)</f>
        <v>0.00637292086461453</v>
      </c>
      <c r="G195" s="8" t="n">
        <f aca="true">NORMINV(RAND(),Assumptions!$B$14,Assumptions!$B$15)</f>
        <v>0.058709830205468</v>
      </c>
      <c r="H195" s="8" t="n">
        <f aca="true">NORMINV(RAND(),Assumptions!$B$14,Assumptions!$B$15)</f>
        <v>0.101210492909888</v>
      </c>
      <c r="I195" s="8" t="n">
        <f aca="true">NORMINV(RAND(),Assumptions!$B$14,Assumptions!$B$15)</f>
        <v>0.0926757692154863</v>
      </c>
      <c r="J195" s="8" t="n">
        <f aca="true">NORMINV(RAND(),Assumptions!$B$14,Assumptions!$B$15)</f>
        <v>0.0262296079503628</v>
      </c>
      <c r="K195" s="8" t="n">
        <f aca="true">NORMINV(RAND(),Assumptions!$B$14,Assumptions!$B$15)</f>
        <v>0.00784304862968122</v>
      </c>
      <c r="L195" s="8" t="n">
        <f aca="true">NORMINV(RAND(),Assumptions!$B$14,Assumptions!$B$15)</f>
        <v>0.0649344635087209</v>
      </c>
      <c r="M195" s="6" t="n">
        <f aca="false">B195-Assumptions!$B$29</f>
        <v>391263.996662504</v>
      </c>
      <c r="N195" s="6" t="n">
        <f aca="false">W195-Assumptions!$B$29</f>
        <v>345338.26105404</v>
      </c>
      <c r="O195" s="6" t="n">
        <f aca="false">X195-Assumptions!$B$29</f>
        <v>302912.986397883</v>
      </c>
      <c r="P195" s="6" t="n">
        <f aca="false">Y195-Assumptions!$B$29</f>
        <v>256939.378722554</v>
      </c>
      <c r="Q195" s="6" t="n">
        <f aca="false">Z195-Assumptions!$B$29</f>
        <v>208576.833050157</v>
      </c>
      <c r="R195" s="6" t="n">
        <f aca="false">AA195-Assumptions!$B$29</f>
        <v>170822.343503326</v>
      </c>
      <c r="S195" s="6" t="n">
        <f aca="false">AB195-Assumptions!$B$29</f>
        <v>138111.357089319</v>
      </c>
      <c r="T195" s="6" t="n">
        <f aca="false">AC195-Assumptions!$B$29</f>
        <v>100910.933344967</v>
      </c>
      <c r="U195" s="6" t="n">
        <f aca="false">AD195-Assumptions!$B$29</f>
        <v>53557.7875645104</v>
      </c>
      <c r="V195" s="6" t="n">
        <f aca="false">AE195-Assumptions!$B$29</f>
        <v>3977.84389687696</v>
      </c>
      <c r="W195" s="6" t="n">
        <f aca="false">M195*(1+C195)</f>
        <v>395338.26105404</v>
      </c>
      <c r="X195" s="6" t="n">
        <f aca="false">N195*(1+D195)</f>
        <v>352912.986397883</v>
      </c>
      <c r="Y195" s="6" t="n">
        <f aca="false">O195*(1+E195)</f>
        <v>306939.378722555</v>
      </c>
      <c r="Z195" s="6" t="n">
        <f aca="false">P195*(1+F195)</f>
        <v>258576.833050157</v>
      </c>
      <c r="AA195" s="6" t="n">
        <f aca="false">Q195*(1+G195)</f>
        <v>220822.343503326</v>
      </c>
      <c r="AB195" s="6" t="n">
        <f aca="false">R195*(1+H195)</f>
        <v>188111.357089319</v>
      </c>
      <c r="AC195" s="6" t="n">
        <f aca="false">S195*(1+I195)</f>
        <v>150910.933344967</v>
      </c>
      <c r="AD195" s="6" t="n">
        <f aca="false">T195*(1+J195)</f>
        <v>103557.78756451</v>
      </c>
      <c r="AE195" s="6" t="n">
        <f aca="false">U195*(1+K195)</f>
        <v>53977.843896877</v>
      </c>
      <c r="AF195" s="6" t="n">
        <f aca="false">V195*(1+L195)</f>
        <v>4236.1430562421</v>
      </c>
      <c r="AG195" s="6" t="n">
        <f aca="false">MIN(M195:V195)</f>
        <v>3977.84389687696</v>
      </c>
      <c r="AH195" s="19" t="n">
        <f aca="false">IF(AG195&gt;=0,1,0)</f>
        <v>1</v>
      </c>
    </row>
    <row r="196" customFormat="false" ht="15" hidden="false" customHeight="false" outlineLevel="0" collapsed="false">
      <c r="A196" s="0" t="n">
        <f aca="false">ROW()-1</f>
        <v>195</v>
      </c>
      <c r="B196" s="6" t="n">
        <f aca="false">Assumptions!$B$35</f>
        <v>441263.996662504</v>
      </c>
      <c r="C196" s="8" t="n">
        <f aca="true">NORMINV(RAND(),Assumptions!$B$14,Assumptions!$B$15)</f>
        <v>0.0544051465890121</v>
      </c>
      <c r="D196" s="8" t="n">
        <f aca="true">NORMINV(RAND(),Assumptions!$B$14,Assumptions!$B$15)</f>
        <v>0.0779332613865014</v>
      </c>
      <c r="E196" s="8" t="n">
        <f aca="true">NORMINV(RAND(),Assumptions!$B$14,Assumptions!$B$15)</f>
        <v>-0.00366057029755347</v>
      </c>
      <c r="F196" s="8" t="n">
        <f aca="true">NORMINV(RAND(),Assumptions!$B$14,Assumptions!$B$15)</f>
        <v>0.00773477316188215</v>
      </c>
      <c r="G196" s="8" t="n">
        <f aca="true">NORMINV(RAND(),Assumptions!$B$14,Assumptions!$B$15)</f>
        <v>0.0579886409435972</v>
      </c>
      <c r="H196" s="8" t="n">
        <f aca="true">NORMINV(RAND(),Assumptions!$B$14,Assumptions!$B$15)</f>
        <v>0.00567541632183876</v>
      </c>
      <c r="I196" s="8" t="n">
        <f aca="true">NORMINV(RAND(),Assumptions!$B$14,Assumptions!$B$15)</f>
        <v>0.0428051810494646</v>
      </c>
      <c r="J196" s="8" t="n">
        <f aca="true">NORMINV(RAND(),Assumptions!$B$14,Assumptions!$B$15)</f>
        <v>0.0346263526118506</v>
      </c>
      <c r="K196" s="8" t="n">
        <f aca="true">NORMINV(RAND(),Assumptions!$B$14,Assumptions!$B$15)</f>
        <v>0.0940724678590663</v>
      </c>
      <c r="L196" s="8" t="n">
        <f aca="true">NORMINV(RAND(),Assumptions!$B$14,Assumptions!$B$15)</f>
        <v>0.0503529052752676</v>
      </c>
      <c r="M196" s="6" t="n">
        <f aca="false">B196-Assumptions!$B$29</f>
        <v>391263.996662504</v>
      </c>
      <c r="N196" s="6" t="n">
        <f aca="false">W196-Assumptions!$B$29</f>
        <v>362550.77175593</v>
      </c>
      <c r="O196" s="6" t="n">
        <f aca="false">X196-Assumptions!$B$29</f>
        <v>340805.535817062</v>
      </c>
      <c r="P196" s="6" t="n">
        <f aca="false">Y196-Assumptions!$B$29</f>
        <v>289557.993195409</v>
      </c>
      <c r="Q196" s="6" t="n">
        <f aca="false">Z196-Assumptions!$B$29</f>
        <v>241797.658589985</v>
      </c>
      <c r="R196" s="6" t="n">
        <f aca="false">AA196-Assumptions!$B$29</f>
        <v>205819.176194962</v>
      </c>
      <c r="S196" s="6" t="n">
        <f aca="false">AB196-Assumptions!$B$29</f>
        <v>156987.285706886</v>
      </c>
      <c r="T196" s="6" t="n">
        <f aca="false">AC196-Assumptions!$B$29</f>
        <v>113707.154894034</v>
      </c>
      <c r="U196" s="6" t="n">
        <f aca="false">AD196-Assumptions!$B$29</f>
        <v>67644.4189338849</v>
      </c>
      <c r="V196" s="6" t="n">
        <f aca="false">AE196-Assumptions!$B$29</f>
        <v>24007.896359888</v>
      </c>
      <c r="W196" s="6" t="n">
        <f aca="false">M196*(1+C196)</f>
        <v>412550.77175593</v>
      </c>
      <c r="X196" s="6" t="n">
        <f aca="false">N196*(1+D196)</f>
        <v>390805.535817062</v>
      </c>
      <c r="Y196" s="6" t="n">
        <f aca="false">O196*(1+E196)</f>
        <v>339557.993195409</v>
      </c>
      <c r="Z196" s="6" t="n">
        <f aca="false">P196*(1+F196)</f>
        <v>291797.658589985</v>
      </c>
      <c r="AA196" s="6" t="n">
        <f aca="false">Q196*(1+G196)</f>
        <v>255819.176194962</v>
      </c>
      <c r="AB196" s="6" t="n">
        <f aca="false">R196*(1+H196)</f>
        <v>206987.285706886</v>
      </c>
      <c r="AC196" s="6" t="n">
        <f aca="false">S196*(1+I196)</f>
        <v>163707.154894034</v>
      </c>
      <c r="AD196" s="6" t="n">
        <f aca="false">T196*(1+J196)</f>
        <v>117644.418933885</v>
      </c>
      <c r="AE196" s="6" t="n">
        <f aca="false">U196*(1+K196)</f>
        <v>74007.896359888</v>
      </c>
      <c r="AF196" s="6" t="n">
        <f aca="false">V196*(1+L196)</f>
        <v>25216.7636911558</v>
      </c>
      <c r="AG196" s="6" t="n">
        <f aca="false">MIN(M196:V196)</f>
        <v>24007.896359888</v>
      </c>
      <c r="AH196" s="19" t="n">
        <f aca="false">IF(AG196&gt;=0,1,0)</f>
        <v>1</v>
      </c>
    </row>
    <row r="197" customFormat="false" ht="15" hidden="false" customHeight="false" outlineLevel="0" collapsed="false">
      <c r="A197" s="0" t="n">
        <f aca="false">ROW()-1</f>
        <v>196</v>
      </c>
      <c r="B197" s="6" t="n">
        <f aca="false">Assumptions!$B$35</f>
        <v>441263.996662504</v>
      </c>
      <c r="C197" s="8" t="n">
        <f aca="true">NORMINV(RAND(),Assumptions!$B$14,Assumptions!$B$15)</f>
        <v>0.0290584809996468</v>
      </c>
      <c r="D197" s="8" t="n">
        <f aca="true">NORMINV(RAND(),Assumptions!$B$14,Assumptions!$B$15)</f>
        <v>0.0660323735244892</v>
      </c>
      <c r="E197" s="8" t="n">
        <f aca="true">NORMINV(RAND(),Assumptions!$B$14,Assumptions!$B$15)</f>
        <v>0.0227524220921015</v>
      </c>
      <c r="F197" s="8" t="n">
        <f aca="true">NORMINV(RAND(),Assumptions!$B$14,Assumptions!$B$15)</f>
        <v>0.0394968396251772</v>
      </c>
      <c r="G197" s="8" t="n">
        <f aca="true">NORMINV(RAND(),Assumptions!$B$14,Assumptions!$B$15)</f>
        <v>0.143698814300643</v>
      </c>
      <c r="H197" s="8" t="n">
        <f aca="true">NORMINV(RAND(),Assumptions!$B$14,Assumptions!$B$15)</f>
        <v>0.0354519497725098</v>
      </c>
      <c r="I197" s="8" t="n">
        <f aca="true">NORMINV(RAND(),Assumptions!$B$14,Assumptions!$B$15)</f>
        <v>0.0292643009319069</v>
      </c>
      <c r="J197" s="8" t="n">
        <f aca="true">NORMINV(RAND(),Assumptions!$B$14,Assumptions!$B$15)</f>
        <v>0.0401237732681115</v>
      </c>
      <c r="K197" s="8" t="n">
        <f aca="true">NORMINV(RAND(),Assumptions!$B$14,Assumptions!$B$15)</f>
        <v>0.0340562798410401</v>
      </c>
      <c r="L197" s="8" t="n">
        <f aca="true">NORMINV(RAND(),Assumptions!$B$14,Assumptions!$B$15)</f>
        <v>0.0750820165866733</v>
      </c>
      <c r="M197" s="6" t="n">
        <f aca="false">B197-Assumptions!$B$29</f>
        <v>391263.996662504</v>
      </c>
      <c r="N197" s="6" t="n">
        <f aca="false">W197-Assumptions!$B$29</f>
        <v>352633.534075367</v>
      </c>
      <c r="O197" s="6" t="n">
        <f aca="false">X197-Assumptions!$B$29</f>
        <v>325918.763314692</v>
      </c>
      <c r="P197" s="6" t="n">
        <f aca="false">Y197-Assumptions!$B$29</f>
        <v>283334.204585364</v>
      </c>
      <c r="Q197" s="6" t="n">
        <f aca="false">Z197-Assumptions!$B$29</f>
        <v>244525.010224199</v>
      </c>
      <c r="R197" s="6" t="n">
        <f aca="false">AA197-Assumptions!$B$29</f>
        <v>229662.964260269</v>
      </c>
      <c r="S197" s="6" t="n">
        <f aca="false">AB197-Assumptions!$B$29</f>
        <v>187804.96413383</v>
      </c>
      <c r="T197" s="6" t="n">
        <f aca="false">AC197-Assumptions!$B$29</f>
        <v>143300.945120748</v>
      </c>
      <c r="U197" s="6" t="n">
        <f aca="false">AD197-Assumptions!$B$29</f>
        <v>99050.719751879</v>
      </c>
      <c r="V197" s="6" t="n">
        <f aca="false">AE197-Assumptions!$B$29</f>
        <v>52424.0187822054</v>
      </c>
      <c r="W197" s="6" t="n">
        <f aca="false">M197*(1+C197)</f>
        <v>402633.534075367</v>
      </c>
      <c r="X197" s="6" t="n">
        <f aca="false">N197*(1+D197)</f>
        <v>375918.763314692</v>
      </c>
      <c r="Y197" s="6" t="n">
        <f aca="false">O197*(1+E197)</f>
        <v>333334.204585364</v>
      </c>
      <c r="Z197" s="6" t="n">
        <f aca="false">P197*(1+F197)</f>
        <v>294525.010224199</v>
      </c>
      <c r="AA197" s="6" t="n">
        <f aca="false">Q197*(1+G197)</f>
        <v>279662.964260269</v>
      </c>
      <c r="AB197" s="6" t="n">
        <f aca="false">R197*(1+H197)</f>
        <v>237804.96413383</v>
      </c>
      <c r="AC197" s="6" t="n">
        <f aca="false">S197*(1+I197)</f>
        <v>193300.945120748</v>
      </c>
      <c r="AD197" s="6" t="n">
        <f aca="false">T197*(1+J197)</f>
        <v>149050.719751879</v>
      </c>
      <c r="AE197" s="6" t="n">
        <f aca="false">U197*(1+K197)</f>
        <v>102424.018782205</v>
      </c>
      <c r="AF197" s="6" t="n">
        <f aca="false">V197*(1+L197)</f>
        <v>56360.119829951</v>
      </c>
      <c r="AG197" s="6" t="n">
        <f aca="false">MIN(M197:V197)</f>
        <v>52424.0187822054</v>
      </c>
      <c r="AH197" s="19" t="n">
        <f aca="false">IF(AG197&gt;=0,1,0)</f>
        <v>1</v>
      </c>
    </row>
    <row r="198" customFormat="false" ht="15" hidden="false" customHeight="false" outlineLevel="0" collapsed="false">
      <c r="A198" s="0" t="n">
        <f aca="false">ROW()-1</f>
        <v>197</v>
      </c>
      <c r="B198" s="6" t="n">
        <f aca="false">Assumptions!$B$35</f>
        <v>441263.996662504</v>
      </c>
      <c r="C198" s="8" t="n">
        <f aca="true">NORMINV(RAND(),Assumptions!$B$14,Assumptions!$B$15)</f>
        <v>0.0390069501335053</v>
      </c>
      <c r="D198" s="8" t="n">
        <f aca="true">NORMINV(RAND(),Assumptions!$B$14,Assumptions!$B$15)</f>
        <v>0.0831810476686805</v>
      </c>
      <c r="E198" s="8" t="n">
        <f aca="true">NORMINV(RAND(),Assumptions!$B$14,Assumptions!$B$15)</f>
        <v>0.0689077126265774</v>
      </c>
      <c r="F198" s="8" t="n">
        <f aca="true">NORMINV(RAND(),Assumptions!$B$14,Assumptions!$B$15)</f>
        <v>0.0655226841267702</v>
      </c>
      <c r="G198" s="8" t="n">
        <f aca="true">NORMINV(RAND(),Assumptions!$B$14,Assumptions!$B$15)</f>
        <v>0.0395149445844585</v>
      </c>
      <c r="H198" s="8" t="n">
        <f aca="true">NORMINV(RAND(),Assumptions!$B$14,Assumptions!$B$15)</f>
        <v>0.0446487592488645</v>
      </c>
      <c r="I198" s="8" t="n">
        <f aca="true">NORMINV(RAND(),Assumptions!$B$14,Assumptions!$B$15)</f>
        <v>0.0572848046319062</v>
      </c>
      <c r="J198" s="8" t="n">
        <f aca="true">NORMINV(RAND(),Assumptions!$B$14,Assumptions!$B$15)</f>
        <v>0.0626297873457108</v>
      </c>
      <c r="K198" s="8" t="n">
        <f aca="true">NORMINV(RAND(),Assumptions!$B$14,Assumptions!$B$15)</f>
        <v>0.035661095384046</v>
      </c>
      <c r="L198" s="8" t="n">
        <f aca="true">NORMINV(RAND(),Assumptions!$B$14,Assumptions!$B$15)</f>
        <v>0.0244668031100222</v>
      </c>
      <c r="M198" s="6" t="n">
        <f aca="false">B198-Assumptions!$B$29</f>
        <v>391263.996662504</v>
      </c>
      <c r="N198" s="6" t="n">
        <f aca="false">W198-Assumptions!$B$29</f>
        <v>356526.011869354</v>
      </c>
      <c r="O198" s="6" t="n">
        <f aca="false">X198-Assumptions!$B$29</f>
        <v>336182.219057783</v>
      </c>
      <c r="P198" s="6" t="n">
        <f aca="false">Y198-Assumptions!$B$29</f>
        <v>309347.766798782</v>
      </c>
      <c r="Q198" s="6" t="n">
        <f aca="false">Z198-Assumptions!$B$29</f>
        <v>279617.06280806</v>
      </c>
      <c r="R198" s="6" t="n">
        <f aca="false">AA198-Assumptions!$B$29</f>
        <v>240666.11554979</v>
      </c>
      <c r="S198" s="6" t="n">
        <f aca="false">AB198-Assumptions!$B$29</f>
        <v>201411.559002332</v>
      </c>
      <c r="T198" s="6" t="n">
        <f aca="false">AC198-Assumptions!$B$29</f>
        <v>162949.380810388</v>
      </c>
      <c r="U198" s="6" t="n">
        <f aca="false">AD198-Assumptions!$B$29</f>
        <v>123154.865878658</v>
      </c>
      <c r="V198" s="6" t="n">
        <f aca="false">AE198-Assumptions!$B$29</f>
        <v>77546.7032977659</v>
      </c>
      <c r="W198" s="6" t="n">
        <f aca="false">M198*(1+C198)</f>
        <v>406526.011869354</v>
      </c>
      <c r="X198" s="6" t="n">
        <f aca="false">N198*(1+D198)</f>
        <v>386182.219057783</v>
      </c>
      <c r="Y198" s="6" t="n">
        <f aca="false">O198*(1+E198)</f>
        <v>359347.766798782</v>
      </c>
      <c r="Z198" s="6" t="n">
        <f aca="false">P198*(1+F198)</f>
        <v>329617.06280806</v>
      </c>
      <c r="AA198" s="6" t="n">
        <f aca="false">Q198*(1+G198)</f>
        <v>290666.11554979</v>
      </c>
      <c r="AB198" s="6" t="n">
        <f aca="false">R198*(1+H198)</f>
        <v>251411.559002332</v>
      </c>
      <c r="AC198" s="6" t="n">
        <f aca="false">S198*(1+I198)</f>
        <v>212949.380810388</v>
      </c>
      <c r="AD198" s="6" t="n">
        <f aca="false">T198*(1+J198)</f>
        <v>173154.865878658</v>
      </c>
      <c r="AE198" s="6" t="n">
        <f aca="false">U198*(1+K198)</f>
        <v>127546.703297766</v>
      </c>
      <c r="AF198" s="6" t="n">
        <f aca="false">V198*(1+L198)</f>
        <v>79444.0232191837</v>
      </c>
      <c r="AG198" s="6" t="n">
        <f aca="false">MIN(M198:V198)</f>
        <v>77546.7032977659</v>
      </c>
      <c r="AH198" s="19" t="n">
        <f aca="false">IF(AG198&gt;=0,1,0)</f>
        <v>1</v>
      </c>
    </row>
    <row r="199" customFormat="false" ht="15" hidden="false" customHeight="false" outlineLevel="0" collapsed="false">
      <c r="A199" s="0" t="n">
        <f aca="false">ROW()-1</f>
        <v>198</v>
      </c>
      <c r="B199" s="6" t="n">
        <f aca="false">Assumptions!$B$35</f>
        <v>441263.996662504</v>
      </c>
      <c r="C199" s="8" t="n">
        <f aca="true">NORMINV(RAND(),Assumptions!$B$14,Assumptions!$B$15)</f>
        <v>0.0275640108038343</v>
      </c>
      <c r="D199" s="8" t="n">
        <f aca="true">NORMINV(RAND(),Assumptions!$B$14,Assumptions!$B$15)</f>
        <v>0.0420397213777179</v>
      </c>
      <c r="E199" s="8" t="n">
        <f aca="true">NORMINV(RAND(),Assumptions!$B$14,Assumptions!$B$15)</f>
        <v>0.021678090792699</v>
      </c>
      <c r="F199" s="8" t="n">
        <f aca="true">NORMINV(RAND(),Assumptions!$B$14,Assumptions!$B$15)</f>
        <v>0.109068516703201</v>
      </c>
      <c r="G199" s="8" t="n">
        <f aca="true">NORMINV(RAND(),Assumptions!$B$14,Assumptions!$B$15)</f>
        <v>0.0117426699773987</v>
      </c>
      <c r="H199" s="8" t="n">
        <f aca="true">NORMINV(RAND(),Assumptions!$B$14,Assumptions!$B$15)</f>
        <v>0.0525930049386288</v>
      </c>
      <c r="I199" s="8" t="n">
        <f aca="true">NORMINV(RAND(),Assumptions!$B$14,Assumptions!$B$15)</f>
        <v>0.000516281864077851</v>
      </c>
      <c r="J199" s="8" t="n">
        <f aca="true">NORMINV(RAND(),Assumptions!$B$14,Assumptions!$B$15)</f>
        <v>0.0744720084126859</v>
      </c>
      <c r="K199" s="8" t="n">
        <f aca="true">NORMINV(RAND(),Assumptions!$B$14,Assumptions!$B$15)</f>
        <v>0.0401821208802314</v>
      </c>
      <c r="L199" s="8" t="n">
        <f aca="true">NORMINV(RAND(),Assumptions!$B$14,Assumptions!$B$15)</f>
        <v>0.102079451822697</v>
      </c>
      <c r="M199" s="6" t="n">
        <f aca="false">B199-Assumptions!$B$29</f>
        <v>391263.996662504</v>
      </c>
      <c r="N199" s="6" t="n">
        <f aca="false">W199-Assumptions!$B$29</f>
        <v>352048.80169366</v>
      </c>
      <c r="O199" s="6" t="n">
        <f aca="false">X199-Assumptions!$B$29</f>
        <v>316848.835228221</v>
      </c>
      <c r="P199" s="6" t="n">
        <f aca="false">Y199-Assumptions!$B$29</f>
        <v>273717.513045859</v>
      </c>
      <c r="Q199" s="6" t="n">
        <f aca="false">Z199-Assumptions!$B$29</f>
        <v>253571.47618946</v>
      </c>
      <c r="R199" s="6" t="n">
        <f aca="false">AA199-Assumptions!$B$29</f>
        <v>206549.082350035</v>
      </c>
      <c r="S199" s="6" t="n">
        <f aca="false">AB199-Assumptions!$B$29</f>
        <v>167412.11925814</v>
      </c>
      <c r="T199" s="6" t="n">
        <f aca="false">AC199-Assumptions!$B$29</f>
        <v>117498.551099139</v>
      </c>
      <c r="U199" s="6" t="n">
        <f aca="false">AD199-Assumptions!$B$29</f>
        <v>76248.9041850729</v>
      </c>
      <c r="V199" s="6" t="n">
        <f aca="false">AE199-Assumptions!$B$29</f>
        <v>29312.7468700226</v>
      </c>
      <c r="W199" s="6" t="n">
        <f aca="false">M199*(1+C199)</f>
        <v>402048.80169366</v>
      </c>
      <c r="X199" s="6" t="n">
        <f aca="false">N199*(1+D199)</f>
        <v>366848.835228221</v>
      </c>
      <c r="Y199" s="6" t="n">
        <f aca="false">O199*(1+E199)</f>
        <v>323717.513045859</v>
      </c>
      <c r="Z199" s="6" t="n">
        <f aca="false">P199*(1+F199)</f>
        <v>303571.47618946</v>
      </c>
      <c r="AA199" s="6" t="n">
        <f aca="false">Q199*(1+G199)</f>
        <v>256549.082350035</v>
      </c>
      <c r="AB199" s="6" t="n">
        <f aca="false">R199*(1+H199)</f>
        <v>217412.11925814</v>
      </c>
      <c r="AC199" s="6" t="n">
        <f aca="false">S199*(1+I199)</f>
        <v>167498.551099139</v>
      </c>
      <c r="AD199" s="6" t="n">
        <f aca="false">T199*(1+J199)</f>
        <v>126248.904185073</v>
      </c>
      <c r="AE199" s="6" t="n">
        <f aca="false">U199*(1+K199)</f>
        <v>79312.7468700227</v>
      </c>
      <c r="AF199" s="6" t="n">
        <f aca="false">V199*(1+L199)</f>
        <v>32304.976001932</v>
      </c>
      <c r="AG199" s="6" t="n">
        <f aca="false">MIN(M199:V199)</f>
        <v>29312.7468700226</v>
      </c>
      <c r="AH199" s="19" t="n">
        <f aca="false">IF(AG199&gt;=0,1,0)</f>
        <v>1</v>
      </c>
    </row>
    <row r="200" customFormat="false" ht="15" hidden="false" customHeight="false" outlineLevel="0" collapsed="false">
      <c r="A200" s="0" t="n">
        <f aca="false">ROW()-1</f>
        <v>199</v>
      </c>
      <c r="B200" s="6" t="n">
        <f aca="false">Assumptions!$B$35</f>
        <v>441263.996662504</v>
      </c>
      <c r="C200" s="8" t="n">
        <f aca="true">NORMINV(RAND(),Assumptions!$B$14,Assumptions!$B$15)</f>
        <v>0.0732459675993201</v>
      </c>
      <c r="D200" s="8" t="n">
        <f aca="true">NORMINV(RAND(),Assumptions!$B$14,Assumptions!$B$15)</f>
        <v>0.0443821022009531</v>
      </c>
      <c r="E200" s="8" t="n">
        <f aca="true">NORMINV(RAND(),Assumptions!$B$14,Assumptions!$B$15)</f>
        <v>0.053013963742666</v>
      </c>
      <c r="F200" s="8" t="n">
        <f aca="true">NORMINV(RAND(),Assumptions!$B$14,Assumptions!$B$15)</f>
        <v>0.0434361687449489</v>
      </c>
      <c r="G200" s="8" t="n">
        <f aca="true">NORMINV(RAND(),Assumptions!$B$14,Assumptions!$B$15)</f>
        <v>0.100835746325402</v>
      </c>
      <c r="H200" s="8" t="n">
        <f aca="true">NORMINV(RAND(),Assumptions!$B$14,Assumptions!$B$15)</f>
        <v>0.0460642179121292</v>
      </c>
      <c r="I200" s="8" t="n">
        <f aca="true">NORMINV(RAND(),Assumptions!$B$14,Assumptions!$B$15)</f>
        <v>0.0529922397128093</v>
      </c>
      <c r="J200" s="8" t="n">
        <f aca="true">NORMINV(RAND(),Assumptions!$B$14,Assumptions!$B$15)</f>
        <v>0.0714269806441179</v>
      </c>
      <c r="K200" s="8" t="n">
        <f aca="true">NORMINV(RAND(),Assumptions!$B$14,Assumptions!$B$15)</f>
        <v>0.036753033508152</v>
      </c>
      <c r="L200" s="8" t="n">
        <f aca="true">NORMINV(RAND(),Assumptions!$B$14,Assumptions!$B$15)</f>
        <v>0.0142610169110043</v>
      </c>
      <c r="M200" s="6" t="n">
        <f aca="false">B200-Assumptions!$B$29</f>
        <v>391263.996662504</v>
      </c>
      <c r="N200" s="6" t="n">
        <f aca="false">W200-Assumptions!$B$29</f>
        <v>369922.506684826</v>
      </c>
      <c r="O200" s="6" t="n">
        <f aca="false">X200-Assumptions!$B$29</f>
        <v>336340.445182944</v>
      </c>
      <c r="P200" s="6" t="n">
        <f aca="false">Y200-Assumptions!$B$29</f>
        <v>304171.185349065</v>
      </c>
      <c r="Q200" s="6" t="n">
        <f aca="false">Z200-Assumptions!$B$29</f>
        <v>267383.216283238</v>
      </c>
      <c r="R200" s="6" t="n">
        <f aca="false">AA200-Assumptions!$B$29</f>
        <v>244345.002452045</v>
      </c>
      <c r="S200" s="6" t="n">
        <f aca="false">AB200-Assumptions!$B$29</f>
        <v>205600.563890736</v>
      </c>
      <c r="T200" s="6" t="n">
        <f aca="false">AC200-Assumptions!$B$29</f>
        <v>166495.798257523</v>
      </c>
      <c r="U200" s="6" t="n">
        <f aca="false">AD200-Assumptions!$B$29</f>
        <v>128388.09041699</v>
      </c>
      <c r="V200" s="6" t="n">
        <f aca="false">AE200-Assumptions!$B$29</f>
        <v>83106.7422061328</v>
      </c>
      <c r="W200" s="6" t="n">
        <f aca="false">M200*(1+C200)</f>
        <v>419922.506684826</v>
      </c>
      <c r="X200" s="6" t="n">
        <f aca="false">N200*(1+D200)</f>
        <v>386340.445182944</v>
      </c>
      <c r="Y200" s="6" t="n">
        <f aca="false">O200*(1+E200)</f>
        <v>354171.185349065</v>
      </c>
      <c r="Z200" s="6" t="n">
        <f aca="false">P200*(1+F200)</f>
        <v>317383.216283238</v>
      </c>
      <c r="AA200" s="6" t="n">
        <f aca="false">Q200*(1+G200)</f>
        <v>294345.002452045</v>
      </c>
      <c r="AB200" s="6" t="n">
        <f aca="false">R200*(1+H200)</f>
        <v>255600.563890736</v>
      </c>
      <c r="AC200" s="6" t="n">
        <f aca="false">S200*(1+I200)</f>
        <v>216495.798257523</v>
      </c>
      <c r="AD200" s="6" t="n">
        <f aca="false">T200*(1+J200)</f>
        <v>178388.09041699</v>
      </c>
      <c r="AE200" s="6" t="n">
        <f aca="false">U200*(1+K200)</f>
        <v>133106.742206133</v>
      </c>
      <c r="AF200" s="6" t="n">
        <f aca="false">V200*(1+L200)</f>
        <v>84291.928862153</v>
      </c>
      <c r="AG200" s="6" t="n">
        <f aca="false">MIN(M200:V200)</f>
        <v>83106.7422061328</v>
      </c>
      <c r="AH200" s="19" t="n">
        <f aca="false">IF(AG200&gt;=0,1,0)</f>
        <v>1</v>
      </c>
    </row>
    <row r="201" customFormat="false" ht="15" hidden="false" customHeight="false" outlineLevel="0" collapsed="false">
      <c r="A201" s="0" t="n">
        <f aca="false">ROW()-1</f>
        <v>200</v>
      </c>
      <c r="B201" s="6" t="n">
        <f aca="false">Assumptions!$B$35</f>
        <v>441263.996662504</v>
      </c>
      <c r="C201" s="8" t="n">
        <f aca="true">NORMINV(RAND(),Assumptions!$B$14,Assumptions!$B$15)</f>
        <v>0.0175430324263097</v>
      </c>
      <c r="D201" s="8" t="n">
        <f aca="true">NORMINV(RAND(),Assumptions!$B$14,Assumptions!$B$15)</f>
        <v>0.0447317844287448</v>
      </c>
      <c r="E201" s="8" t="n">
        <f aca="true">NORMINV(RAND(),Assumptions!$B$14,Assumptions!$B$15)</f>
        <v>0.0373811747684319</v>
      </c>
      <c r="F201" s="8" t="n">
        <f aca="true">NORMINV(RAND(),Assumptions!$B$14,Assumptions!$B$15)</f>
        <v>0.114248542914244</v>
      </c>
      <c r="G201" s="8" t="n">
        <f aca="true">NORMINV(RAND(),Assumptions!$B$14,Assumptions!$B$15)</f>
        <v>0.0287559622343778</v>
      </c>
      <c r="H201" s="8" t="n">
        <f aca="true">NORMINV(RAND(),Assumptions!$B$14,Assumptions!$B$15)</f>
        <v>0.0646119602739427</v>
      </c>
      <c r="I201" s="8" t="n">
        <f aca="true">NORMINV(RAND(),Assumptions!$B$14,Assumptions!$B$15)</f>
        <v>0.0168724855574362</v>
      </c>
      <c r="J201" s="8" t="n">
        <f aca="true">NORMINV(RAND(),Assumptions!$B$14,Assumptions!$B$15)</f>
        <v>0.0513050162001421</v>
      </c>
      <c r="K201" s="8" t="n">
        <f aca="true">NORMINV(RAND(),Assumptions!$B$14,Assumptions!$B$15)</f>
        <v>0.0447096888328631</v>
      </c>
      <c r="L201" s="8" t="n">
        <f aca="true">NORMINV(RAND(),Assumptions!$B$14,Assumptions!$B$15)</f>
        <v>0.0472890771767377</v>
      </c>
      <c r="M201" s="6" t="n">
        <f aca="false">B201-Assumptions!$B$29</f>
        <v>391263.996662504</v>
      </c>
      <c r="N201" s="6" t="n">
        <f aca="false">W201-Assumptions!$B$29</f>
        <v>348127.953643201</v>
      </c>
      <c r="O201" s="6" t="n">
        <f aca="false">X201-Assumptions!$B$29</f>
        <v>313700.338219189</v>
      </c>
      <c r="P201" s="6" t="n">
        <f aca="false">Y201-Assumptions!$B$29</f>
        <v>275426.825387077</v>
      </c>
      <c r="Q201" s="6" t="n">
        <f aca="false">Z201-Assumptions!$B$29</f>
        <v>256893.938867046</v>
      </c>
      <c r="R201" s="6" t="n">
        <f aca="false">AA201-Assumptions!$B$29</f>
        <v>214281.171271348</v>
      </c>
      <c r="S201" s="6" t="n">
        <f aca="false">AB201-Assumptions!$B$29</f>
        <v>178126.297796986</v>
      </c>
      <c r="T201" s="6" t="n">
        <f aca="false">AC201-Assumptions!$B$29</f>
        <v>131131.731183965</v>
      </c>
      <c r="U201" s="6" t="n">
        <f aca="false">AD201-Assumptions!$B$29</f>
        <v>87859.4467767112</v>
      </c>
      <c r="V201" s="6" t="n">
        <f aca="false">AE201-Assumptions!$B$29</f>
        <v>41787.6153031255</v>
      </c>
      <c r="W201" s="6" t="n">
        <f aca="false">M201*(1+C201)</f>
        <v>398127.953643201</v>
      </c>
      <c r="X201" s="6" t="n">
        <f aca="false">N201*(1+D201)</f>
        <v>363700.338219189</v>
      </c>
      <c r="Y201" s="6" t="n">
        <f aca="false">O201*(1+E201)</f>
        <v>325426.825387077</v>
      </c>
      <c r="Z201" s="6" t="n">
        <f aca="false">P201*(1+F201)</f>
        <v>306893.938867046</v>
      </c>
      <c r="AA201" s="6" t="n">
        <f aca="false">Q201*(1+G201)</f>
        <v>264281.171271348</v>
      </c>
      <c r="AB201" s="6" t="n">
        <f aca="false">R201*(1+H201)</f>
        <v>228126.297796986</v>
      </c>
      <c r="AC201" s="6" t="n">
        <f aca="false">S201*(1+I201)</f>
        <v>181131.731183965</v>
      </c>
      <c r="AD201" s="6" t="n">
        <f aca="false">T201*(1+J201)</f>
        <v>137859.446776711</v>
      </c>
      <c r="AE201" s="6" t="n">
        <f aca="false">U201*(1+K201)</f>
        <v>91787.6153031255</v>
      </c>
      <c r="AF201" s="6" t="n">
        <f aca="false">V201*(1+L201)</f>
        <v>43763.7130682268</v>
      </c>
      <c r="AG201" s="6" t="n">
        <f aca="false">MIN(M201:V201)</f>
        <v>41787.6153031255</v>
      </c>
      <c r="AH201" s="19" t="n">
        <f aca="false">IF(AG201&gt;=0,1,0)</f>
        <v>1</v>
      </c>
    </row>
    <row r="202" customFormat="false" ht="15" hidden="false" customHeight="false" outlineLevel="0" collapsed="false">
      <c r="A202" s="0" t="n">
        <f aca="false">ROW()-1</f>
        <v>201</v>
      </c>
      <c r="B202" s="6" t="n">
        <f aca="false">Assumptions!$B$35</f>
        <v>441263.996662504</v>
      </c>
      <c r="C202" s="8" t="n">
        <f aca="true">NORMINV(RAND(),Assumptions!$B$14,Assumptions!$B$15)</f>
        <v>0.07787272005583</v>
      </c>
      <c r="D202" s="8" t="n">
        <f aca="true">NORMINV(RAND(),Assumptions!$B$14,Assumptions!$B$15)</f>
        <v>0.0967322200064613</v>
      </c>
      <c r="E202" s="8" t="n">
        <f aca="true">NORMINV(RAND(),Assumptions!$B$14,Assumptions!$B$15)</f>
        <v>0.0853557501112686</v>
      </c>
      <c r="F202" s="8" t="n">
        <f aca="true">NORMINV(RAND(),Assumptions!$B$14,Assumptions!$B$15)</f>
        <v>0.0231446530975748</v>
      </c>
      <c r="G202" s="8" t="n">
        <f aca="true">NORMINV(RAND(),Assumptions!$B$14,Assumptions!$B$15)</f>
        <v>0.00109339631073224</v>
      </c>
      <c r="H202" s="8" t="n">
        <f aca="true">NORMINV(RAND(),Assumptions!$B$14,Assumptions!$B$15)</f>
        <v>0.0934604968319532</v>
      </c>
      <c r="I202" s="8" t="n">
        <f aca="true">NORMINV(RAND(),Assumptions!$B$14,Assumptions!$B$15)</f>
        <v>0.0461124626480943</v>
      </c>
      <c r="J202" s="8" t="n">
        <f aca="true">NORMINV(RAND(),Assumptions!$B$14,Assumptions!$B$15)</f>
        <v>0.0704125468297203</v>
      </c>
      <c r="K202" s="8" t="n">
        <f aca="true">NORMINV(RAND(),Assumptions!$B$14,Assumptions!$B$15)</f>
        <v>0.017711448357366</v>
      </c>
      <c r="L202" s="8" t="n">
        <f aca="true">NORMINV(RAND(),Assumptions!$B$14,Assumptions!$B$15)</f>
        <v>0.0598072714131399</v>
      </c>
      <c r="M202" s="6" t="n">
        <f aca="false">B202-Assumptions!$B$29</f>
        <v>391263.996662504</v>
      </c>
      <c r="N202" s="6" t="n">
        <f aca="false">W202-Assumptions!$B$29</f>
        <v>371732.788342528</v>
      </c>
      <c r="O202" s="6" t="n">
        <f aca="false">X202-Assumptions!$B$29</f>
        <v>357691.326208093</v>
      </c>
      <c r="P202" s="6" t="n">
        <f aca="false">Y202-Assumptions!$B$29</f>
        <v>338222.337664879</v>
      </c>
      <c r="Q202" s="6" t="n">
        <f aca="false">Z202-Assumptions!$B$29</f>
        <v>296050.376339983</v>
      </c>
      <c r="R202" s="6" t="n">
        <f aca="false">AA202-Assumptions!$B$29</f>
        <v>246374.076729264</v>
      </c>
      <c r="S202" s="6" t="n">
        <f aca="false">AB202-Assumptions!$B$29</f>
        <v>219400.320346895</v>
      </c>
      <c r="T202" s="6" t="n">
        <f aca="false">AC202-Assumptions!$B$29</f>
        <v>179517.409423871</v>
      </c>
      <c r="U202" s="6" t="n">
        <f aca="false">AD202-Assumptions!$B$29</f>
        <v>142157.68742168</v>
      </c>
      <c r="V202" s="6" t="n">
        <f aca="false">AE202-Assumptions!$B$29</f>
        <v>94675.5059610512</v>
      </c>
      <c r="W202" s="6" t="n">
        <f aca="false">M202*(1+C202)</f>
        <v>421732.788342528</v>
      </c>
      <c r="X202" s="6" t="n">
        <f aca="false">N202*(1+D202)</f>
        <v>407691.326208093</v>
      </c>
      <c r="Y202" s="6" t="n">
        <f aca="false">O202*(1+E202)</f>
        <v>388222.337664879</v>
      </c>
      <c r="Z202" s="6" t="n">
        <f aca="false">P202*(1+F202)</f>
        <v>346050.376339983</v>
      </c>
      <c r="AA202" s="6" t="n">
        <f aca="false">Q202*(1+G202)</f>
        <v>296374.076729264</v>
      </c>
      <c r="AB202" s="6" t="n">
        <f aca="false">R202*(1+H202)</f>
        <v>269400.320346895</v>
      </c>
      <c r="AC202" s="6" t="n">
        <f aca="false">S202*(1+I202)</f>
        <v>229517.409423871</v>
      </c>
      <c r="AD202" s="6" t="n">
        <f aca="false">T202*(1+J202)</f>
        <v>192157.68742168</v>
      </c>
      <c r="AE202" s="6" t="n">
        <f aca="false">U202*(1+K202)</f>
        <v>144675.505961051</v>
      </c>
      <c r="AF202" s="6" t="n">
        <f aca="false">V202*(1+L202)</f>
        <v>100337.78964224</v>
      </c>
      <c r="AG202" s="6" t="n">
        <f aca="false">MIN(M202:V202)</f>
        <v>94675.5059610512</v>
      </c>
      <c r="AH202" s="19" t="n">
        <f aca="false">IF(AG202&gt;=0,1,0)</f>
        <v>1</v>
      </c>
    </row>
    <row r="203" customFormat="false" ht="15" hidden="false" customHeight="false" outlineLevel="0" collapsed="false">
      <c r="A203" s="0" t="n">
        <f aca="false">ROW()-1</f>
        <v>202</v>
      </c>
      <c r="B203" s="6" t="n">
        <f aca="false">Assumptions!$B$35</f>
        <v>441263.996662504</v>
      </c>
      <c r="C203" s="8" t="n">
        <f aca="true">NORMINV(RAND(),Assumptions!$B$14,Assumptions!$B$15)</f>
        <v>0.0461742542477001</v>
      </c>
      <c r="D203" s="8" t="n">
        <f aca="true">NORMINV(RAND(),Assumptions!$B$14,Assumptions!$B$15)</f>
        <v>0.0310538825394559</v>
      </c>
      <c r="E203" s="8" t="n">
        <f aca="true">NORMINV(RAND(),Assumptions!$B$14,Assumptions!$B$15)</f>
        <v>0.0293127138905934</v>
      </c>
      <c r="F203" s="8" t="n">
        <f aca="true">NORMINV(RAND(),Assumptions!$B$14,Assumptions!$B$15)</f>
        <v>0.041592177843722</v>
      </c>
      <c r="G203" s="8" t="n">
        <f aca="true">NORMINV(RAND(),Assumptions!$B$14,Assumptions!$B$15)</f>
        <v>0.0959274005506985</v>
      </c>
      <c r="H203" s="8" t="n">
        <f aca="true">NORMINV(RAND(),Assumptions!$B$14,Assumptions!$B$15)</f>
        <v>0.0752369207734819</v>
      </c>
      <c r="I203" s="8" t="n">
        <f aca="true">NORMINV(RAND(),Assumptions!$B$14,Assumptions!$B$15)</f>
        <v>0.0314376337245068</v>
      </c>
      <c r="J203" s="8" t="n">
        <f aca="true">NORMINV(RAND(),Assumptions!$B$14,Assumptions!$B$15)</f>
        <v>0.0235505139702902</v>
      </c>
      <c r="K203" s="8" t="n">
        <f aca="true">NORMINV(RAND(),Assumptions!$B$14,Assumptions!$B$15)</f>
        <v>0.0779530232421437</v>
      </c>
      <c r="L203" s="8" t="n">
        <f aca="true">NORMINV(RAND(),Assumptions!$B$14,Assumptions!$B$15)</f>
        <v>0.0493956892102419</v>
      </c>
      <c r="M203" s="6" t="n">
        <f aca="false">B203-Assumptions!$B$29</f>
        <v>391263.996662504</v>
      </c>
      <c r="N203" s="6" t="n">
        <f aca="false">W203-Assumptions!$B$29</f>
        <v>359330.319922369</v>
      </c>
      <c r="O203" s="6" t="n">
        <f aca="false">X203-Assumptions!$B$29</f>
        <v>320488.921470104</v>
      </c>
      <c r="P203" s="6" t="n">
        <f aca="false">Y203-Assumptions!$B$29</f>
        <v>279883.321530262</v>
      </c>
      <c r="Q203" s="6" t="n">
        <f aca="false">Z203-Assumptions!$B$29</f>
        <v>241524.27841484</v>
      </c>
      <c r="R203" s="6" t="n">
        <f aca="false">AA203-Assumptions!$B$29</f>
        <v>214693.074613059</v>
      </c>
      <c r="S203" s="6" t="n">
        <f aca="false">AB203-Assumptions!$B$29</f>
        <v>180845.920458337</v>
      </c>
      <c r="T203" s="6" t="n">
        <f aca="false">AC203-Assumptions!$B$29</f>
        <v>136531.288266277</v>
      </c>
      <c r="U203" s="6" t="n">
        <f aca="false">AD203-Assumptions!$B$29</f>
        <v>89746.6702779738</v>
      </c>
      <c r="V203" s="6" t="n">
        <f aca="false">AE203-Assumptions!$B$29</f>
        <v>46742.6945520577</v>
      </c>
      <c r="W203" s="6" t="n">
        <f aca="false">M203*(1+C203)</f>
        <v>409330.319922369</v>
      </c>
      <c r="X203" s="6" t="n">
        <f aca="false">N203*(1+D203)</f>
        <v>370488.921470104</v>
      </c>
      <c r="Y203" s="6" t="n">
        <f aca="false">O203*(1+E203)</f>
        <v>329883.321530262</v>
      </c>
      <c r="Z203" s="6" t="n">
        <f aca="false">P203*(1+F203)</f>
        <v>291524.27841484</v>
      </c>
      <c r="AA203" s="6" t="n">
        <f aca="false">Q203*(1+G203)</f>
        <v>264693.074613059</v>
      </c>
      <c r="AB203" s="6" t="n">
        <f aca="false">R203*(1+H203)</f>
        <v>230845.920458337</v>
      </c>
      <c r="AC203" s="6" t="n">
        <f aca="false">S203*(1+I203)</f>
        <v>186531.288266277</v>
      </c>
      <c r="AD203" s="6" t="n">
        <f aca="false">T203*(1+J203)</f>
        <v>139746.670277974</v>
      </c>
      <c r="AE203" s="6" t="n">
        <f aca="false">U203*(1+K203)</f>
        <v>96742.6945520577</v>
      </c>
      <c r="AF203" s="6" t="n">
        <f aca="false">V203*(1+L203)</f>
        <v>49051.5821650004</v>
      </c>
      <c r="AG203" s="6" t="n">
        <f aca="false">MIN(M203:V203)</f>
        <v>46742.6945520577</v>
      </c>
      <c r="AH203" s="19" t="n">
        <f aca="false">IF(AG203&gt;=0,1,0)</f>
        <v>1</v>
      </c>
    </row>
    <row r="204" customFormat="false" ht="15" hidden="false" customHeight="false" outlineLevel="0" collapsed="false">
      <c r="A204" s="0" t="n">
        <f aca="false">ROW()-1</f>
        <v>203</v>
      </c>
      <c r="B204" s="6" t="n">
        <f aca="false">Assumptions!$B$35</f>
        <v>441263.996662504</v>
      </c>
      <c r="C204" s="8" t="n">
        <f aca="true">NORMINV(RAND(),Assumptions!$B$14,Assumptions!$B$15)</f>
        <v>0.0566293396357623</v>
      </c>
      <c r="D204" s="8" t="n">
        <f aca="true">NORMINV(RAND(),Assumptions!$B$14,Assumptions!$B$15)</f>
        <v>0.027533810545384</v>
      </c>
      <c r="E204" s="8" t="n">
        <f aca="true">NORMINV(RAND(),Assumptions!$B$14,Assumptions!$B$15)</f>
        <v>0.0278031885038589</v>
      </c>
      <c r="F204" s="8" t="n">
        <f aca="true">NORMINV(RAND(),Assumptions!$B$14,Assumptions!$B$15)</f>
        <v>0.0522871587999965</v>
      </c>
      <c r="G204" s="8" t="n">
        <f aca="true">NORMINV(RAND(),Assumptions!$B$14,Assumptions!$B$15)</f>
        <v>0.0335214060617972</v>
      </c>
      <c r="H204" s="8" t="n">
        <f aca="true">NORMINV(RAND(),Assumptions!$B$14,Assumptions!$B$15)</f>
        <v>0.0233860183970548</v>
      </c>
      <c r="I204" s="8" t="n">
        <f aca="true">NORMINV(RAND(),Assumptions!$B$14,Assumptions!$B$15)</f>
        <v>0.00781712078367807</v>
      </c>
      <c r="J204" s="8" t="n">
        <f aca="true">NORMINV(RAND(),Assumptions!$B$14,Assumptions!$B$15)</f>
        <v>0.0896864864399162</v>
      </c>
      <c r="K204" s="8" t="n">
        <f aca="true">NORMINV(RAND(),Assumptions!$B$14,Assumptions!$B$15)</f>
        <v>0.0520743320654728</v>
      </c>
      <c r="L204" s="8" t="n">
        <f aca="true">NORMINV(RAND(),Assumptions!$B$14,Assumptions!$B$15)</f>
        <v>0.0234593568106482</v>
      </c>
      <c r="M204" s="6" t="n">
        <f aca="false">B204-Assumptions!$B$29</f>
        <v>391263.996662504</v>
      </c>
      <c r="N204" s="6" t="n">
        <f aca="false">W204-Assumptions!$B$29</f>
        <v>363421.01841675</v>
      </c>
      <c r="O204" s="6" t="n">
        <f aca="false">X204-Assumptions!$B$29</f>
        <v>323427.383886047</v>
      </c>
      <c r="P204" s="6" t="n">
        <f aca="false">Y204-Assumptions!$B$29</f>
        <v>282419.696407541</v>
      </c>
      <c r="Q204" s="6" t="n">
        <f aca="false">Z204-Assumptions!$B$29</f>
        <v>247186.619921849</v>
      </c>
      <c r="R204" s="6" t="n">
        <f aca="false">AA204-Assumptions!$B$29</f>
        <v>205472.662981293</v>
      </c>
      <c r="S204" s="6" t="n">
        <f aca="false">AB204-Assumptions!$B$29</f>
        <v>160277.850457865</v>
      </c>
      <c r="T204" s="6" t="n">
        <f aca="false">AC204-Assumptions!$B$29</f>
        <v>111530.761773842</v>
      </c>
      <c r="U204" s="6" t="n">
        <f aca="false">AD204-Assumptions!$B$29</f>
        <v>71533.5639273056</v>
      </c>
      <c r="V204" s="6" t="n">
        <f aca="false">AE204-Assumptions!$B$29</f>
        <v>25258.6264890828</v>
      </c>
      <c r="W204" s="6" t="n">
        <f aca="false">M204*(1+C204)</f>
        <v>413421.01841675</v>
      </c>
      <c r="X204" s="6" t="n">
        <f aca="false">N204*(1+D204)</f>
        <v>373427.383886047</v>
      </c>
      <c r="Y204" s="6" t="n">
        <f aca="false">O204*(1+E204)</f>
        <v>332419.696407541</v>
      </c>
      <c r="Z204" s="6" t="n">
        <f aca="false">P204*(1+F204)</f>
        <v>297186.619921849</v>
      </c>
      <c r="AA204" s="6" t="n">
        <f aca="false">Q204*(1+G204)</f>
        <v>255472.662981293</v>
      </c>
      <c r="AB204" s="6" t="n">
        <f aca="false">R204*(1+H204)</f>
        <v>210277.850457865</v>
      </c>
      <c r="AC204" s="6" t="n">
        <f aca="false">S204*(1+I204)</f>
        <v>161530.761773842</v>
      </c>
      <c r="AD204" s="6" t="n">
        <f aca="false">T204*(1+J204)</f>
        <v>121533.563927306</v>
      </c>
      <c r="AE204" s="6" t="n">
        <f aca="false">U204*(1+K204)</f>
        <v>75258.6264890829</v>
      </c>
      <c r="AF204" s="6" t="n">
        <f aca="false">V204*(1+L204)</f>
        <v>25851.1776204371</v>
      </c>
      <c r="AG204" s="6" t="n">
        <f aca="false">MIN(M204:V204)</f>
        <v>25258.6264890828</v>
      </c>
      <c r="AH204" s="19" t="n">
        <f aca="false">IF(AG204&gt;=0,1,0)</f>
        <v>1</v>
      </c>
    </row>
    <row r="205" customFormat="false" ht="15" hidden="false" customHeight="false" outlineLevel="0" collapsed="false">
      <c r="A205" s="0" t="n">
        <f aca="false">ROW()-1</f>
        <v>204</v>
      </c>
      <c r="B205" s="6" t="n">
        <f aca="false">Assumptions!$B$35</f>
        <v>441263.996662504</v>
      </c>
      <c r="C205" s="8" t="n">
        <f aca="true">NORMINV(RAND(),Assumptions!$B$14,Assumptions!$B$15)</f>
        <v>0.0726831510433256</v>
      </c>
      <c r="D205" s="8" t="n">
        <f aca="true">NORMINV(RAND(),Assumptions!$B$14,Assumptions!$B$15)</f>
        <v>0.0114550700424228</v>
      </c>
      <c r="E205" s="8" t="n">
        <f aca="true">NORMINV(RAND(),Assumptions!$B$14,Assumptions!$B$15)</f>
        <v>0.0812132987294587</v>
      </c>
      <c r="F205" s="8" t="n">
        <f aca="true">NORMINV(RAND(),Assumptions!$B$14,Assumptions!$B$15)</f>
        <v>0.0359696300746011</v>
      </c>
      <c r="G205" s="8" t="n">
        <f aca="true">NORMINV(RAND(),Assumptions!$B$14,Assumptions!$B$15)</f>
        <v>0.0837808932874934</v>
      </c>
      <c r="H205" s="8" t="n">
        <f aca="true">NORMINV(RAND(),Assumptions!$B$14,Assumptions!$B$15)</f>
        <v>0.0814842759014605</v>
      </c>
      <c r="I205" s="8" t="n">
        <f aca="true">NORMINV(RAND(),Assumptions!$B$14,Assumptions!$B$15)</f>
        <v>0.0236471140918665</v>
      </c>
      <c r="J205" s="8" t="n">
        <f aca="true">NORMINV(RAND(),Assumptions!$B$14,Assumptions!$B$15)</f>
        <v>0.0334166243132214</v>
      </c>
      <c r="K205" s="8" t="n">
        <f aca="true">NORMINV(RAND(),Assumptions!$B$14,Assumptions!$B$15)</f>
        <v>0.0275550216236097</v>
      </c>
      <c r="L205" s="8" t="n">
        <f aca="true">NORMINV(RAND(),Assumptions!$B$14,Assumptions!$B$15)</f>
        <v>0.0861483759816742</v>
      </c>
      <c r="M205" s="6" t="n">
        <f aca="false">B205-Assumptions!$B$29</f>
        <v>391263.996662504</v>
      </c>
      <c r="N205" s="6" t="n">
        <f aca="false">W205-Assumptions!$B$29</f>
        <v>369702.29682974</v>
      </c>
      <c r="O205" s="6" t="n">
        <f aca="false">X205-Assumptions!$B$29</f>
        <v>323937.262534769</v>
      </c>
      <c r="P205" s="6" t="n">
        <f aca="false">Y205-Assumptions!$B$29</f>
        <v>300245.276206608</v>
      </c>
      <c r="Q205" s="6" t="n">
        <f aca="false">Z205-Assumptions!$B$29</f>
        <v>261044.987723406</v>
      </c>
      <c r="R205" s="6" t="n">
        <f aca="false">AA205-Assumptions!$B$29</f>
        <v>232915.569983096</v>
      </c>
      <c r="S205" s="6" t="n">
        <f aca="false">AB205-Assumptions!$B$29</f>
        <v>201894.526549344</v>
      </c>
      <c r="T205" s="6" t="n">
        <f aca="false">AC205-Assumptions!$B$29</f>
        <v>156668.74945318</v>
      </c>
      <c r="U205" s="6" t="n">
        <f aca="false">AD205-Assumptions!$B$29</f>
        <v>111904.090195279</v>
      </c>
      <c r="V205" s="6" t="n">
        <f aca="false">AE205-Assumptions!$B$29</f>
        <v>64987.6098203806</v>
      </c>
      <c r="W205" s="6" t="n">
        <f aca="false">M205*(1+C205)</f>
        <v>419702.29682974</v>
      </c>
      <c r="X205" s="6" t="n">
        <f aca="false">N205*(1+D205)</f>
        <v>373937.262534769</v>
      </c>
      <c r="Y205" s="6" t="n">
        <f aca="false">O205*(1+E205)</f>
        <v>350245.276206608</v>
      </c>
      <c r="Z205" s="6" t="n">
        <f aca="false">P205*(1+F205)</f>
        <v>311044.987723406</v>
      </c>
      <c r="AA205" s="6" t="n">
        <f aca="false">Q205*(1+G205)</f>
        <v>282915.569983096</v>
      </c>
      <c r="AB205" s="6" t="n">
        <f aca="false">R205*(1+H205)</f>
        <v>251894.526549344</v>
      </c>
      <c r="AC205" s="6" t="n">
        <f aca="false">S205*(1+I205)</f>
        <v>206668.74945318</v>
      </c>
      <c r="AD205" s="6" t="n">
        <f aca="false">T205*(1+J205)</f>
        <v>161904.090195279</v>
      </c>
      <c r="AE205" s="6" t="n">
        <f aca="false">U205*(1+K205)</f>
        <v>114987.609820381</v>
      </c>
      <c r="AF205" s="6" t="n">
        <f aca="false">V205*(1+L205)</f>
        <v>70586.1868653371</v>
      </c>
      <c r="AG205" s="6" t="n">
        <f aca="false">MIN(M205:V205)</f>
        <v>64987.6098203806</v>
      </c>
      <c r="AH205" s="19" t="n">
        <f aca="false">IF(AG205&gt;=0,1,0)</f>
        <v>1</v>
      </c>
    </row>
    <row r="206" customFormat="false" ht="15" hidden="false" customHeight="false" outlineLevel="0" collapsed="false">
      <c r="A206" s="0" t="n">
        <f aca="false">ROW()-1</f>
        <v>205</v>
      </c>
      <c r="B206" s="6" t="n">
        <f aca="false">Assumptions!$B$35</f>
        <v>441263.996662504</v>
      </c>
      <c r="C206" s="8" t="n">
        <f aca="true">NORMINV(RAND(),Assumptions!$B$14,Assumptions!$B$15)</f>
        <v>0.0879795983337381</v>
      </c>
      <c r="D206" s="8" t="n">
        <f aca="true">NORMINV(RAND(),Assumptions!$B$14,Assumptions!$B$15)</f>
        <v>0.0126210323442199</v>
      </c>
      <c r="E206" s="8" t="n">
        <f aca="true">NORMINV(RAND(),Assumptions!$B$14,Assumptions!$B$15)</f>
        <v>0.108021274267073</v>
      </c>
      <c r="F206" s="8" t="n">
        <f aca="true">NORMINV(RAND(),Assumptions!$B$14,Assumptions!$B$15)</f>
        <v>0.0358703299194203</v>
      </c>
      <c r="G206" s="8" t="n">
        <f aca="true">NORMINV(RAND(),Assumptions!$B$14,Assumptions!$B$15)</f>
        <v>0.10246803930228</v>
      </c>
      <c r="H206" s="8" t="n">
        <f aca="true">NORMINV(RAND(),Assumptions!$B$14,Assumptions!$B$15)</f>
        <v>0.0500302891119654</v>
      </c>
      <c r="I206" s="8" t="n">
        <f aca="true">NORMINV(RAND(),Assumptions!$B$14,Assumptions!$B$15)</f>
        <v>0.0632567018606908</v>
      </c>
      <c r="J206" s="8" t="n">
        <f aca="true">NORMINV(RAND(),Assumptions!$B$14,Assumptions!$B$15)</f>
        <v>0.0285807854132825</v>
      </c>
      <c r="K206" s="8" t="n">
        <f aca="true">NORMINV(RAND(),Assumptions!$B$14,Assumptions!$B$15)</f>
        <v>0.0256343207997355</v>
      </c>
      <c r="L206" s="8" t="n">
        <f aca="true">NORMINV(RAND(),Assumptions!$B$14,Assumptions!$B$15)</f>
        <v>0.0637399580165744</v>
      </c>
      <c r="M206" s="6" t="n">
        <f aca="false">B206-Assumptions!$B$29</f>
        <v>391263.996662504</v>
      </c>
      <c r="N206" s="6" t="n">
        <f aca="false">W206-Assumptions!$B$29</f>
        <v>375687.245931324</v>
      </c>
      <c r="O206" s="6" t="n">
        <f aca="false">X206-Assumptions!$B$29</f>
        <v>330428.806813534</v>
      </c>
      <c r="P206" s="6" t="n">
        <f aca="false">Y206-Assumptions!$B$29</f>
        <v>316122.14758008</v>
      </c>
      <c r="Q206" s="6" t="n">
        <f aca="false">Z206-Assumptions!$B$29</f>
        <v>277461.553308613</v>
      </c>
      <c r="R206" s="6" t="n">
        <f aca="false">AA206-Assumptions!$B$29</f>
        <v>255892.494657912</v>
      </c>
      <c r="S206" s="6" t="n">
        <f aca="false">AB206-Assumptions!$B$29</f>
        <v>218694.870147229</v>
      </c>
      <c r="T206" s="6" t="n">
        <f aca="false">AC206-Assumptions!$B$29</f>
        <v>182528.786346595</v>
      </c>
      <c r="U206" s="6" t="n">
        <f aca="false">AD206-Assumptions!$B$29</f>
        <v>137745.602420914</v>
      </c>
      <c r="V206" s="6" t="n">
        <f aca="false">AE206-Assumptions!$B$29</f>
        <v>91276.6173821243</v>
      </c>
      <c r="W206" s="6" t="n">
        <f aca="false">M206*(1+C206)</f>
        <v>425687.245931324</v>
      </c>
      <c r="X206" s="6" t="n">
        <f aca="false">N206*(1+D206)</f>
        <v>380428.806813534</v>
      </c>
      <c r="Y206" s="6" t="n">
        <f aca="false">O206*(1+E206)</f>
        <v>366122.14758008</v>
      </c>
      <c r="Z206" s="6" t="n">
        <f aca="false">P206*(1+F206)</f>
        <v>327461.553308613</v>
      </c>
      <c r="AA206" s="6" t="n">
        <f aca="false">Q206*(1+G206)</f>
        <v>305892.494657912</v>
      </c>
      <c r="AB206" s="6" t="n">
        <f aca="false">R206*(1+H206)</f>
        <v>268694.870147229</v>
      </c>
      <c r="AC206" s="6" t="n">
        <f aca="false">S206*(1+I206)</f>
        <v>232528.786346595</v>
      </c>
      <c r="AD206" s="6" t="n">
        <f aca="false">T206*(1+J206)</f>
        <v>187745.602420914</v>
      </c>
      <c r="AE206" s="6" t="n">
        <f aca="false">U206*(1+K206)</f>
        <v>141276.617382124</v>
      </c>
      <c r="AF206" s="6" t="n">
        <f aca="false">V206*(1+L206)</f>
        <v>97094.5851419559</v>
      </c>
      <c r="AG206" s="6" t="n">
        <f aca="false">MIN(M206:V206)</f>
        <v>91276.6173821243</v>
      </c>
      <c r="AH206" s="19" t="n">
        <f aca="false">IF(AG206&gt;=0,1,0)</f>
        <v>1</v>
      </c>
    </row>
    <row r="207" customFormat="false" ht="15" hidden="false" customHeight="false" outlineLevel="0" collapsed="false">
      <c r="A207" s="0" t="n">
        <f aca="false">ROW()-1</f>
        <v>206</v>
      </c>
      <c r="B207" s="6" t="n">
        <f aca="false">Assumptions!$B$35</f>
        <v>441263.996662504</v>
      </c>
      <c r="C207" s="8" t="n">
        <f aca="true">NORMINV(RAND(),Assumptions!$B$14,Assumptions!$B$15)</f>
        <v>0.0982767633349005</v>
      </c>
      <c r="D207" s="8" t="n">
        <f aca="true">NORMINV(RAND(),Assumptions!$B$14,Assumptions!$B$15)</f>
        <v>0.102852407270465</v>
      </c>
      <c r="E207" s="8" t="n">
        <f aca="true">NORMINV(RAND(),Assumptions!$B$14,Assumptions!$B$15)</f>
        <v>0.0618035895269133</v>
      </c>
      <c r="F207" s="8" t="n">
        <f aca="true">NORMINV(RAND(),Assumptions!$B$14,Assumptions!$B$15)</f>
        <v>0.0151151820139472</v>
      </c>
      <c r="G207" s="8" t="n">
        <f aca="true">NORMINV(RAND(),Assumptions!$B$14,Assumptions!$B$15)</f>
        <v>0.092322600258122</v>
      </c>
      <c r="H207" s="8" t="n">
        <f aca="true">NORMINV(RAND(),Assumptions!$B$14,Assumptions!$B$15)</f>
        <v>0.0722174430358581</v>
      </c>
      <c r="I207" s="8" t="n">
        <f aca="true">NORMINV(RAND(),Assumptions!$B$14,Assumptions!$B$15)</f>
        <v>0.00251098244632574</v>
      </c>
      <c r="J207" s="8" t="n">
        <f aca="true">NORMINV(RAND(),Assumptions!$B$14,Assumptions!$B$15)</f>
        <v>0.0281856826160589</v>
      </c>
      <c r="K207" s="8" t="n">
        <f aca="true">NORMINV(RAND(),Assumptions!$B$14,Assumptions!$B$15)</f>
        <v>0.0523445006117938</v>
      </c>
      <c r="L207" s="8" t="n">
        <f aca="true">NORMINV(RAND(),Assumptions!$B$14,Assumptions!$B$15)</f>
        <v>0.0161478670818742</v>
      </c>
      <c r="M207" s="6" t="n">
        <f aca="false">B207-Assumptions!$B$29</f>
        <v>391263.996662504</v>
      </c>
      <c r="N207" s="6" t="n">
        <f aca="false">W207-Assumptions!$B$29</f>
        <v>379716.155863972</v>
      </c>
      <c r="O207" s="6" t="n">
        <f aca="false">X207-Assumptions!$B$29</f>
        <v>368770.876574068</v>
      </c>
      <c r="P207" s="6" t="n">
        <f aca="false">Y207-Assumptions!$B$29</f>
        <v>341562.240459332</v>
      </c>
      <c r="Q207" s="6" t="n">
        <f aca="false">Z207-Assumptions!$B$29</f>
        <v>296725.015892966</v>
      </c>
      <c r="R207" s="6" t="n">
        <f aca="false">AA207-Assumptions!$B$29</f>
        <v>274119.440921838</v>
      </c>
      <c r="S207" s="6" t="n">
        <f aca="false">AB207-Assumptions!$B$29</f>
        <v>243915.646031632</v>
      </c>
      <c r="T207" s="6" t="n">
        <f aca="false">AC207-Assumptions!$B$29</f>
        <v>194528.113937201</v>
      </c>
      <c r="U207" s="6" t="n">
        <f aca="false">AD207-Assumptions!$B$29</f>
        <v>150011.021616536</v>
      </c>
      <c r="V207" s="6" t="n">
        <f aca="false">AE207-Assumptions!$B$29</f>
        <v>107863.273629318</v>
      </c>
      <c r="W207" s="6" t="n">
        <f aca="false">M207*(1+C207)</f>
        <v>429716.155863972</v>
      </c>
      <c r="X207" s="6" t="n">
        <f aca="false">N207*(1+D207)</f>
        <v>418770.876574068</v>
      </c>
      <c r="Y207" s="6" t="n">
        <f aca="false">O207*(1+E207)</f>
        <v>391562.240459332</v>
      </c>
      <c r="Z207" s="6" t="n">
        <f aca="false">P207*(1+F207)</f>
        <v>346725.015892966</v>
      </c>
      <c r="AA207" s="6" t="n">
        <f aca="false">Q207*(1+G207)</f>
        <v>324119.440921838</v>
      </c>
      <c r="AB207" s="6" t="n">
        <f aca="false">R207*(1+H207)</f>
        <v>293915.646031632</v>
      </c>
      <c r="AC207" s="6" t="n">
        <f aca="false">S207*(1+I207)</f>
        <v>244528.113937201</v>
      </c>
      <c r="AD207" s="6" t="n">
        <f aca="false">T207*(1+J207)</f>
        <v>200011.021616536</v>
      </c>
      <c r="AE207" s="6" t="n">
        <f aca="false">U207*(1+K207)</f>
        <v>157863.273629318</v>
      </c>
      <c r="AF207" s="6" t="n">
        <f aca="false">V207*(1+L207)</f>
        <v>109605.0354349</v>
      </c>
      <c r="AG207" s="6" t="n">
        <f aca="false">MIN(M207:V207)</f>
        <v>107863.273629318</v>
      </c>
      <c r="AH207" s="19" t="n">
        <f aca="false">IF(AG207&gt;=0,1,0)</f>
        <v>1</v>
      </c>
    </row>
    <row r="208" customFormat="false" ht="15" hidden="false" customHeight="false" outlineLevel="0" collapsed="false">
      <c r="A208" s="0" t="n">
        <f aca="false">ROW()-1</f>
        <v>207</v>
      </c>
      <c r="B208" s="6" t="n">
        <f aca="false">Assumptions!$B$35</f>
        <v>441263.996662504</v>
      </c>
      <c r="C208" s="8" t="n">
        <f aca="true">NORMINV(RAND(),Assumptions!$B$14,Assumptions!$B$15)</f>
        <v>0.0302534595196786</v>
      </c>
      <c r="D208" s="8" t="n">
        <f aca="true">NORMINV(RAND(),Assumptions!$B$14,Assumptions!$B$15)</f>
        <v>0.0242945068408108</v>
      </c>
      <c r="E208" s="8" t="n">
        <f aca="true">NORMINV(RAND(),Assumptions!$B$14,Assumptions!$B$15)</f>
        <v>0.0374748396040453</v>
      </c>
      <c r="F208" s="8" t="n">
        <f aca="true">NORMINV(RAND(),Assumptions!$B$14,Assumptions!$B$15)</f>
        <v>0.0624731034481316</v>
      </c>
      <c r="G208" s="8" t="n">
        <f aca="true">NORMINV(RAND(),Assumptions!$B$14,Assumptions!$B$15)</f>
        <v>0.0194675258291077</v>
      </c>
      <c r="H208" s="8" t="n">
        <f aca="true">NORMINV(RAND(),Assumptions!$B$14,Assumptions!$B$15)</f>
        <v>0.139409860614901</v>
      </c>
      <c r="I208" s="8" t="n">
        <f aca="true">NORMINV(RAND(),Assumptions!$B$14,Assumptions!$B$15)</f>
        <v>0.0317504435551691</v>
      </c>
      <c r="J208" s="8" t="n">
        <f aca="true">NORMINV(RAND(),Assumptions!$B$14,Assumptions!$B$15)</f>
        <v>0.0522557442849755</v>
      </c>
      <c r="K208" s="8" t="n">
        <f aca="true">NORMINV(RAND(),Assumptions!$B$14,Assumptions!$B$15)</f>
        <v>0.061317371289244</v>
      </c>
      <c r="L208" s="8" t="n">
        <f aca="true">NORMINV(RAND(),Assumptions!$B$14,Assumptions!$B$15)</f>
        <v>0.0442269988552223</v>
      </c>
      <c r="M208" s="6" t="n">
        <f aca="false">B208-Assumptions!$B$29</f>
        <v>391263.996662504</v>
      </c>
      <c r="N208" s="6" t="n">
        <f aca="false">W208-Assumptions!$B$29</f>
        <v>353101.08614704</v>
      </c>
      <c r="O208" s="6" t="n">
        <f aca="false">X208-Assumptions!$B$29</f>
        <v>311679.502899937</v>
      </c>
      <c r="P208" s="6" t="n">
        <f aca="false">Y208-Assumptions!$B$29</f>
        <v>273359.642278981</v>
      </c>
      <c r="Q208" s="6" t="n">
        <f aca="false">Z208-Assumptions!$B$29</f>
        <v>240437.26748962</v>
      </c>
      <c r="R208" s="6" t="n">
        <f aca="false">AA208-Assumptions!$B$29</f>
        <v>195117.986204754</v>
      </c>
      <c r="S208" s="6" t="n">
        <f aca="false">AB208-Assumptions!$B$29</f>
        <v>172319.357465019</v>
      </c>
      <c r="T208" s="6" t="n">
        <f aca="false">AC208-Assumptions!$B$29</f>
        <v>127790.573497675</v>
      </c>
      <c r="U208" s="6" t="n">
        <f aca="false">AD208-Assumptions!$B$29</f>
        <v>84468.3650284002</v>
      </c>
      <c r="V208" s="6" t="n">
        <f aca="false">AE208-Assumptions!$B$29</f>
        <v>39647.743129042</v>
      </c>
      <c r="W208" s="6" t="n">
        <f aca="false">M208*(1+C208)</f>
        <v>403101.08614704</v>
      </c>
      <c r="X208" s="6" t="n">
        <f aca="false">N208*(1+D208)</f>
        <v>361679.502899937</v>
      </c>
      <c r="Y208" s="6" t="n">
        <f aca="false">O208*(1+E208)</f>
        <v>323359.642278981</v>
      </c>
      <c r="Z208" s="6" t="n">
        <f aca="false">P208*(1+F208)</f>
        <v>290437.26748962</v>
      </c>
      <c r="AA208" s="6" t="n">
        <f aca="false">Q208*(1+G208)</f>
        <v>245117.986204754</v>
      </c>
      <c r="AB208" s="6" t="n">
        <f aca="false">R208*(1+H208)</f>
        <v>222319.357465019</v>
      </c>
      <c r="AC208" s="6" t="n">
        <f aca="false">S208*(1+I208)</f>
        <v>177790.573497675</v>
      </c>
      <c r="AD208" s="6" t="n">
        <f aca="false">T208*(1+J208)</f>
        <v>134468.3650284</v>
      </c>
      <c r="AE208" s="6" t="n">
        <f aca="false">U208*(1+K208)</f>
        <v>89647.743129042</v>
      </c>
      <c r="AF208" s="6" t="n">
        <f aca="false">V208*(1+L208)</f>
        <v>41401.2438190223</v>
      </c>
      <c r="AG208" s="6" t="n">
        <f aca="false">MIN(M208:V208)</f>
        <v>39647.743129042</v>
      </c>
      <c r="AH208" s="19" t="n">
        <f aca="false">IF(AG208&gt;=0,1,0)</f>
        <v>1</v>
      </c>
    </row>
    <row r="209" customFormat="false" ht="15" hidden="false" customHeight="false" outlineLevel="0" collapsed="false">
      <c r="A209" s="0" t="n">
        <f aca="false">ROW()-1</f>
        <v>208</v>
      </c>
      <c r="B209" s="6" t="n">
        <f aca="false">Assumptions!$B$35</f>
        <v>441263.996662504</v>
      </c>
      <c r="C209" s="8" t="n">
        <f aca="true">NORMINV(RAND(),Assumptions!$B$14,Assumptions!$B$15)</f>
        <v>0.0206006158024499</v>
      </c>
      <c r="D209" s="8" t="n">
        <f aca="true">NORMINV(RAND(),Assumptions!$B$14,Assumptions!$B$15)</f>
        <v>0.0560930853055097</v>
      </c>
      <c r="E209" s="8" t="n">
        <f aca="true">NORMINV(RAND(),Assumptions!$B$14,Assumptions!$B$15)</f>
        <v>0.00392370454466154</v>
      </c>
      <c r="F209" s="8" t="n">
        <f aca="true">NORMINV(RAND(),Assumptions!$B$14,Assumptions!$B$15)</f>
        <v>0.0516824989350588</v>
      </c>
      <c r="G209" s="8" t="n">
        <f aca="true">NORMINV(RAND(),Assumptions!$B$14,Assumptions!$B$15)</f>
        <v>0.0395291627865137</v>
      </c>
      <c r="H209" s="8" t="n">
        <f aca="true">NORMINV(RAND(),Assumptions!$B$14,Assumptions!$B$15)</f>
        <v>0.0236259146543026</v>
      </c>
      <c r="I209" s="8" t="n">
        <f aca="true">NORMINV(RAND(),Assumptions!$B$14,Assumptions!$B$15)</f>
        <v>0.0657913624584796</v>
      </c>
      <c r="J209" s="8" t="n">
        <f aca="true">NORMINV(RAND(),Assumptions!$B$14,Assumptions!$B$15)</f>
        <v>0.0461174928806458</v>
      </c>
      <c r="K209" s="8" t="n">
        <f aca="true">NORMINV(RAND(),Assumptions!$B$14,Assumptions!$B$15)</f>
        <v>0.015026271940778</v>
      </c>
      <c r="L209" s="8" t="n">
        <f aca="true">NORMINV(RAND(),Assumptions!$B$14,Assumptions!$B$15)</f>
        <v>0.137734022060288</v>
      </c>
      <c r="M209" s="6" t="n">
        <f aca="false">B209-Assumptions!$B$29</f>
        <v>391263.996662504</v>
      </c>
      <c r="N209" s="6" t="n">
        <f aca="false">W209-Assumptions!$B$29</f>
        <v>349324.275935079</v>
      </c>
      <c r="O209" s="6" t="n">
        <f aca="false">X209-Assumptions!$B$29</f>
        <v>318918.952344391</v>
      </c>
      <c r="P209" s="6" t="n">
        <f aca="false">Y209-Assumptions!$B$29</f>
        <v>270170.296087083</v>
      </c>
      <c r="Q209" s="6" t="n">
        <f aca="false">Z209-Assumptions!$B$29</f>
        <v>234133.372126888</v>
      </c>
      <c r="R209" s="6" t="n">
        <f aca="false">AA209-Assumptions!$B$29</f>
        <v>193388.468307447</v>
      </c>
      <c r="S209" s="6" t="n">
        <f aca="false">AB209-Assumptions!$B$29</f>
        <v>147957.447754805</v>
      </c>
      <c r="T209" s="6" t="n">
        <f aca="false">AC209-Assumptions!$B$29</f>
        <v>107691.769828473</v>
      </c>
      <c r="U209" s="6" t="n">
        <f aca="false">AD209-Assumptions!$B$29</f>
        <v>62658.2442568421</v>
      </c>
      <c r="V209" s="6" t="n">
        <f aca="false">AE209-Assumptions!$B$29</f>
        <v>13599.7640743771</v>
      </c>
      <c r="W209" s="6" t="n">
        <f aca="false">M209*(1+C209)</f>
        <v>399324.275935079</v>
      </c>
      <c r="X209" s="6" t="n">
        <f aca="false">N209*(1+D209)</f>
        <v>368918.952344391</v>
      </c>
      <c r="Y209" s="6" t="n">
        <f aca="false">O209*(1+E209)</f>
        <v>320170.296087083</v>
      </c>
      <c r="Z209" s="6" t="n">
        <f aca="false">P209*(1+F209)</f>
        <v>284133.372126888</v>
      </c>
      <c r="AA209" s="6" t="n">
        <f aca="false">Q209*(1+G209)</f>
        <v>243388.468307447</v>
      </c>
      <c r="AB209" s="6" t="n">
        <f aca="false">R209*(1+H209)</f>
        <v>197957.447754805</v>
      </c>
      <c r="AC209" s="6" t="n">
        <f aca="false">S209*(1+I209)</f>
        <v>157691.769828473</v>
      </c>
      <c r="AD209" s="6" t="n">
        <f aca="false">T209*(1+J209)</f>
        <v>112658.244256842</v>
      </c>
      <c r="AE209" s="6" t="n">
        <f aca="false">U209*(1+K209)</f>
        <v>63599.7640743771</v>
      </c>
      <c r="AF209" s="6" t="n">
        <f aca="false">V209*(1+L209)</f>
        <v>15472.9142794121</v>
      </c>
      <c r="AG209" s="6" t="n">
        <f aca="false">MIN(M209:V209)</f>
        <v>13599.7640743771</v>
      </c>
      <c r="AH209" s="19" t="n">
        <f aca="false">IF(AG209&gt;=0,1,0)</f>
        <v>1</v>
      </c>
    </row>
    <row r="210" customFormat="false" ht="15" hidden="false" customHeight="false" outlineLevel="0" collapsed="false">
      <c r="A210" s="0" t="n">
        <f aca="false">ROW()-1</f>
        <v>209</v>
      </c>
      <c r="B210" s="6" t="n">
        <f aca="false">Assumptions!$B$35</f>
        <v>441263.996662504</v>
      </c>
      <c r="C210" s="8" t="n">
        <f aca="true">NORMINV(RAND(),Assumptions!$B$14,Assumptions!$B$15)</f>
        <v>-0.0229032315016826</v>
      </c>
      <c r="D210" s="8" t="n">
        <f aca="true">NORMINV(RAND(),Assumptions!$B$14,Assumptions!$B$15)</f>
        <v>0.0714439273598107</v>
      </c>
      <c r="E210" s="8" t="n">
        <f aca="true">NORMINV(RAND(),Assumptions!$B$14,Assumptions!$B$15)</f>
        <v>0.0395444263060876</v>
      </c>
      <c r="F210" s="8" t="n">
        <f aca="true">NORMINV(RAND(),Assumptions!$B$14,Assumptions!$B$15)</f>
        <v>0.0716478732465681</v>
      </c>
      <c r="G210" s="8" t="n">
        <f aca="true">NORMINV(RAND(),Assumptions!$B$14,Assumptions!$B$15)</f>
        <v>0.05811446256801</v>
      </c>
      <c r="H210" s="8" t="n">
        <f aca="true">NORMINV(RAND(),Assumptions!$B$14,Assumptions!$B$15)</f>
        <v>0.0355187936252926</v>
      </c>
      <c r="I210" s="8" t="n">
        <f aca="true">NORMINV(RAND(),Assumptions!$B$14,Assumptions!$B$15)</f>
        <v>0.0642986945861471</v>
      </c>
      <c r="J210" s="8" t="n">
        <f aca="true">NORMINV(RAND(),Assumptions!$B$14,Assumptions!$B$15)</f>
        <v>0.0803786615366773</v>
      </c>
      <c r="K210" s="8" t="n">
        <f aca="true">NORMINV(RAND(),Assumptions!$B$14,Assumptions!$B$15)</f>
        <v>0.0052624891846572</v>
      </c>
      <c r="L210" s="8" t="n">
        <f aca="true">NORMINV(RAND(),Assumptions!$B$14,Assumptions!$B$15)</f>
        <v>0.0639345324620757</v>
      </c>
      <c r="M210" s="6" t="n">
        <f aca="false">B210-Assumptions!$B$29</f>
        <v>391263.996662504</v>
      </c>
      <c r="N210" s="6" t="n">
        <f aca="false">W210-Assumptions!$B$29</f>
        <v>332302.786768669</v>
      </c>
      <c r="O210" s="6" t="n">
        <f aca="false">X210-Assumptions!$B$29</f>
        <v>306043.802928032</v>
      </c>
      <c r="P210" s="6" t="n">
        <f aca="false">Y210-Assumptions!$B$29</f>
        <v>268146.129539354</v>
      </c>
      <c r="Q210" s="6" t="n">
        <f aca="false">Z210-Assumptions!$B$29</f>
        <v>237358.229440148</v>
      </c>
      <c r="R210" s="6" t="n">
        <f aca="false">AA210-Assumptions!$B$29</f>
        <v>201152.175380156</v>
      </c>
      <c r="S210" s="6" t="n">
        <f aca="false">AB210-Assumptions!$B$29</f>
        <v>158296.857984763</v>
      </c>
      <c r="T210" s="6" t="n">
        <f aca="false">AC210-Assumptions!$B$29</f>
        <v>118475.139310272</v>
      </c>
      <c r="U210" s="6" t="n">
        <f aca="false">AD210-Assumptions!$B$29</f>
        <v>77998.0124334029</v>
      </c>
      <c r="V210" s="6" t="n">
        <f aca="false">AE210-Assumptions!$B$29</f>
        <v>28408.4761302585</v>
      </c>
      <c r="W210" s="6" t="n">
        <f aca="false">M210*(1+C210)</f>
        <v>382302.786768669</v>
      </c>
      <c r="X210" s="6" t="n">
        <f aca="false">N210*(1+D210)</f>
        <v>356043.802928032</v>
      </c>
      <c r="Y210" s="6" t="n">
        <f aca="false">O210*(1+E210)</f>
        <v>318146.129539354</v>
      </c>
      <c r="Z210" s="6" t="n">
        <f aca="false">P210*(1+F210)</f>
        <v>287358.229440148</v>
      </c>
      <c r="AA210" s="6" t="n">
        <f aca="false">Q210*(1+G210)</f>
        <v>251152.175380156</v>
      </c>
      <c r="AB210" s="6" t="n">
        <f aca="false">R210*(1+H210)</f>
        <v>208296.857984763</v>
      </c>
      <c r="AC210" s="6" t="n">
        <f aca="false">S210*(1+I210)</f>
        <v>168475.139310272</v>
      </c>
      <c r="AD210" s="6" t="n">
        <f aca="false">T210*(1+J210)</f>
        <v>127998.012433403</v>
      </c>
      <c r="AE210" s="6" t="n">
        <f aca="false">U210*(1+K210)</f>
        <v>78408.4761302585</v>
      </c>
      <c r="AF210" s="6" t="n">
        <f aca="false">V210*(1+L210)</f>
        <v>30224.7587696066</v>
      </c>
      <c r="AG210" s="6" t="n">
        <f aca="false">MIN(M210:V210)</f>
        <v>28408.4761302585</v>
      </c>
      <c r="AH210" s="19" t="n">
        <f aca="false">IF(AG210&gt;=0,1,0)</f>
        <v>1</v>
      </c>
    </row>
    <row r="211" customFormat="false" ht="15" hidden="false" customHeight="false" outlineLevel="0" collapsed="false">
      <c r="A211" s="0" t="n">
        <f aca="false">ROW()-1</f>
        <v>210</v>
      </c>
      <c r="B211" s="6" t="n">
        <f aca="false">Assumptions!$B$35</f>
        <v>441263.996662504</v>
      </c>
      <c r="C211" s="8" t="n">
        <f aca="true">NORMINV(RAND(),Assumptions!$B$14,Assumptions!$B$15)</f>
        <v>-0.0315829495158161</v>
      </c>
      <c r="D211" s="8" t="n">
        <f aca="true">NORMINV(RAND(),Assumptions!$B$14,Assumptions!$B$15)</f>
        <v>0.0492421645989674</v>
      </c>
      <c r="E211" s="8" t="n">
        <f aca="true">NORMINV(RAND(),Assumptions!$B$14,Assumptions!$B$15)</f>
        <v>0.0648028038651465</v>
      </c>
      <c r="F211" s="8" t="n">
        <f aca="true">NORMINV(RAND(),Assumptions!$B$14,Assumptions!$B$15)</f>
        <v>0.0625963502443589</v>
      </c>
      <c r="G211" s="8" t="n">
        <f aca="true">NORMINV(RAND(),Assumptions!$B$14,Assumptions!$B$15)</f>
        <v>0.0371924113560726</v>
      </c>
      <c r="H211" s="8" t="n">
        <f aca="true">NORMINV(RAND(),Assumptions!$B$14,Assumptions!$B$15)</f>
        <v>0.0339830872748683</v>
      </c>
      <c r="I211" s="8" t="n">
        <f aca="true">NORMINV(RAND(),Assumptions!$B$14,Assumptions!$B$15)</f>
        <v>0.0272371487924056</v>
      </c>
      <c r="J211" s="8" t="n">
        <f aca="true">NORMINV(RAND(),Assumptions!$B$14,Assumptions!$B$15)</f>
        <v>0.0996138702936252</v>
      </c>
      <c r="K211" s="8" t="n">
        <f aca="true">NORMINV(RAND(),Assumptions!$B$14,Assumptions!$B$15)</f>
        <v>0.0469245980342277</v>
      </c>
      <c r="L211" s="8" t="n">
        <f aca="true">NORMINV(RAND(),Assumptions!$B$14,Assumptions!$B$15)</f>
        <v>0.0186742986518074</v>
      </c>
      <c r="M211" s="6" t="n">
        <f aca="false">B211-Assumptions!$B$29</f>
        <v>391263.996662504</v>
      </c>
      <c r="N211" s="6" t="n">
        <f aca="false">W211-Assumptions!$B$29</f>
        <v>328906.725608555</v>
      </c>
      <c r="O211" s="6" t="n">
        <f aca="false">X211-Assumptions!$B$29</f>
        <v>295102.804728679</v>
      </c>
      <c r="P211" s="6" t="n">
        <f aca="false">Y211-Assumptions!$B$29</f>
        <v>264226.293903566</v>
      </c>
      <c r="Q211" s="6" t="n">
        <f aca="false">Z211-Assumptions!$B$29</f>
        <v>230765.895540523</v>
      </c>
      <c r="R211" s="6" t="n">
        <f aca="false">AA211-Assumptions!$B$29</f>
        <v>189348.635654419</v>
      </c>
      <c r="S211" s="6" t="n">
        <f aca="false">AB211-Assumptions!$B$29</f>
        <v>145783.28686524</v>
      </c>
      <c r="T211" s="6" t="n">
        <f aca="false">AC211-Assumptions!$B$29</f>
        <v>99754.0079410343</v>
      </c>
      <c r="U211" s="6" t="n">
        <f aca="false">AD211-Assumptions!$B$29</f>
        <v>59690.8907493418</v>
      </c>
      <c r="V211" s="6" t="n">
        <f aca="false">AE211-Assumptions!$B$29</f>
        <v>12491.8618040597</v>
      </c>
      <c r="W211" s="6" t="n">
        <f aca="false">M211*(1+C211)</f>
        <v>378906.725608555</v>
      </c>
      <c r="X211" s="6" t="n">
        <f aca="false">N211*(1+D211)</f>
        <v>345102.804728679</v>
      </c>
      <c r="Y211" s="6" t="n">
        <f aca="false">O211*(1+E211)</f>
        <v>314226.293903566</v>
      </c>
      <c r="Z211" s="6" t="n">
        <f aca="false">P211*(1+F211)</f>
        <v>280765.895540523</v>
      </c>
      <c r="AA211" s="6" t="n">
        <f aca="false">Q211*(1+G211)</f>
        <v>239348.635654419</v>
      </c>
      <c r="AB211" s="6" t="n">
        <f aca="false">R211*(1+H211)</f>
        <v>195783.28686524</v>
      </c>
      <c r="AC211" s="6" t="n">
        <f aca="false">S211*(1+I211)</f>
        <v>149754.007941034</v>
      </c>
      <c r="AD211" s="6" t="n">
        <f aca="false">T211*(1+J211)</f>
        <v>109690.890749342</v>
      </c>
      <c r="AE211" s="6" t="n">
        <f aca="false">U211*(1+K211)</f>
        <v>62491.8618040597</v>
      </c>
      <c r="AF211" s="6" t="n">
        <f aca="false">V211*(1+L211)</f>
        <v>12725.1385621058</v>
      </c>
      <c r="AG211" s="6" t="n">
        <f aca="false">MIN(M211:V211)</f>
        <v>12491.8618040597</v>
      </c>
      <c r="AH211" s="19" t="n">
        <f aca="false">IF(AG211&gt;=0,1,0)</f>
        <v>1</v>
      </c>
    </row>
    <row r="212" customFormat="false" ht="15" hidden="false" customHeight="false" outlineLevel="0" collapsed="false">
      <c r="A212" s="0" t="n">
        <f aca="false">ROW()-1</f>
        <v>211</v>
      </c>
      <c r="B212" s="6" t="n">
        <f aca="false">Assumptions!$B$35</f>
        <v>441263.996662504</v>
      </c>
      <c r="C212" s="8" t="n">
        <f aca="true">NORMINV(RAND(),Assumptions!$B$14,Assumptions!$B$15)</f>
        <v>0.0469222773110537</v>
      </c>
      <c r="D212" s="8" t="n">
        <f aca="true">NORMINV(RAND(),Assumptions!$B$14,Assumptions!$B$15)</f>
        <v>0.0138419406933622</v>
      </c>
      <c r="E212" s="8" t="n">
        <f aca="true">NORMINV(RAND(),Assumptions!$B$14,Assumptions!$B$15)</f>
        <v>0.0511979916020581</v>
      </c>
      <c r="F212" s="8" t="n">
        <f aca="true">NORMINV(RAND(),Assumptions!$B$14,Assumptions!$B$15)</f>
        <v>0.0693332276874662</v>
      </c>
      <c r="G212" s="8" t="n">
        <f aca="true">NORMINV(RAND(),Assumptions!$B$14,Assumptions!$B$15)</f>
        <v>0.062911670233981</v>
      </c>
      <c r="H212" s="8" t="n">
        <f aca="true">NORMINV(RAND(),Assumptions!$B$14,Assumptions!$B$15)</f>
        <v>0.0502745956681454</v>
      </c>
      <c r="I212" s="8" t="n">
        <f aca="true">NORMINV(RAND(),Assumptions!$B$14,Assumptions!$B$15)</f>
        <v>0.0512463562958281</v>
      </c>
      <c r="J212" s="8" t="n">
        <f aca="true">NORMINV(RAND(),Assumptions!$B$14,Assumptions!$B$15)</f>
        <v>0.0521355981962663</v>
      </c>
      <c r="K212" s="8" t="n">
        <f aca="true">NORMINV(RAND(),Assumptions!$B$14,Assumptions!$B$15)</f>
        <v>0.0324666783868655</v>
      </c>
      <c r="L212" s="8" t="n">
        <f aca="true">NORMINV(RAND(),Assumptions!$B$14,Assumptions!$B$15)</f>
        <v>0.0650544927087565</v>
      </c>
      <c r="M212" s="6" t="n">
        <f aca="false">B212-Assumptions!$B$29</f>
        <v>391263.996662504</v>
      </c>
      <c r="N212" s="6" t="n">
        <f aca="false">W212-Assumptions!$B$29</f>
        <v>359622.994415733</v>
      </c>
      <c r="O212" s="6" t="n">
        <f aca="false">X212-Assumptions!$B$29</f>
        <v>314600.874576405</v>
      </c>
      <c r="P212" s="6" t="n">
        <f aca="false">Y212-Assumptions!$B$29</f>
        <v>280707.807510968</v>
      </c>
      <c r="Q212" s="6" t="n">
        <f aca="false">Z212-Assumptions!$B$29</f>
        <v>250170.185842775</v>
      </c>
      <c r="R212" s="6" t="n">
        <f aca="false">AA212-Assumptions!$B$29</f>
        <v>215908.810076889</v>
      </c>
      <c r="S212" s="6" t="n">
        <f aca="false">AB212-Assumptions!$B$29</f>
        <v>176763.538204695</v>
      </c>
      <c r="T212" s="6" t="n">
        <f aca="false">AC212-Assumptions!$B$29</f>
        <v>135822.025463644</v>
      </c>
      <c r="U212" s="6" t="n">
        <f aca="false">AD212-Assumptions!$B$29</f>
        <v>92903.1880094198</v>
      </c>
      <c r="V212" s="6" t="n">
        <f aca="false">AE212-Assumptions!$B$29</f>
        <v>45919.4459356362</v>
      </c>
      <c r="W212" s="6" t="n">
        <f aca="false">M212*(1+C212)</f>
        <v>409622.994415733</v>
      </c>
      <c r="X212" s="6" t="n">
        <f aca="false">N212*(1+D212)</f>
        <v>364600.874576405</v>
      </c>
      <c r="Y212" s="6" t="n">
        <f aca="false">O212*(1+E212)</f>
        <v>330707.807510968</v>
      </c>
      <c r="Z212" s="6" t="n">
        <f aca="false">P212*(1+F212)</f>
        <v>300170.185842775</v>
      </c>
      <c r="AA212" s="6" t="n">
        <f aca="false">Q212*(1+G212)</f>
        <v>265908.810076889</v>
      </c>
      <c r="AB212" s="6" t="n">
        <f aca="false">R212*(1+H212)</f>
        <v>226763.538204695</v>
      </c>
      <c r="AC212" s="6" t="n">
        <f aca="false">S212*(1+I212)</f>
        <v>185822.025463644</v>
      </c>
      <c r="AD212" s="6" t="n">
        <f aca="false">T212*(1+J212)</f>
        <v>142903.18800942</v>
      </c>
      <c r="AE212" s="6" t="n">
        <f aca="false">U212*(1+K212)</f>
        <v>95919.4459356362</v>
      </c>
      <c r="AF212" s="6" t="n">
        <f aca="false">V212*(1+L212)</f>
        <v>48906.7121964461</v>
      </c>
      <c r="AG212" s="6" t="n">
        <f aca="false">MIN(M212:V212)</f>
        <v>45919.4459356362</v>
      </c>
      <c r="AH212" s="19" t="n">
        <f aca="false">IF(AG212&gt;=0,1,0)</f>
        <v>1</v>
      </c>
    </row>
    <row r="213" customFormat="false" ht="15" hidden="false" customHeight="false" outlineLevel="0" collapsed="false">
      <c r="A213" s="0" t="n">
        <f aca="false">ROW()-1</f>
        <v>212</v>
      </c>
      <c r="B213" s="6" t="n">
        <f aca="false">Assumptions!$B$35</f>
        <v>441263.996662504</v>
      </c>
      <c r="C213" s="8" t="n">
        <f aca="true">NORMINV(RAND(),Assumptions!$B$14,Assumptions!$B$15)</f>
        <v>0.111913360873362</v>
      </c>
      <c r="D213" s="8" t="n">
        <f aca="true">NORMINV(RAND(),Assumptions!$B$14,Assumptions!$B$15)</f>
        <v>0.0121020685300863</v>
      </c>
      <c r="E213" s="8" t="n">
        <f aca="true">NORMINV(RAND(),Assumptions!$B$14,Assumptions!$B$15)</f>
        <v>0.0354841478355111</v>
      </c>
      <c r="F213" s="8" t="n">
        <f aca="true">NORMINV(RAND(),Assumptions!$B$14,Assumptions!$B$15)</f>
        <v>0.075885033999701</v>
      </c>
      <c r="G213" s="8" t="n">
        <f aca="true">NORMINV(RAND(),Assumptions!$B$14,Assumptions!$B$15)</f>
        <v>0.0776968033186833</v>
      </c>
      <c r="H213" s="8" t="n">
        <f aca="true">NORMINV(RAND(),Assumptions!$B$14,Assumptions!$B$15)</f>
        <v>0.0395067420212477</v>
      </c>
      <c r="I213" s="8" t="n">
        <f aca="true">NORMINV(RAND(),Assumptions!$B$14,Assumptions!$B$15)</f>
        <v>0.0456148713038208</v>
      </c>
      <c r="J213" s="8" t="n">
        <f aca="true">NORMINV(RAND(),Assumptions!$B$14,Assumptions!$B$15)</f>
        <v>0.0156677183964966</v>
      </c>
      <c r="K213" s="8" t="n">
        <f aca="true">NORMINV(RAND(),Assumptions!$B$14,Assumptions!$B$15)</f>
        <v>0.0266746309032185</v>
      </c>
      <c r="L213" s="8" t="n">
        <f aca="true">NORMINV(RAND(),Assumptions!$B$14,Assumptions!$B$15)</f>
        <v>0.0332767640069024</v>
      </c>
      <c r="M213" s="6" t="n">
        <f aca="false">B213-Assumptions!$B$29</f>
        <v>391263.996662504</v>
      </c>
      <c r="N213" s="6" t="n">
        <f aca="false">W213-Assumptions!$B$29</f>
        <v>385051.665517748</v>
      </c>
      <c r="O213" s="6" t="n">
        <f aca="false">X213-Assumptions!$B$29</f>
        <v>339711.587161468</v>
      </c>
      <c r="P213" s="6" t="n">
        <f aca="false">Y213-Assumptions!$B$29</f>
        <v>301765.963341741</v>
      </c>
      <c r="Q213" s="6" t="n">
        <f aca="false">Z213-Assumptions!$B$29</f>
        <v>274665.483729882</v>
      </c>
      <c r="R213" s="6" t="n">
        <f aca="false">AA213-Assumptions!$B$29</f>
        <v>246006.113797674</v>
      </c>
      <c r="S213" s="6" t="n">
        <f aca="false">AB213-Assumptions!$B$29</f>
        <v>205725.013871128</v>
      </c>
      <c r="T213" s="6" t="n">
        <f aca="false">AC213-Assumptions!$B$29</f>
        <v>165109.133902836</v>
      </c>
      <c r="U213" s="6" t="n">
        <f aca="false">AD213-Assumptions!$B$29</f>
        <v>117696.017317515</v>
      </c>
      <c r="V213" s="6" t="n">
        <f aca="false">AE213-Assumptions!$B$29</f>
        <v>70835.5151382389</v>
      </c>
      <c r="W213" s="6" t="n">
        <f aca="false">M213*(1+C213)</f>
        <v>435051.665517748</v>
      </c>
      <c r="X213" s="6" t="n">
        <f aca="false">N213*(1+D213)</f>
        <v>389711.587161468</v>
      </c>
      <c r="Y213" s="6" t="n">
        <f aca="false">O213*(1+E213)</f>
        <v>351765.963341741</v>
      </c>
      <c r="Z213" s="6" t="n">
        <f aca="false">P213*(1+F213)</f>
        <v>324665.483729882</v>
      </c>
      <c r="AA213" s="6" t="n">
        <f aca="false">Q213*(1+G213)</f>
        <v>296006.113797674</v>
      </c>
      <c r="AB213" s="6" t="n">
        <f aca="false">R213*(1+H213)</f>
        <v>255725.013871128</v>
      </c>
      <c r="AC213" s="6" t="n">
        <f aca="false">S213*(1+I213)</f>
        <v>215109.133902836</v>
      </c>
      <c r="AD213" s="6" t="n">
        <f aca="false">T213*(1+J213)</f>
        <v>167696.017317515</v>
      </c>
      <c r="AE213" s="6" t="n">
        <f aca="false">U213*(1+K213)</f>
        <v>120835.515138239</v>
      </c>
      <c r="AF213" s="6" t="n">
        <f aca="false">V213*(1+L213)</f>
        <v>73192.6918588015</v>
      </c>
      <c r="AG213" s="6" t="n">
        <f aca="false">MIN(M213:V213)</f>
        <v>70835.5151382389</v>
      </c>
      <c r="AH213" s="19" t="n">
        <f aca="false">IF(AG213&gt;=0,1,0)</f>
        <v>1</v>
      </c>
    </row>
    <row r="214" customFormat="false" ht="15" hidden="false" customHeight="false" outlineLevel="0" collapsed="false">
      <c r="A214" s="0" t="n">
        <f aca="false">ROW()-1</f>
        <v>213</v>
      </c>
      <c r="B214" s="6" t="n">
        <f aca="false">Assumptions!$B$35</f>
        <v>441263.996662504</v>
      </c>
      <c r="C214" s="8" t="n">
        <f aca="true">NORMINV(RAND(),Assumptions!$B$14,Assumptions!$B$15)</f>
        <v>0.0304621163441946</v>
      </c>
      <c r="D214" s="8" t="n">
        <f aca="true">NORMINV(RAND(),Assumptions!$B$14,Assumptions!$B$15)</f>
        <v>0.0550607834341415</v>
      </c>
      <c r="E214" s="8" t="n">
        <f aca="true">NORMINV(RAND(),Assumptions!$B$14,Assumptions!$B$15)</f>
        <v>0.0670527121878179</v>
      </c>
      <c r="F214" s="8" t="n">
        <f aca="true">NORMINV(RAND(),Assumptions!$B$14,Assumptions!$B$15)</f>
        <v>0.0552153186615659</v>
      </c>
      <c r="G214" s="8" t="n">
        <f aca="true">NORMINV(RAND(),Assumptions!$B$14,Assumptions!$B$15)</f>
        <v>0.107254071925886</v>
      </c>
      <c r="H214" s="8" t="n">
        <f aca="true">NORMINV(RAND(),Assumptions!$B$14,Assumptions!$B$15)</f>
        <v>-0.00588222849991957</v>
      </c>
      <c r="I214" s="8" t="n">
        <f aca="true">NORMINV(RAND(),Assumptions!$B$14,Assumptions!$B$15)</f>
        <v>0.0165885444070313</v>
      </c>
      <c r="J214" s="8" t="n">
        <f aca="true">NORMINV(RAND(),Assumptions!$B$14,Assumptions!$B$15)</f>
        <v>0.0553332942716382</v>
      </c>
      <c r="K214" s="8" t="n">
        <f aca="true">NORMINV(RAND(),Assumptions!$B$14,Assumptions!$B$15)</f>
        <v>0.0297158443431825</v>
      </c>
      <c r="L214" s="8" t="n">
        <f aca="true">NORMINV(RAND(),Assumptions!$B$14,Assumptions!$B$15)</f>
        <v>0.047968467852008</v>
      </c>
      <c r="M214" s="6" t="n">
        <f aca="false">B214-Assumptions!$B$29</f>
        <v>391263.996662504</v>
      </c>
      <c r="N214" s="6" t="n">
        <f aca="false">W214-Assumptions!$B$29</f>
        <v>353182.726050131</v>
      </c>
      <c r="O214" s="6" t="n">
        <f aca="false">X214-Assumptions!$B$29</f>
        <v>322629.243641857</v>
      </c>
      <c r="P214" s="6" t="n">
        <f aca="false">Y214-Assumptions!$B$29</f>
        <v>294262.409459148</v>
      </c>
      <c r="Q214" s="6" t="n">
        <f aca="false">Z214-Assumptions!$B$29</f>
        <v>260510.202167555</v>
      </c>
      <c r="R214" s="6" t="n">
        <f aca="false">AA214-Assumptions!$B$29</f>
        <v>238450.982128261</v>
      </c>
      <c r="S214" s="6" t="n">
        <f aca="false">AB214-Assumptions!$B$29</f>
        <v>187048.358965353</v>
      </c>
      <c r="T214" s="6" t="n">
        <f aca="false">AC214-Assumptions!$B$29</f>
        <v>140151.218974312</v>
      </c>
      <c r="U214" s="6" t="n">
        <f aca="false">AD214-Assumptions!$B$29</f>
        <v>97906.247616346</v>
      </c>
      <c r="V214" s="6" t="n">
        <f aca="false">AE214-Assumptions!$B$29</f>
        <v>50815.6144307384</v>
      </c>
      <c r="W214" s="6" t="n">
        <f aca="false">M214*(1+C214)</f>
        <v>403182.726050131</v>
      </c>
      <c r="X214" s="6" t="n">
        <f aca="false">N214*(1+D214)</f>
        <v>372629.243641857</v>
      </c>
      <c r="Y214" s="6" t="n">
        <f aca="false">O214*(1+E214)</f>
        <v>344262.409459148</v>
      </c>
      <c r="Z214" s="6" t="n">
        <f aca="false">P214*(1+F214)</f>
        <v>310510.202167555</v>
      </c>
      <c r="AA214" s="6" t="n">
        <f aca="false">Q214*(1+G214)</f>
        <v>288450.982128261</v>
      </c>
      <c r="AB214" s="6" t="n">
        <f aca="false">R214*(1+H214)</f>
        <v>237048.358965353</v>
      </c>
      <c r="AC214" s="6" t="n">
        <f aca="false">S214*(1+I214)</f>
        <v>190151.218974312</v>
      </c>
      <c r="AD214" s="6" t="n">
        <f aca="false">T214*(1+J214)</f>
        <v>147906.247616346</v>
      </c>
      <c r="AE214" s="6" t="n">
        <f aca="false">U214*(1+K214)</f>
        <v>100815.614430738</v>
      </c>
      <c r="AF214" s="6" t="n">
        <f aca="false">V214*(1+L214)</f>
        <v>53253.1615979393</v>
      </c>
      <c r="AG214" s="6" t="n">
        <f aca="false">MIN(M214:V214)</f>
        <v>50815.6144307384</v>
      </c>
      <c r="AH214" s="19" t="n">
        <f aca="false">IF(AG214&gt;=0,1,0)</f>
        <v>1</v>
      </c>
    </row>
    <row r="215" customFormat="false" ht="15" hidden="false" customHeight="false" outlineLevel="0" collapsed="false">
      <c r="A215" s="0" t="n">
        <f aca="false">ROW()-1</f>
        <v>214</v>
      </c>
      <c r="B215" s="6" t="n">
        <f aca="false">Assumptions!$B$35</f>
        <v>441263.996662504</v>
      </c>
      <c r="C215" s="8" t="n">
        <f aca="true">NORMINV(RAND(),Assumptions!$B$14,Assumptions!$B$15)</f>
        <v>0.0294369181367328</v>
      </c>
      <c r="D215" s="8" t="n">
        <f aca="true">NORMINV(RAND(),Assumptions!$B$14,Assumptions!$B$15)</f>
        <v>0.0354732445409554</v>
      </c>
      <c r="E215" s="8" t="n">
        <f aca="true">NORMINV(RAND(),Assumptions!$B$14,Assumptions!$B$15)</f>
        <v>0.0700730104206934</v>
      </c>
      <c r="F215" s="8" t="n">
        <f aca="true">NORMINV(RAND(),Assumptions!$B$14,Assumptions!$B$15)</f>
        <v>0.0110823660952228</v>
      </c>
      <c r="G215" s="8" t="n">
        <f aca="true">NORMINV(RAND(),Assumptions!$B$14,Assumptions!$B$15)</f>
        <v>0.0513856384176545</v>
      </c>
      <c r="H215" s="8" t="n">
        <f aca="true">NORMINV(RAND(),Assumptions!$B$14,Assumptions!$B$15)</f>
        <v>0.0283776933444795</v>
      </c>
      <c r="I215" s="8" t="n">
        <f aca="true">NORMINV(RAND(),Assumptions!$B$14,Assumptions!$B$15)</f>
        <v>0.0177485571733807</v>
      </c>
      <c r="J215" s="8" t="n">
        <f aca="true">NORMINV(RAND(),Assumptions!$B$14,Assumptions!$B$15)</f>
        <v>0.0961843273920909</v>
      </c>
      <c r="K215" s="8" t="n">
        <f aca="true">NORMINV(RAND(),Assumptions!$B$14,Assumptions!$B$15)</f>
        <v>0.0349941959613117</v>
      </c>
      <c r="L215" s="8" t="n">
        <f aca="true">NORMINV(RAND(),Assumptions!$B$14,Assumptions!$B$15)</f>
        <v>0.0119778999567012</v>
      </c>
      <c r="M215" s="6" t="n">
        <f aca="false">B215-Assumptions!$B$29</f>
        <v>391263.996662504</v>
      </c>
      <c r="N215" s="6" t="n">
        <f aca="false">W215-Assumptions!$B$29</f>
        <v>352781.602902108</v>
      </c>
      <c r="O215" s="6" t="n">
        <f aca="false">X215-Assumptions!$B$29</f>
        <v>315295.910971405</v>
      </c>
      <c r="P215" s="6" t="n">
        <f aca="false">Y215-Assumptions!$B$29</f>
        <v>287389.644626506</v>
      </c>
      <c r="Q215" s="6" t="n">
        <f aca="false">Z215-Assumptions!$B$29</f>
        <v>240574.601880233</v>
      </c>
      <c r="R215" s="6" t="n">
        <f aca="false">AA215-Assumptions!$B$29</f>
        <v>202936.681384922</v>
      </c>
      <c r="S215" s="6" t="n">
        <f aca="false">AB215-Assumptions!$B$29</f>
        <v>158695.55629761</v>
      </c>
      <c r="T215" s="6" t="n">
        <f aca="false">AC215-Assumptions!$B$29</f>
        <v>111512.173451719</v>
      </c>
      <c r="U215" s="6" t="n">
        <f aca="false">AD215-Assumptions!$B$29</f>
        <v>72237.8968512033</v>
      </c>
      <c r="V215" s="6" t="n">
        <f aca="false">AE215-Assumptions!$B$29</f>
        <v>24765.8039694473</v>
      </c>
      <c r="W215" s="6" t="n">
        <f aca="false">M215*(1+C215)</f>
        <v>402781.602902108</v>
      </c>
      <c r="X215" s="6" t="n">
        <f aca="false">N215*(1+D215)</f>
        <v>365295.910971405</v>
      </c>
      <c r="Y215" s="6" t="n">
        <f aca="false">O215*(1+E215)</f>
        <v>337389.644626506</v>
      </c>
      <c r="Z215" s="6" t="n">
        <f aca="false">P215*(1+F215)</f>
        <v>290574.601880233</v>
      </c>
      <c r="AA215" s="6" t="n">
        <f aca="false">Q215*(1+G215)</f>
        <v>252936.681384922</v>
      </c>
      <c r="AB215" s="6" t="n">
        <f aca="false">R215*(1+H215)</f>
        <v>208695.55629761</v>
      </c>
      <c r="AC215" s="6" t="n">
        <f aca="false">S215*(1+I215)</f>
        <v>161512.17345172</v>
      </c>
      <c r="AD215" s="6" t="n">
        <f aca="false">T215*(1+J215)</f>
        <v>122237.896851203</v>
      </c>
      <c r="AE215" s="6" t="n">
        <f aca="false">U215*(1+K215)</f>
        <v>74765.8039694473</v>
      </c>
      <c r="AF215" s="6" t="n">
        <f aca="false">V215*(1+L215)</f>
        <v>25062.4462917406</v>
      </c>
      <c r="AG215" s="6" t="n">
        <f aca="false">MIN(M215:V215)</f>
        <v>24765.8039694473</v>
      </c>
      <c r="AH215" s="19" t="n">
        <f aca="false">IF(AG215&gt;=0,1,0)</f>
        <v>1</v>
      </c>
    </row>
    <row r="216" customFormat="false" ht="15" hidden="false" customHeight="false" outlineLevel="0" collapsed="false">
      <c r="A216" s="0" t="n">
        <f aca="false">ROW()-1</f>
        <v>215</v>
      </c>
      <c r="B216" s="6" t="n">
        <f aca="false">Assumptions!$B$35</f>
        <v>441263.996662504</v>
      </c>
      <c r="C216" s="8" t="n">
        <f aca="true">NORMINV(RAND(),Assumptions!$B$14,Assumptions!$B$15)</f>
        <v>0.09821146146088</v>
      </c>
      <c r="D216" s="8" t="n">
        <f aca="true">NORMINV(RAND(),Assumptions!$B$14,Assumptions!$B$15)</f>
        <v>0.0936857323462529</v>
      </c>
      <c r="E216" s="8" t="n">
        <f aca="true">NORMINV(RAND(),Assumptions!$B$14,Assumptions!$B$15)</f>
        <v>0.0294536822043709</v>
      </c>
      <c r="F216" s="8" t="n">
        <f aca="true">NORMINV(RAND(),Assumptions!$B$14,Assumptions!$B$15)</f>
        <v>0.0272296249454393</v>
      </c>
      <c r="G216" s="8" t="n">
        <f aca="true">NORMINV(RAND(),Assumptions!$B$14,Assumptions!$B$15)</f>
        <v>0.0733981027875075</v>
      </c>
      <c r="H216" s="8" t="n">
        <f aca="true">NORMINV(RAND(),Assumptions!$B$14,Assumptions!$B$15)</f>
        <v>0.0174704620585522</v>
      </c>
      <c r="I216" s="8" t="n">
        <f aca="true">NORMINV(RAND(),Assumptions!$B$14,Assumptions!$B$15)</f>
        <v>0.0537942739842445</v>
      </c>
      <c r="J216" s="8" t="n">
        <f aca="true">NORMINV(RAND(),Assumptions!$B$14,Assumptions!$B$15)</f>
        <v>0.102583494382902</v>
      </c>
      <c r="K216" s="8" t="n">
        <f aca="true">NORMINV(RAND(),Assumptions!$B$14,Assumptions!$B$15)</f>
        <v>0.052505005491174</v>
      </c>
      <c r="L216" s="8" t="n">
        <f aca="true">NORMINV(RAND(),Assumptions!$B$14,Assumptions!$B$15)</f>
        <v>0.00928189819054935</v>
      </c>
      <c r="M216" s="6" t="n">
        <f aca="false">B216-Assumptions!$B$29</f>
        <v>391263.996662504</v>
      </c>
      <c r="N216" s="6" t="n">
        <f aca="false">W216-Assumptions!$B$29</f>
        <v>379690.605591753</v>
      </c>
      <c r="O216" s="6" t="n">
        <f aca="false">X216-Assumptions!$B$29</f>
        <v>365262.198041609</v>
      </c>
      <c r="P216" s="6" t="n">
        <f aca="false">Y216-Assumptions!$B$29</f>
        <v>326020.514743996</v>
      </c>
      <c r="Q216" s="6" t="n">
        <f aca="false">Z216-Assumptions!$B$29</f>
        <v>284897.931084994</v>
      </c>
      <c r="R216" s="6" t="n">
        <f aca="false">AA216-Assumptions!$B$29</f>
        <v>255808.898714719</v>
      </c>
      <c r="S216" s="6" t="n">
        <f aca="false">AB216-Assumptions!$B$29</f>
        <v>210277.998373954</v>
      </c>
      <c r="T216" s="6" t="n">
        <f aca="false">AC216-Assumptions!$B$29</f>
        <v>171589.750631341</v>
      </c>
      <c r="U216" s="6" t="n">
        <f aca="false">AD216-Assumptions!$B$29</f>
        <v>139192.026851395</v>
      </c>
      <c r="V216" s="6" t="n">
        <f aca="false">AE216-Assumptions!$B$29</f>
        <v>96500.3049855552</v>
      </c>
      <c r="W216" s="6" t="n">
        <f aca="false">M216*(1+C216)</f>
        <v>429690.605591753</v>
      </c>
      <c r="X216" s="6" t="n">
        <f aca="false">N216*(1+D216)</f>
        <v>415262.198041609</v>
      </c>
      <c r="Y216" s="6" t="n">
        <f aca="false">O216*(1+E216)</f>
        <v>376020.514743996</v>
      </c>
      <c r="Z216" s="6" t="n">
        <f aca="false">P216*(1+F216)</f>
        <v>334897.931084994</v>
      </c>
      <c r="AA216" s="6" t="n">
        <f aca="false">Q216*(1+G216)</f>
        <v>305808.898714719</v>
      </c>
      <c r="AB216" s="6" t="n">
        <f aca="false">R216*(1+H216)</f>
        <v>260277.998373954</v>
      </c>
      <c r="AC216" s="6" t="n">
        <f aca="false">S216*(1+I216)</f>
        <v>221589.750631341</v>
      </c>
      <c r="AD216" s="6" t="n">
        <f aca="false">T216*(1+J216)</f>
        <v>189192.026851395</v>
      </c>
      <c r="AE216" s="6" t="n">
        <f aca="false">U216*(1+K216)</f>
        <v>146500.304985555</v>
      </c>
      <c r="AF216" s="6" t="n">
        <f aca="false">V216*(1+L216)</f>
        <v>97396.0109917881</v>
      </c>
      <c r="AG216" s="6" t="n">
        <f aca="false">MIN(M216:V216)</f>
        <v>96500.3049855552</v>
      </c>
      <c r="AH216" s="19" t="n">
        <f aca="false">IF(AG216&gt;=0,1,0)</f>
        <v>1</v>
      </c>
    </row>
    <row r="217" customFormat="false" ht="15" hidden="false" customHeight="false" outlineLevel="0" collapsed="false">
      <c r="A217" s="0" t="n">
        <f aca="false">ROW()-1</f>
        <v>216</v>
      </c>
      <c r="B217" s="6" t="n">
        <f aca="false">Assumptions!$B$35</f>
        <v>441263.996662504</v>
      </c>
      <c r="C217" s="8" t="n">
        <f aca="true">NORMINV(RAND(),Assumptions!$B$14,Assumptions!$B$15)</f>
        <v>0.0419966335728116</v>
      </c>
      <c r="D217" s="8" t="n">
        <f aca="true">NORMINV(RAND(),Assumptions!$B$14,Assumptions!$B$15)</f>
        <v>0.0732763339750983</v>
      </c>
      <c r="E217" s="8" t="n">
        <f aca="true">NORMINV(RAND(),Assumptions!$B$14,Assumptions!$B$15)</f>
        <v>0.0663527309228549</v>
      </c>
      <c r="F217" s="8" t="n">
        <f aca="true">NORMINV(RAND(),Assumptions!$B$14,Assumptions!$B$15)</f>
        <v>0.109697948105516</v>
      </c>
      <c r="G217" s="8" t="n">
        <f aca="true">NORMINV(RAND(),Assumptions!$B$14,Assumptions!$B$15)</f>
        <v>0.0207434397999516</v>
      </c>
      <c r="H217" s="8" t="n">
        <f aca="true">NORMINV(RAND(),Assumptions!$B$14,Assumptions!$B$15)</f>
        <v>0.0484154638946097</v>
      </c>
      <c r="I217" s="8" t="n">
        <f aca="true">NORMINV(RAND(),Assumptions!$B$14,Assumptions!$B$15)</f>
        <v>0.00658164907293742</v>
      </c>
      <c r="J217" s="8" t="n">
        <f aca="true">NORMINV(RAND(),Assumptions!$B$14,Assumptions!$B$15)</f>
        <v>0.0437145972094549</v>
      </c>
      <c r="K217" s="8" t="n">
        <f aca="true">NORMINV(RAND(),Assumptions!$B$14,Assumptions!$B$15)</f>
        <v>0.0712815520090539</v>
      </c>
      <c r="L217" s="8" t="n">
        <f aca="true">NORMINV(RAND(),Assumptions!$B$14,Assumptions!$B$15)</f>
        <v>-0.0023305808536255</v>
      </c>
      <c r="M217" s="6" t="n">
        <f aca="false">B217-Assumptions!$B$29</f>
        <v>391263.996662504</v>
      </c>
      <c r="N217" s="6" t="n">
        <f aca="false">W217-Assumptions!$B$29</f>
        <v>357695.767360572</v>
      </c>
      <c r="O217" s="6" t="n">
        <f aca="false">X217-Assumptions!$B$29</f>
        <v>333906.401871165</v>
      </c>
      <c r="P217" s="6" t="n">
        <f aca="false">Y217-Assumptions!$B$29</f>
        <v>306062.003507941</v>
      </c>
      <c r="Q217" s="6" t="n">
        <f aca="false">Z217-Assumptions!$B$29</f>
        <v>289636.377285825</v>
      </c>
      <c r="R217" s="6" t="n">
        <f aca="false">AA217-Assumptions!$B$29</f>
        <v>245644.43204193</v>
      </c>
      <c r="S217" s="6" t="n">
        <f aca="false">AB217-Assumptions!$B$29</f>
        <v>207537.421172368</v>
      </c>
      <c r="T217" s="6" t="n">
        <f aca="false">AC217-Assumptions!$B$29</f>
        <v>158903.359648027</v>
      </c>
      <c r="U217" s="6" t="n">
        <f aca="false">AD217-Assumptions!$B$29</f>
        <v>115849.756010269</v>
      </c>
      <c r="V217" s="6" t="n">
        <f aca="false">AE217-Assumptions!$B$29</f>
        <v>74107.7064185514</v>
      </c>
      <c r="W217" s="6" t="n">
        <f aca="false">M217*(1+C217)</f>
        <v>407695.767360572</v>
      </c>
      <c r="X217" s="6" t="n">
        <f aca="false">N217*(1+D217)</f>
        <v>383906.401871165</v>
      </c>
      <c r="Y217" s="6" t="n">
        <f aca="false">O217*(1+E217)</f>
        <v>356062.003507941</v>
      </c>
      <c r="Z217" s="6" t="n">
        <f aca="false">P217*(1+F217)</f>
        <v>339636.377285825</v>
      </c>
      <c r="AA217" s="6" t="n">
        <f aca="false">Q217*(1+G217)</f>
        <v>295644.43204193</v>
      </c>
      <c r="AB217" s="6" t="n">
        <f aca="false">R217*(1+H217)</f>
        <v>257537.421172368</v>
      </c>
      <c r="AC217" s="6" t="n">
        <f aca="false">S217*(1+I217)</f>
        <v>208903.359648027</v>
      </c>
      <c r="AD217" s="6" t="n">
        <f aca="false">T217*(1+J217)</f>
        <v>165849.756010269</v>
      </c>
      <c r="AE217" s="6" t="n">
        <f aca="false">U217*(1+K217)</f>
        <v>124107.706418551</v>
      </c>
      <c r="AF217" s="6" t="n">
        <f aca="false">V217*(1+L217)</f>
        <v>73934.9924168663</v>
      </c>
      <c r="AG217" s="6" t="n">
        <f aca="false">MIN(M217:V217)</f>
        <v>74107.7064185514</v>
      </c>
      <c r="AH217" s="19" t="n">
        <f aca="false">IF(AG217&gt;=0,1,0)</f>
        <v>1</v>
      </c>
    </row>
    <row r="218" customFormat="false" ht="15" hidden="false" customHeight="false" outlineLevel="0" collapsed="false">
      <c r="A218" s="0" t="n">
        <f aca="false">ROW()-1</f>
        <v>217</v>
      </c>
      <c r="B218" s="6" t="n">
        <f aca="false">Assumptions!$B$35</f>
        <v>441263.996662504</v>
      </c>
      <c r="C218" s="8" t="n">
        <f aca="true">NORMINV(RAND(),Assumptions!$B$14,Assumptions!$B$15)</f>
        <v>0.0541224553396829</v>
      </c>
      <c r="D218" s="8" t="n">
        <f aca="true">NORMINV(RAND(),Assumptions!$B$14,Assumptions!$B$15)</f>
        <v>0.0347439541521585</v>
      </c>
      <c r="E218" s="8" t="n">
        <f aca="true">NORMINV(RAND(),Assumptions!$B$14,Assumptions!$B$15)</f>
        <v>0.142086121277911</v>
      </c>
      <c r="F218" s="8" t="n">
        <f aca="true">NORMINV(RAND(),Assumptions!$B$14,Assumptions!$B$15)</f>
        <v>-0.0198598391444769</v>
      </c>
      <c r="G218" s="8" t="n">
        <f aca="true">NORMINV(RAND(),Assumptions!$B$14,Assumptions!$B$15)</f>
        <v>0.0638432942152205</v>
      </c>
      <c r="H218" s="8" t="n">
        <f aca="true">NORMINV(RAND(),Assumptions!$B$14,Assumptions!$B$15)</f>
        <v>0.0656182784089855</v>
      </c>
      <c r="I218" s="8" t="n">
        <f aca="true">NORMINV(RAND(),Assumptions!$B$14,Assumptions!$B$15)</f>
        <v>0.0825152386480117</v>
      </c>
      <c r="J218" s="8" t="n">
        <f aca="true">NORMINV(RAND(),Assumptions!$B$14,Assumptions!$B$15)</f>
        <v>0.00921415956305367</v>
      </c>
      <c r="K218" s="8" t="n">
        <f aca="true">NORMINV(RAND(),Assumptions!$B$14,Assumptions!$B$15)</f>
        <v>0.0638130211278901</v>
      </c>
      <c r="L218" s="8" t="n">
        <f aca="true">NORMINV(RAND(),Assumptions!$B$14,Assumptions!$B$15)</f>
        <v>0.0366089061882117</v>
      </c>
      <c r="M218" s="6" t="n">
        <f aca="false">B218-Assumptions!$B$29</f>
        <v>391263.996662504</v>
      </c>
      <c r="N218" s="6" t="n">
        <f aca="false">W218-Assumptions!$B$29</f>
        <v>362440.164847896</v>
      </c>
      <c r="O218" s="6" t="n">
        <f aca="false">X218-Assumptions!$B$29</f>
        <v>325032.769318272</v>
      </c>
      <c r="P218" s="6" t="n">
        <f aca="false">Y218-Assumptions!$B$29</f>
        <v>321215.414798923</v>
      </c>
      <c r="Q218" s="6" t="n">
        <f aca="false">Z218-Assumptions!$B$29</f>
        <v>264836.12833029</v>
      </c>
      <c r="R218" s="6" t="n">
        <f aca="false">AA218-Assumptions!$B$29</f>
        <v>231744.139190101</v>
      </c>
      <c r="S218" s="6" t="n">
        <f aca="false">AB218-Assumptions!$B$29</f>
        <v>196950.790635127</v>
      </c>
      <c r="T218" s="6" t="n">
        <f aca="false">AC218-Assumptions!$B$29</f>
        <v>163202.2321263</v>
      </c>
      <c r="U218" s="6" t="n">
        <f aca="false">AD218-Assumptions!$B$29</f>
        <v>114706.003534158</v>
      </c>
      <c r="V218" s="6" t="n">
        <f aca="false">AE218-Assumptions!$B$29</f>
        <v>72025.7401611789</v>
      </c>
      <c r="W218" s="6" t="n">
        <f aca="false">M218*(1+C218)</f>
        <v>412440.164847896</v>
      </c>
      <c r="X218" s="6" t="n">
        <f aca="false">N218*(1+D218)</f>
        <v>375032.769318272</v>
      </c>
      <c r="Y218" s="6" t="n">
        <f aca="false">O218*(1+E218)</f>
        <v>371215.414798923</v>
      </c>
      <c r="Z218" s="6" t="n">
        <f aca="false">P218*(1+F218)</f>
        <v>314836.12833029</v>
      </c>
      <c r="AA218" s="6" t="n">
        <f aca="false">Q218*(1+G218)</f>
        <v>281744.139190101</v>
      </c>
      <c r="AB218" s="6" t="n">
        <f aca="false">R218*(1+H218)</f>
        <v>246950.790635127</v>
      </c>
      <c r="AC218" s="6" t="n">
        <f aca="false">S218*(1+I218)</f>
        <v>213202.2321263</v>
      </c>
      <c r="AD218" s="6" t="n">
        <f aca="false">T218*(1+J218)</f>
        <v>164706.003534158</v>
      </c>
      <c r="AE218" s="6" t="n">
        <f aca="false">U218*(1+K218)</f>
        <v>122025.740161179</v>
      </c>
      <c r="AF218" s="6" t="n">
        <f aca="false">V218*(1+L218)</f>
        <v>74662.523725876</v>
      </c>
      <c r="AG218" s="6" t="n">
        <f aca="false">MIN(M218:V218)</f>
        <v>72025.7401611789</v>
      </c>
      <c r="AH218" s="19" t="n">
        <f aca="false">IF(AG218&gt;=0,1,0)</f>
        <v>1</v>
      </c>
    </row>
    <row r="219" customFormat="false" ht="15" hidden="false" customHeight="false" outlineLevel="0" collapsed="false">
      <c r="A219" s="0" t="n">
        <f aca="false">ROW()-1</f>
        <v>218</v>
      </c>
      <c r="B219" s="6" t="n">
        <f aca="false">Assumptions!$B$35</f>
        <v>441263.996662504</v>
      </c>
      <c r="C219" s="8" t="n">
        <f aca="true">NORMINV(RAND(),Assumptions!$B$14,Assumptions!$B$15)</f>
        <v>0.0596239663362131</v>
      </c>
      <c r="D219" s="8" t="n">
        <f aca="true">NORMINV(RAND(),Assumptions!$B$14,Assumptions!$B$15)</f>
        <v>-0.00900914266390175</v>
      </c>
      <c r="E219" s="8" t="n">
        <f aca="true">NORMINV(RAND(),Assumptions!$B$14,Assumptions!$B$15)</f>
        <v>0.0104892825700762</v>
      </c>
      <c r="F219" s="8" t="n">
        <f aca="true">NORMINV(RAND(),Assumptions!$B$14,Assumptions!$B$15)</f>
        <v>0.0298787629043703</v>
      </c>
      <c r="G219" s="8" t="n">
        <f aca="true">NORMINV(RAND(),Assumptions!$B$14,Assumptions!$B$15)</f>
        <v>0.115071669854681</v>
      </c>
      <c r="H219" s="8" t="n">
        <f aca="true">NORMINV(RAND(),Assumptions!$B$14,Assumptions!$B$15)</f>
        <v>0.0148496991401375</v>
      </c>
      <c r="I219" s="8" t="n">
        <f aca="true">NORMINV(RAND(),Assumptions!$B$14,Assumptions!$B$15)</f>
        <v>0.0387594373630928</v>
      </c>
      <c r="J219" s="8" t="n">
        <f aca="true">NORMINV(RAND(),Assumptions!$B$14,Assumptions!$B$15)</f>
        <v>0.0410424682971915</v>
      </c>
      <c r="K219" s="8" t="n">
        <f aca="true">NORMINV(RAND(),Assumptions!$B$14,Assumptions!$B$15)</f>
        <v>0.0844114722533589</v>
      </c>
      <c r="L219" s="8" t="n">
        <f aca="true">NORMINV(RAND(),Assumptions!$B$14,Assumptions!$B$15)</f>
        <v>0.0172602319793606</v>
      </c>
      <c r="M219" s="6" t="n">
        <f aca="false">B219-Assumptions!$B$29</f>
        <v>391263.996662504</v>
      </c>
      <c r="N219" s="6" t="n">
        <f aca="false">W219-Assumptions!$B$29</f>
        <v>364592.708028081</v>
      </c>
      <c r="O219" s="6" t="n">
        <f aca="false">X219-Assumptions!$B$29</f>
        <v>311308.040307238</v>
      </c>
      <c r="P219" s="6" t="n">
        <f aca="false">Y219-Assumptions!$B$29</f>
        <v>264573.438308357</v>
      </c>
      <c r="Q219" s="6" t="n">
        <f aca="false">Z219-Assumptions!$B$29</f>
        <v>222478.565342366</v>
      </c>
      <c r="R219" s="6" t="n">
        <f aca="false">AA219-Assumptions!$B$29</f>
        <v>198079.545363186</v>
      </c>
      <c r="S219" s="6" t="n">
        <f aca="false">AB219-Assumptions!$B$29</f>
        <v>151020.967017645</v>
      </c>
      <c r="T219" s="6" t="n">
        <f aca="false">AC219-Assumptions!$B$29</f>
        <v>106874.454729279</v>
      </c>
      <c r="U219" s="6" t="n">
        <f aca="false">AD219-Assumptions!$B$29</f>
        <v>61260.8461492847</v>
      </c>
      <c r="V219" s="6" t="n">
        <f aca="false">AE219-Assumptions!$B$29</f>
        <v>16431.9643642324</v>
      </c>
      <c r="W219" s="6" t="n">
        <f aca="false">M219*(1+C219)</f>
        <v>414592.708028081</v>
      </c>
      <c r="X219" s="6" t="n">
        <f aca="false">N219*(1+D219)</f>
        <v>361308.040307238</v>
      </c>
      <c r="Y219" s="6" t="n">
        <f aca="false">O219*(1+E219)</f>
        <v>314573.438308357</v>
      </c>
      <c r="Z219" s="6" t="n">
        <f aca="false">P219*(1+F219)</f>
        <v>272478.565342366</v>
      </c>
      <c r="AA219" s="6" t="n">
        <f aca="false">Q219*(1+G219)</f>
        <v>248079.545363186</v>
      </c>
      <c r="AB219" s="6" t="n">
        <f aca="false">R219*(1+H219)</f>
        <v>201020.967017645</v>
      </c>
      <c r="AC219" s="6" t="n">
        <f aca="false">S219*(1+I219)</f>
        <v>156874.454729279</v>
      </c>
      <c r="AD219" s="6" t="n">
        <f aca="false">T219*(1+J219)</f>
        <v>111260.846149285</v>
      </c>
      <c r="AE219" s="6" t="n">
        <f aca="false">U219*(1+K219)</f>
        <v>66431.9643642324</v>
      </c>
      <c r="AF219" s="6" t="n">
        <f aca="false">V219*(1+L219)</f>
        <v>16715.5838810356</v>
      </c>
      <c r="AG219" s="6" t="n">
        <f aca="false">MIN(M219:V219)</f>
        <v>16431.9643642324</v>
      </c>
      <c r="AH219" s="19" t="n">
        <f aca="false">IF(AG219&gt;=0,1,0)</f>
        <v>1</v>
      </c>
    </row>
    <row r="220" customFormat="false" ht="15" hidden="false" customHeight="false" outlineLevel="0" collapsed="false">
      <c r="A220" s="0" t="n">
        <f aca="false">ROW()-1</f>
        <v>219</v>
      </c>
      <c r="B220" s="6" t="n">
        <f aca="false">Assumptions!$B$35</f>
        <v>441263.996662504</v>
      </c>
      <c r="C220" s="8" t="n">
        <f aca="true">NORMINV(RAND(),Assumptions!$B$14,Assumptions!$B$15)</f>
        <v>0.0989577003970076</v>
      </c>
      <c r="D220" s="8" t="n">
        <f aca="true">NORMINV(RAND(),Assumptions!$B$14,Assumptions!$B$15)</f>
        <v>7.37647525660412E-005</v>
      </c>
      <c r="E220" s="8" t="n">
        <f aca="true">NORMINV(RAND(),Assumptions!$B$14,Assumptions!$B$15)</f>
        <v>0.050665463748484</v>
      </c>
      <c r="F220" s="8" t="n">
        <f aca="true">NORMINV(RAND(),Assumptions!$B$14,Assumptions!$B$15)</f>
        <v>0.065438602381108</v>
      </c>
      <c r="G220" s="8" t="n">
        <f aca="true">NORMINV(RAND(),Assumptions!$B$14,Assumptions!$B$15)</f>
        <v>-0.00663134309545127</v>
      </c>
      <c r="H220" s="8" t="n">
        <f aca="true">NORMINV(RAND(),Assumptions!$B$14,Assumptions!$B$15)</f>
        <v>0.0511220872310444</v>
      </c>
      <c r="I220" s="8" t="n">
        <f aca="true">NORMINV(RAND(),Assumptions!$B$14,Assumptions!$B$15)</f>
        <v>0.0801285190970244</v>
      </c>
      <c r="J220" s="8" t="n">
        <f aca="true">NORMINV(RAND(),Assumptions!$B$14,Assumptions!$B$15)</f>
        <v>0.116621516570244</v>
      </c>
      <c r="K220" s="8" t="n">
        <f aca="true">NORMINV(RAND(),Assumptions!$B$14,Assumptions!$B$15)</f>
        <v>0.0170201005449595</v>
      </c>
      <c r="L220" s="8" t="n">
        <f aca="true">NORMINV(RAND(),Assumptions!$B$14,Assumptions!$B$15)</f>
        <v>0.0430089969292805</v>
      </c>
      <c r="M220" s="6" t="n">
        <f aca="false">B220-Assumptions!$B$29</f>
        <v>391263.996662504</v>
      </c>
      <c r="N220" s="6" t="n">
        <f aca="false">W220-Assumptions!$B$29</f>
        <v>379982.582020367</v>
      </c>
      <c r="O220" s="6" t="n">
        <f aca="false">X220-Assumptions!$B$29</f>
        <v>330010.611341509</v>
      </c>
      <c r="P220" s="6" t="n">
        <f aca="false">Y220-Assumptions!$B$29</f>
        <v>296730.752007048</v>
      </c>
      <c r="Q220" s="6" t="n">
        <f aca="false">Z220-Assumptions!$B$29</f>
        <v>266148.397701884</v>
      </c>
      <c r="R220" s="6" t="n">
        <f aca="false">AA220-Assumptions!$B$29</f>
        <v>214383.476362418</v>
      </c>
      <c r="S220" s="6" t="n">
        <f aca="false">AB220-Assumptions!$B$29</f>
        <v>175343.207141912</v>
      </c>
      <c r="T220" s="6" t="n">
        <f aca="false">AC220-Assumptions!$B$29</f>
        <v>139393.198663917</v>
      </c>
      <c r="U220" s="6" t="n">
        <f aca="false">AD220-Assumptions!$B$29</f>
        <v>105649.44489168</v>
      </c>
      <c r="V220" s="6" t="n">
        <f aca="false">AE220-Assumptions!$B$29</f>
        <v>57447.6090662555</v>
      </c>
      <c r="W220" s="6" t="n">
        <f aca="false">M220*(1+C220)</f>
        <v>429982.582020367</v>
      </c>
      <c r="X220" s="6" t="n">
        <f aca="false">N220*(1+D220)</f>
        <v>380010.611341509</v>
      </c>
      <c r="Y220" s="6" t="n">
        <f aca="false">O220*(1+E220)</f>
        <v>346730.752007048</v>
      </c>
      <c r="Z220" s="6" t="n">
        <f aca="false">P220*(1+F220)</f>
        <v>316148.397701884</v>
      </c>
      <c r="AA220" s="6" t="n">
        <f aca="false">Q220*(1+G220)</f>
        <v>264383.476362418</v>
      </c>
      <c r="AB220" s="6" t="n">
        <f aca="false">R220*(1+H220)</f>
        <v>225343.207141912</v>
      </c>
      <c r="AC220" s="6" t="n">
        <f aca="false">S220*(1+I220)</f>
        <v>189393.198663917</v>
      </c>
      <c r="AD220" s="6" t="n">
        <f aca="false">T220*(1+J220)</f>
        <v>155649.44489168</v>
      </c>
      <c r="AE220" s="6" t="n">
        <f aca="false">U220*(1+K220)</f>
        <v>107447.609066255</v>
      </c>
      <c r="AF220" s="6" t="n">
        <f aca="false">V220*(1+L220)</f>
        <v>59918.3731081806</v>
      </c>
      <c r="AG220" s="6" t="n">
        <f aca="false">MIN(M220:V220)</f>
        <v>57447.6090662555</v>
      </c>
      <c r="AH220" s="19" t="n">
        <f aca="false">IF(AG220&gt;=0,1,0)</f>
        <v>1</v>
      </c>
    </row>
    <row r="221" customFormat="false" ht="15" hidden="false" customHeight="false" outlineLevel="0" collapsed="false">
      <c r="A221" s="0" t="n">
        <f aca="false">ROW()-1</f>
        <v>220</v>
      </c>
      <c r="B221" s="6" t="n">
        <f aca="false">Assumptions!$B$35</f>
        <v>441263.996662504</v>
      </c>
      <c r="C221" s="8" t="n">
        <f aca="true">NORMINV(RAND(),Assumptions!$B$14,Assumptions!$B$15)</f>
        <v>0.0226991398528215</v>
      </c>
      <c r="D221" s="8" t="n">
        <f aca="true">NORMINV(RAND(),Assumptions!$B$14,Assumptions!$B$15)</f>
        <v>0.0766965390083241</v>
      </c>
      <c r="E221" s="8" t="n">
        <f aca="true">NORMINV(RAND(),Assumptions!$B$14,Assumptions!$B$15)</f>
        <v>0.0475071788712432</v>
      </c>
      <c r="F221" s="8" t="n">
        <f aca="true">NORMINV(RAND(),Assumptions!$B$14,Assumptions!$B$15)</f>
        <v>0.0799115475990892</v>
      </c>
      <c r="G221" s="8" t="n">
        <f aca="true">NORMINV(RAND(),Assumptions!$B$14,Assumptions!$B$15)</f>
        <v>0.0650419145592087</v>
      </c>
      <c r="H221" s="8" t="n">
        <f aca="true">NORMINV(RAND(),Assumptions!$B$14,Assumptions!$B$15)</f>
        <v>0.0211352431813697</v>
      </c>
      <c r="I221" s="8" t="n">
        <f aca="true">NORMINV(RAND(),Assumptions!$B$14,Assumptions!$B$15)</f>
        <v>0.0419164515575233</v>
      </c>
      <c r="J221" s="8" t="n">
        <f aca="true">NORMINV(RAND(),Assumptions!$B$14,Assumptions!$B$15)</f>
        <v>0.0132767656818186</v>
      </c>
      <c r="K221" s="8" t="n">
        <f aca="true">NORMINV(RAND(),Assumptions!$B$14,Assumptions!$B$15)</f>
        <v>0.0170221727461913</v>
      </c>
      <c r="L221" s="8" t="n">
        <f aca="true">NORMINV(RAND(),Assumptions!$B$14,Assumptions!$B$15)</f>
        <v>0.0680345179125761</v>
      </c>
      <c r="M221" s="6" t="n">
        <f aca="false">B221-Assumptions!$B$29</f>
        <v>391263.996662504</v>
      </c>
      <c r="N221" s="6" t="n">
        <f aca="false">W221-Assumptions!$B$29</f>
        <v>350145.35284212</v>
      </c>
      <c r="O221" s="6" t="n">
        <f aca="false">X221-Assumptions!$B$29</f>
        <v>327000.289554959</v>
      </c>
      <c r="P221" s="6" t="n">
        <f aca="false">Y221-Assumptions!$B$29</f>
        <v>292535.150801794</v>
      </c>
      <c r="Q221" s="6" t="n">
        <f aca="false">Z221-Assumptions!$B$29</f>
        <v>265912.087429499</v>
      </c>
      <c r="R221" s="6" t="n">
        <f aca="false">AA221-Assumptions!$B$29</f>
        <v>233207.518700349</v>
      </c>
      <c r="S221" s="6" t="n">
        <f aca="false">AB221-Assumptions!$B$29</f>
        <v>188136.416319805</v>
      </c>
      <c r="T221" s="6" t="n">
        <f aca="false">AC221-Assumptions!$B$29</f>
        <v>146022.42730068</v>
      </c>
      <c r="U221" s="6" t="n">
        <f aca="false">AD221-Assumptions!$B$29</f>
        <v>97961.1328522414</v>
      </c>
      <c r="V221" s="6" t="n">
        <f aca="false">AE221-Assumptions!$B$29</f>
        <v>49628.6441780648</v>
      </c>
      <c r="W221" s="6" t="n">
        <f aca="false">M221*(1+C221)</f>
        <v>400145.35284212</v>
      </c>
      <c r="X221" s="6" t="n">
        <f aca="false">N221*(1+D221)</f>
        <v>377000.289554959</v>
      </c>
      <c r="Y221" s="6" t="n">
        <f aca="false">O221*(1+E221)</f>
        <v>342535.150801794</v>
      </c>
      <c r="Z221" s="6" t="n">
        <f aca="false">P221*(1+F221)</f>
        <v>315912.087429499</v>
      </c>
      <c r="AA221" s="6" t="n">
        <f aca="false">Q221*(1+G221)</f>
        <v>283207.518700349</v>
      </c>
      <c r="AB221" s="6" t="n">
        <f aca="false">R221*(1+H221)</f>
        <v>238136.416319805</v>
      </c>
      <c r="AC221" s="6" t="n">
        <f aca="false">S221*(1+I221)</f>
        <v>196022.42730068</v>
      </c>
      <c r="AD221" s="6" t="n">
        <f aca="false">T221*(1+J221)</f>
        <v>147961.132852241</v>
      </c>
      <c r="AE221" s="6" t="n">
        <f aca="false">U221*(1+K221)</f>
        <v>99628.6441780648</v>
      </c>
      <c r="AF221" s="6" t="n">
        <f aca="false">V221*(1+L221)</f>
        <v>53005.1050593742</v>
      </c>
      <c r="AG221" s="6" t="n">
        <f aca="false">MIN(M221:V221)</f>
        <v>49628.6441780648</v>
      </c>
      <c r="AH221" s="19" t="n">
        <f aca="false">IF(AG221&gt;=0,1,0)</f>
        <v>1</v>
      </c>
    </row>
    <row r="222" customFormat="false" ht="15" hidden="false" customHeight="false" outlineLevel="0" collapsed="false">
      <c r="A222" s="0" t="n">
        <f aca="false">ROW()-1</f>
        <v>221</v>
      </c>
      <c r="B222" s="6" t="n">
        <f aca="false">Assumptions!$B$35</f>
        <v>441263.996662504</v>
      </c>
      <c r="C222" s="8" t="n">
        <f aca="true">NORMINV(RAND(),Assumptions!$B$14,Assumptions!$B$15)</f>
        <v>0.0555596033127731</v>
      </c>
      <c r="D222" s="8" t="n">
        <f aca="true">NORMINV(RAND(),Assumptions!$B$14,Assumptions!$B$15)</f>
        <v>0.0286935448101156</v>
      </c>
      <c r="E222" s="8" t="n">
        <f aca="true">NORMINV(RAND(),Assumptions!$B$14,Assumptions!$B$15)</f>
        <v>0.0515370782916774</v>
      </c>
      <c r="F222" s="8" t="n">
        <f aca="true">NORMINV(RAND(),Assumptions!$B$14,Assumptions!$B$15)</f>
        <v>0.0985772405717977</v>
      </c>
      <c r="G222" s="8" t="n">
        <f aca="true">NORMINV(RAND(),Assumptions!$B$14,Assumptions!$B$15)</f>
        <v>0.0265797921777693</v>
      </c>
      <c r="H222" s="8" t="n">
        <f aca="true">NORMINV(RAND(),Assumptions!$B$14,Assumptions!$B$15)</f>
        <v>0.0366862340080526</v>
      </c>
      <c r="I222" s="8" t="n">
        <f aca="true">NORMINV(RAND(),Assumptions!$B$14,Assumptions!$B$15)</f>
        <v>0.0564419858789649</v>
      </c>
      <c r="J222" s="8" t="n">
        <f aca="true">NORMINV(RAND(),Assumptions!$B$14,Assumptions!$B$15)</f>
        <v>0.0704125154292388</v>
      </c>
      <c r="K222" s="8" t="n">
        <f aca="true">NORMINV(RAND(),Assumptions!$B$14,Assumptions!$B$15)</f>
        <v>0.0806367900946723</v>
      </c>
      <c r="L222" s="8" t="n">
        <f aca="true">NORMINV(RAND(),Assumptions!$B$14,Assumptions!$B$15)</f>
        <v>0.0159759098295594</v>
      </c>
      <c r="M222" s="6" t="n">
        <f aca="false">B222-Assumptions!$B$29</f>
        <v>391263.996662504</v>
      </c>
      <c r="N222" s="6" t="n">
        <f aca="false">W222-Assumptions!$B$29</f>
        <v>363002.469107642</v>
      </c>
      <c r="O222" s="6" t="n">
        <f aca="false">X222-Assumptions!$B$29</f>
        <v>323418.296721165</v>
      </c>
      <c r="P222" s="6" t="n">
        <f aca="false">Y222-Assumptions!$B$29</f>
        <v>290086.330800245</v>
      </c>
      <c r="Q222" s="6" t="n">
        <f aca="false">Z222-Assumptions!$B$29</f>
        <v>268682.240818131</v>
      </c>
      <c r="R222" s="6" t="n">
        <f aca="false">AA222-Assumptions!$B$29</f>
        <v>225823.758940934</v>
      </c>
      <c r="S222" s="6" t="n">
        <f aca="false">AB222-Assumptions!$B$29</f>
        <v>184108.382206019</v>
      </c>
      <c r="T222" s="6" t="n">
        <f aca="false">AC222-Assumptions!$B$29</f>
        <v>144499.82491469</v>
      </c>
      <c r="U222" s="6" t="n">
        <f aca="false">AD222-Assumptions!$B$29</f>
        <v>104674.421066018</v>
      </c>
      <c r="V222" s="6" t="n">
        <f aca="false">AE222-Assumptions!$B$29</f>
        <v>63115.0303858</v>
      </c>
      <c r="W222" s="6" t="n">
        <f aca="false">M222*(1+C222)</f>
        <v>413002.469107642</v>
      </c>
      <c r="X222" s="6" t="n">
        <f aca="false">N222*(1+D222)</f>
        <v>373418.296721165</v>
      </c>
      <c r="Y222" s="6" t="n">
        <f aca="false">O222*(1+E222)</f>
        <v>340086.330800245</v>
      </c>
      <c r="Z222" s="6" t="n">
        <f aca="false">P222*(1+F222)</f>
        <v>318682.240818131</v>
      </c>
      <c r="AA222" s="6" t="n">
        <f aca="false">Q222*(1+G222)</f>
        <v>275823.758940934</v>
      </c>
      <c r="AB222" s="6" t="n">
        <f aca="false">R222*(1+H222)</f>
        <v>234108.382206019</v>
      </c>
      <c r="AC222" s="6" t="n">
        <f aca="false">S222*(1+I222)</f>
        <v>194499.82491469</v>
      </c>
      <c r="AD222" s="6" t="n">
        <f aca="false">T222*(1+J222)</f>
        <v>154674.421066018</v>
      </c>
      <c r="AE222" s="6" t="n">
        <f aca="false">U222*(1+K222)</f>
        <v>113115.0303858</v>
      </c>
      <c r="AF222" s="6" t="n">
        <f aca="false">V222*(1+L222)</f>
        <v>64123.3504201334</v>
      </c>
      <c r="AG222" s="6" t="n">
        <f aca="false">MIN(M222:V222)</f>
        <v>63115.0303858</v>
      </c>
      <c r="AH222" s="19" t="n">
        <f aca="false">IF(AG222&gt;=0,1,0)</f>
        <v>1</v>
      </c>
    </row>
    <row r="223" customFormat="false" ht="15" hidden="false" customHeight="false" outlineLevel="0" collapsed="false">
      <c r="A223" s="0" t="n">
        <f aca="false">ROW()-1</f>
        <v>222</v>
      </c>
      <c r="B223" s="6" t="n">
        <f aca="false">Assumptions!$B$35</f>
        <v>441263.996662504</v>
      </c>
      <c r="C223" s="8" t="n">
        <f aca="true">NORMINV(RAND(),Assumptions!$B$14,Assumptions!$B$15)</f>
        <v>0.0533916439282282</v>
      </c>
      <c r="D223" s="8" t="n">
        <f aca="true">NORMINV(RAND(),Assumptions!$B$14,Assumptions!$B$15)</f>
        <v>0.048282364407685</v>
      </c>
      <c r="E223" s="8" t="n">
        <f aca="true">NORMINV(RAND(),Assumptions!$B$14,Assumptions!$B$15)</f>
        <v>-0.0118002710393077</v>
      </c>
      <c r="F223" s="8" t="n">
        <f aca="true">NORMINV(RAND(),Assumptions!$B$14,Assumptions!$B$15)</f>
        <v>0.0516710353507238</v>
      </c>
      <c r="G223" s="8" t="n">
        <f aca="true">NORMINV(RAND(),Assumptions!$B$14,Assumptions!$B$15)</f>
        <v>0.0473886977118911</v>
      </c>
      <c r="H223" s="8" t="n">
        <f aca="true">NORMINV(RAND(),Assumptions!$B$14,Assumptions!$B$15)</f>
        <v>0.0972612019627027</v>
      </c>
      <c r="I223" s="8" t="n">
        <f aca="true">NORMINV(RAND(),Assumptions!$B$14,Assumptions!$B$15)</f>
        <v>0.00571405395144887</v>
      </c>
      <c r="J223" s="8" t="n">
        <f aca="true">NORMINV(RAND(),Assumptions!$B$14,Assumptions!$B$15)</f>
        <v>0.0802224130830719</v>
      </c>
      <c r="K223" s="8" t="n">
        <f aca="true">NORMINV(RAND(),Assumptions!$B$14,Assumptions!$B$15)</f>
        <v>0.0337108322198087</v>
      </c>
      <c r="L223" s="8" t="n">
        <f aca="true">NORMINV(RAND(),Assumptions!$B$14,Assumptions!$B$15)</f>
        <v>0.0395947806653518</v>
      </c>
      <c r="M223" s="6" t="n">
        <f aca="false">B223-Assumptions!$B$29</f>
        <v>391263.996662504</v>
      </c>
      <c r="N223" s="6" t="n">
        <f aca="false">W223-Assumptions!$B$29</f>
        <v>362154.224654243</v>
      </c>
      <c r="O223" s="6" t="n">
        <f aca="false">X223-Assumptions!$B$29</f>
        <v>329639.886900782</v>
      </c>
      <c r="P223" s="6" t="n">
        <f aca="false">Y223-Assumptions!$B$29</f>
        <v>275750.046889986</v>
      </c>
      <c r="Q223" s="6" t="n">
        <f aca="false">Z223-Assumptions!$B$29</f>
        <v>239998.337310802</v>
      </c>
      <c r="R223" s="6" t="n">
        <f aca="false">AA223-Assumptions!$B$29</f>
        <v>201371.545968981</v>
      </c>
      <c r="S223" s="6" t="n">
        <f aca="false">AB223-Assumptions!$B$29</f>
        <v>170957.184571011</v>
      </c>
      <c r="T223" s="6" t="n">
        <f aca="false">AC223-Assumptions!$B$29</f>
        <v>121934.043147038</v>
      </c>
      <c r="U223" s="6" t="n">
        <f aca="false">AD223-Assumptions!$B$29</f>
        <v>81715.8863252686</v>
      </c>
      <c r="V223" s="6" t="n">
        <f aca="false">AE223-Assumptions!$B$29</f>
        <v>34470.5968588727</v>
      </c>
      <c r="W223" s="6" t="n">
        <f aca="false">M223*(1+C223)</f>
        <v>412154.224654243</v>
      </c>
      <c r="X223" s="6" t="n">
        <f aca="false">N223*(1+D223)</f>
        <v>379639.886900782</v>
      </c>
      <c r="Y223" s="6" t="n">
        <f aca="false">O223*(1+E223)</f>
        <v>325750.046889986</v>
      </c>
      <c r="Z223" s="6" t="n">
        <f aca="false">P223*(1+F223)</f>
        <v>289998.337310803</v>
      </c>
      <c r="AA223" s="6" t="n">
        <f aca="false">Q223*(1+G223)</f>
        <v>251371.545968981</v>
      </c>
      <c r="AB223" s="6" t="n">
        <f aca="false">R223*(1+H223)</f>
        <v>220957.184571011</v>
      </c>
      <c r="AC223" s="6" t="n">
        <f aca="false">S223*(1+I223)</f>
        <v>171934.043147038</v>
      </c>
      <c r="AD223" s="6" t="n">
        <f aca="false">T223*(1+J223)</f>
        <v>131715.886325269</v>
      </c>
      <c r="AE223" s="6" t="n">
        <f aca="false">U223*(1+K223)</f>
        <v>84470.5968588727</v>
      </c>
      <c r="AF223" s="6" t="n">
        <f aca="false">V223*(1+L223)</f>
        <v>35835.4525809036</v>
      </c>
      <c r="AG223" s="6" t="n">
        <f aca="false">MIN(M223:V223)</f>
        <v>34470.5968588727</v>
      </c>
      <c r="AH223" s="19" t="n">
        <f aca="false">IF(AG223&gt;=0,1,0)</f>
        <v>1</v>
      </c>
    </row>
    <row r="224" customFormat="false" ht="15" hidden="false" customHeight="false" outlineLevel="0" collapsed="false">
      <c r="A224" s="0" t="n">
        <f aca="false">ROW()-1</f>
        <v>223</v>
      </c>
      <c r="B224" s="6" t="n">
        <f aca="false">Assumptions!$B$35</f>
        <v>441263.996662504</v>
      </c>
      <c r="C224" s="8" t="n">
        <f aca="true">NORMINV(RAND(),Assumptions!$B$14,Assumptions!$B$15)</f>
        <v>0.0336665222394125</v>
      </c>
      <c r="D224" s="8" t="n">
        <f aca="true">NORMINV(RAND(),Assumptions!$B$14,Assumptions!$B$15)</f>
        <v>0.0164432070555127</v>
      </c>
      <c r="E224" s="8" t="n">
        <f aca="true">NORMINV(RAND(),Assumptions!$B$14,Assumptions!$B$15)</f>
        <v>0.06755456970398</v>
      </c>
      <c r="F224" s="8" t="n">
        <f aca="true">NORMINV(RAND(),Assumptions!$B$14,Assumptions!$B$15)</f>
        <v>0.0817131421434234</v>
      </c>
      <c r="G224" s="8" t="n">
        <f aca="true">NORMINV(RAND(),Assumptions!$B$14,Assumptions!$B$15)</f>
        <v>0.0188637525516241</v>
      </c>
      <c r="H224" s="8" t="n">
        <f aca="true">NORMINV(RAND(),Assumptions!$B$14,Assumptions!$B$15)</f>
        <v>0.0887501792184315</v>
      </c>
      <c r="I224" s="8" t="n">
        <f aca="true">NORMINV(RAND(),Assumptions!$B$14,Assumptions!$B$15)</f>
        <v>0.0503556617628606</v>
      </c>
      <c r="J224" s="8" t="n">
        <f aca="true">NORMINV(RAND(),Assumptions!$B$14,Assumptions!$B$15)</f>
        <v>0.0709368397858082</v>
      </c>
      <c r="K224" s="8" t="n">
        <f aca="true">NORMINV(RAND(),Assumptions!$B$14,Assumptions!$B$15)</f>
        <v>0.0784728626224923</v>
      </c>
      <c r="L224" s="8" t="n">
        <f aca="true">NORMINV(RAND(),Assumptions!$B$14,Assumptions!$B$15)</f>
        <v>0.0378580909465305</v>
      </c>
      <c r="M224" s="6" t="n">
        <f aca="false">B224-Assumptions!$B$29</f>
        <v>391263.996662504</v>
      </c>
      <c r="N224" s="6" t="n">
        <f aca="false">W224-Assumptions!$B$29</f>
        <v>354436.494707623</v>
      </c>
      <c r="O224" s="6" t="n">
        <f aca="false">X224-Assumptions!$B$29</f>
        <v>310264.567378131</v>
      </c>
      <c r="P224" s="6" t="n">
        <f aca="false">Y224-Assumptions!$B$29</f>
        <v>281224.356721752</v>
      </c>
      <c r="Q224" s="6" t="n">
        <f aca="false">Z224-Assumptions!$B$29</f>
        <v>254204.082556749</v>
      </c>
      <c r="R224" s="6" t="n">
        <f aca="false">AA224-Assumptions!$B$29</f>
        <v>208999.325467712</v>
      </c>
      <c r="S224" s="6" t="n">
        <f aca="false">AB224-Assumptions!$B$29</f>
        <v>177548.053059503</v>
      </c>
      <c r="T224" s="6" t="n">
        <f aca="false">AC224-Assumptions!$B$29</f>
        <v>136488.602766022</v>
      </c>
      <c r="U224" s="6" t="n">
        <f aca="false">AD224-Assumptions!$B$29</f>
        <v>96170.6729130239</v>
      </c>
      <c r="V224" s="6" t="n">
        <f aca="false">AE224-Assumptions!$B$29</f>
        <v>53717.4609168402</v>
      </c>
      <c r="W224" s="6" t="n">
        <f aca="false">M224*(1+C224)</f>
        <v>404436.494707623</v>
      </c>
      <c r="X224" s="6" t="n">
        <f aca="false">N224*(1+D224)</f>
        <v>360264.567378131</v>
      </c>
      <c r="Y224" s="6" t="n">
        <f aca="false">O224*(1+E224)</f>
        <v>331224.356721752</v>
      </c>
      <c r="Z224" s="6" t="n">
        <f aca="false">P224*(1+F224)</f>
        <v>304204.082556749</v>
      </c>
      <c r="AA224" s="6" t="n">
        <f aca="false">Q224*(1+G224)</f>
        <v>258999.325467712</v>
      </c>
      <c r="AB224" s="6" t="n">
        <f aca="false">R224*(1+H224)</f>
        <v>227548.053059503</v>
      </c>
      <c r="AC224" s="6" t="n">
        <f aca="false">S224*(1+I224)</f>
        <v>186488.602766022</v>
      </c>
      <c r="AD224" s="6" t="n">
        <f aca="false">T224*(1+J224)</f>
        <v>146170.672913024</v>
      </c>
      <c r="AE224" s="6" t="n">
        <f aca="false">U224*(1+K224)</f>
        <v>103717.46091684</v>
      </c>
      <c r="AF224" s="6" t="n">
        <f aca="false">V224*(1+L224)</f>
        <v>55751.1014376467</v>
      </c>
      <c r="AG224" s="6" t="n">
        <f aca="false">MIN(M224:V224)</f>
        <v>53717.4609168402</v>
      </c>
      <c r="AH224" s="19" t="n">
        <f aca="false">IF(AG224&gt;=0,1,0)</f>
        <v>1</v>
      </c>
    </row>
    <row r="225" customFormat="false" ht="15" hidden="false" customHeight="false" outlineLevel="0" collapsed="false">
      <c r="A225" s="0" t="n">
        <f aca="false">ROW()-1</f>
        <v>224</v>
      </c>
      <c r="B225" s="6" t="n">
        <f aca="false">Assumptions!$B$35</f>
        <v>441263.996662504</v>
      </c>
      <c r="C225" s="8" t="n">
        <f aca="true">NORMINV(RAND(),Assumptions!$B$14,Assumptions!$B$15)</f>
        <v>0.04240659572738</v>
      </c>
      <c r="D225" s="8" t="n">
        <f aca="true">NORMINV(RAND(),Assumptions!$B$14,Assumptions!$B$15)</f>
        <v>0.0872428613120698</v>
      </c>
      <c r="E225" s="8" t="n">
        <f aca="true">NORMINV(RAND(),Assumptions!$B$14,Assumptions!$B$15)</f>
        <v>0.0261012654250139</v>
      </c>
      <c r="F225" s="8" t="n">
        <f aca="true">NORMINV(RAND(),Assumptions!$B$14,Assumptions!$B$15)</f>
        <v>0.0438822746898004</v>
      </c>
      <c r="G225" s="8" t="n">
        <f aca="true">NORMINV(RAND(),Assumptions!$B$14,Assumptions!$B$15)</f>
        <v>0.0347345664100561</v>
      </c>
      <c r="H225" s="8" t="n">
        <f aca="true">NORMINV(RAND(),Assumptions!$B$14,Assumptions!$B$15)</f>
        <v>0.0286615558233471</v>
      </c>
      <c r="I225" s="8" t="n">
        <f aca="true">NORMINV(RAND(),Assumptions!$B$14,Assumptions!$B$15)</f>
        <v>0.0323571803134591</v>
      </c>
      <c r="J225" s="8" t="n">
        <f aca="true">NORMINV(RAND(),Assumptions!$B$14,Assumptions!$B$15)</f>
        <v>0.0414276699752043</v>
      </c>
      <c r="K225" s="8" t="n">
        <f aca="true">NORMINV(RAND(),Assumptions!$B$14,Assumptions!$B$15)</f>
        <v>0.0397777406731949</v>
      </c>
      <c r="L225" s="8" t="n">
        <f aca="true">NORMINV(RAND(),Assumptions!$B$14,Assumptions!$B$15)</f>
        <v>-0.00193860147032256</v>
      </c>
      <c r="M225" s="6" t="n">
        <f aca="false">B225-Assumptions!$B$29</f>
        <v>391263.996662504</v>
      </c>
      <c r="N225" s="6" t="n">
        <f aca="false">W225-Assumptions!$B$29</f>
        <v>357856.170791649</v>
      </c>
      <c r="O225" s="6" t="n">
        <f aca="false">X225-Assumptions!$B$29</f>
        <v>339076.567069693</v>
      </c>
      <c r="P225" s="6" t="n">
        <f aca="false">Y225-Assumptions!$B$29</f>
        <v>297926.894546182</v>
      </c>
      <c r="Q225" s="6" t="n">
        <f aca="false">Z225-Assumptions!$B$29</f>
        <v>261000.604370137</v>
      </c>
      <c r="R225" s="6" t="n">
        <f aca="false">AA225-Assumptions!$B$29</f>
        <v>220066.347195696</v>
      </c>
      <c r="S225" s="6" t="n">
        <f aca="false">AB225-Assumptions!$B$29</f>
        <v>176373.791090686</v>
      </c>
      <c r="T225" s="6" t="n">
        <f aca="false">AC225-Assumptions!$B$29</f>
        <v>132080.749651575</v>
      </c>
      <c r="U225" s="6" t="n">
        <f aca="false">AD225-Assumptions!$B$29</f>
        <v>87552.5473582184</v>
      </c>
      <c r="V225" s="6" t="n">
        <f aca="false">AE225-Assumptions!$B$29</f>
        <v>41035.1898823112</v>
      </c>
      <c r="W225" s="6" t="n">
        <f aca="false">M225*(1+C225)</f>
        <v>407856.170791649</v>
      </c>
      <c r="X225" s="6" t="n">
        <f aca="false">N225*(1+D225)</f>
        <v>389076.567069693</v>
      </c>
      <c r="Y225" s="6" t="n">
        <f aca="false">O225*(1+E225)</f>
        <v>347926.894546182</v>
      </c>
      <c r="Z225" s="6" t="n">
        <f aca="false">P225*(1+F225)</f>
        <v>311000.604370137</v>
      </c>
      <c r="AA225" s="6" t="n">
        <f aca="false">Q225*(1+G225)</f>
        <v>270066.347195696</v>
      </c>
      <c r="AB225" s="6" t="n">
        <f aca="false">R225*(1+H225)</f>
        <v>226373.791090686</v>
      </c>
      <c r="AC225" s="6" t="n">
        <f aca="false">S225*(1+I225)</f>
        <v>182080.749651575</v>
      </c>
      <c r="AD225" s="6" t="n">
        <f aca="false">T225*(1+J225)</f>
        <v>137552.547358218</v>
      </c>
      <c r="AE225" s="6" t="n">
        <f aca="false">U225*(1+K225)</f>
        <v>91035.1898823112</v>
      </c>
      <c r="AF225" s="6" t="n">
        <f aca="false">V225*(1+L225)</f>
        <v>40955.6390028704</v>
      </c>
      <c r="AG225" s="6" t="n">
        <f aca="false">MIN(M225:V225)</f>
        <v>41035.1898823112</v>
      </c>
      <c r="AH225" s="19" t="n">
        <f aca="false">IF(AG225&gt;=0,1,0)</f>
        <v>1</v>
      </c>
    </row>
    <row r="226" customFormat="false" ht="15" hidden="false" customHeight="false" outlineLevel="0" collapsed="false">
      <c r="A226" s="0" t="n">
        <f aca="false">ROW()-1</f>
        <v>225</v>
      </c>
      <c r="B226" s="6" t="n">
        <f aca="false">Assumptions!$B$35</f>
        <v>441263.996662504</v>
      </c>
      <c r="C226" s="8" t="n">
        <f aca="true">NORMINV(RAND(),Assumptions!$B$14,Assumptions!$B$15)</f>
        <v>0.0111614705361204</v>
      </c>
      <c r="D226" s="8" t="n">
        <f aca="true">NORMINV(RAND(),Assumptions!$B$14,Assumptions!$B$15)</f>
        <v>-0.0024433081155091</v>
      </c>
      <c r="E226" s="8" t="n">
        <f aca="true">NORMINV(RAND(),Assumptions!$B$14,Assumptions!$B$15)</f>
        <v>0.0424237515081077</v>
      </c>
      <c r="F226" s="8" t="n">
        <f aca="true">NORMINV(RAND(),Assumptions!$B$14,Assumptions!$B$15)</f>
        <v>0.067008290640284</v>
      </c>
      <c r="G226" s="8" t="n">
        <f aca="true">NORMINV(RAND(),Assumptions!$B$14,Assumptions!$B$15)</f>
        <v>0.0457374855608518</v>
      </c>
      <c r="H226" s="8" t="n">
        <f aca="true">NORMINV(RAND(),Assumptions!$B$14,Assumptions!$B$15)</f>
        <v>0.0836426537565913</v>
      </c>
      <c r="I226" s="8" t="n">
        <f aca="true">NORMINV(RAND(),Assumptions!$B$14,Assumptions!$B$15)</f>
        <v>0.00278084892654966</v>
      </c>
      <c r="J226" s="8" t="n">
        <f aca="true">NORMINV(RAND(),Assumptions!$B$14,Assumptions!$B$15)</f>
        <v>0.0941175601507223</v>
      </c>
      <c r="K226" s="8" t="n">
        <f aca="true">NORMINV(RAND(),Assumptions!$B$14,Assumptions!$B$15)</f>
        <v>0.057897274681953</v>
      </c>
      <c r="L226" s="8" t="n">
        <f aca="true">NORMINV(RAND(),Assumptions!$B$14,Assumptions!$B$15)</f>
        <v>0.0568668431953294</v>
      </c>
      <c r="M226" s="6" t="n">
        <f aca="false">B226-Assumptions!$B$29</f>
        <v>391263.996662504</v>
      </c>
      <c r="N226" s="6" t="n">
        <f aca="false">W226-Assumptions!$B$29</f>
        <v>345631.078233097</v>
      </c>
      <c r="O226" s="6" t="n">
        <f aca="false">X226-Assumptions!$B$29</f>
        <v>294786.595014678</v>
      </c>
      <c r="P226" s="6" t="n">
        <f aca="false">Y226-Assumptions!$B$29</f>
        <v>257292.548269502</v>
      </c>
      <c r="Q226" s="6" t="n">
        <f aca="false">Z226-Assumptions!$B$29</f>
        <v>224533.282123524</v>
      </c>
      <c r="R226" s="6" t="n">
        <f aca="false">AA226-Assumptions!$B$29</f>
        <v>184802.869872579</v>
      </c>
      <c r="S226" s="6" t="n">
        <f aca="false">AB226-Assumptions!$B$29</f>
        <v>150260.272330556</v>
      </c>
      <c r="T226" s="6" t="n">
        <f aca="false">AC226-Assumptions!$B$29</f>
        <v>100678.123447569</v>
      </c>
      <c r="U226" s="6" t="n">
        <f aca="false">AD226-Assumptions!$B$29</f>
        <v>60153.7027870074</v>
      </c>
      <c r="V226" s="6" t="n">
        <f aca="false">AE226-Assumptions!$B$29</f>
        <v>13636.4382404033</v>
      </c>
      <c r="W226" s="6" t="n">
        <f aca="false">M226*(1+C226)</f>
        <v>395631.078233097</v>
      </c>
      <c r="X226" s="6" t="n">
        <f aca="false">N226*(1+D226)</f>
        <v>344786.595014678</v>
      </c>
      <c r="Y226" s="6" t="n">
        <f aca="false">O226*(1+E226)</f>
        <v>307292.548269502</v>
      </c>
      <c r="Z226" s="6" t="n">
        <f aca="false">P226*(1+F226)</f>
        <v>274533.282123524</v>
      </c>
      <c r="AA226" s="6" t="n">
        <f aca="false">Q226*(1+G226)</f>
        <v>234802.869872579</v>
      </c>
      <c r="AB226" s="6" t="n">
        <f aca="false">R226*(1+H226)</f>
        <v>200260.272330556</v>
      </c>
      <c r="AC226" s="6" t="n">
        <f aca="false">S226*(1+I226)</f>
        <v>150678.123447569</v>
      </c>
      <c r="AD226" s="6" t="n">
        <f aca="false">T226*(1+J226)</f>
        <v>110153.702787007</v>
      </c>
      <c r="AE226" s="6" t="n">
        <f aca="false">U226*(1+K226)</f>
        <v>63636.4382404033</v>
      </c>
      <c r="AF226" s="6" t="n">
        <f aca="false">V226*(1+L226)</f>
        <v>14411.8994355632</v>
      </c>
      <c r="AG226" s="6" t="n">
        <f aca="false">MIN(M226:V226)</f>
        <v>13636.4382404033</v>
      </c>
      <c r="AH226" s="19" t="n">
        <f aca="false">IF(AG226&gt;=0,1,0)</f>
        <v>1</v>
      </c>
    </row>
    <row r="227" customFormat="false" ht="15" hidden="false" customHeight="false" outlineLevel="0" collapsed="false">
      <c r="A227" s="0" t="n">
        <f aca="false">ROW()-1</f>
        <v>226</v>
      </c>
      <c r="B227" s="6" t="n">
        <f aca="false">Assumptions!$B$35</f>
        <v>441263.996662504</v>
      </c>
      <c r="C227" s="8" t="n">
        <f aca="true">NORMINV(RAND(),Assumptions!$B$14,Assumptions!$B$15)</f>
        <v>0.0670727387503307</v>
      </c>
      <c r="D227" s="8" t="n">
        <f aca="true">NORMINV(RAND(),Assumptions!$B$14,Assumptions!$B$15)</f>
        <v>0.0951725709497416</v>
      </c>
      <c r="E227" s="8" t="n">
        <f aca="true">NORMINV(RAND(),Assumptions!$B$14,Assumptions!$B$15)</f>
        <v>0.128546271716744</v>
      </c>
      <c r="F227" s="8" t="n">
        <f aca="true">NORMINV(RAND(),Assumptions!$B$14,Assumptions!$B$15)</f>
        <v>0.052449503126003</v>
      </c>
      <c r="G227" s="8" t="n">
        <f aca="true">NORMINV(RAND(),Assumptions!$B$14,Assumptions!$B$15)</f>
        <v>0.0587207333420899</v>
      </c>
      <c r="H227" s="8" t="n">
        <f aca="true">NORMINV(RAND(),Assumptions!$B$14,Assumptions!$B$15)</f>
        <v>0.0645303600229627</v>
      </c>
      <c r="I227" s="8" t="n">
        <f aca="true">NORMINV(RAND(),Assumptions!$B$14,Assumptions!$B$15)</f>
        <v>0.0343753242053799</v>
      </c>
      <c r="J227" s="8" t="n">
        <f aca="true">NORMINV(RAND(),Assumptions!$B$14,Assumptions!$B$15)</f>
        <v>0.0453153065652588</v>
      </c>
      <c r="K227" s="8" t="n">
        <f aca="true">NORMINV(RAND(),Assumptions!$B$14,Assumptions!$B$15)</f>
        <v>0.0294261076079447</v>
      </c>
      <c r="L227" s="8" t="n">
        <f aca="true">NORMINV(RAND(),Assumptions!$B$14,Assumptions!$B$15)</f>
        <v>0.0403574748637874</v>
      </c>
      <c r="M227" s="6" t="n">
        <f aca="false">B227-Assumptions!$B$29</f>
        <v>391263.996662504</v>
      </c>
      <c r="N227" s="6" t="n">
        <f aca="false">W227-Assumptions!$B$29</f>
        <v>367507.144493058</v>
      </c>
      <c r="O227" s="6" t="n">
        <f aca="false">X227-Assumptions!$B$29</f>
        <v>352483.74427686</v>
      </c>
      <c r="P227" s="6" t="n">
        <f aca="false">Y227-Assumptions!$B$29</f>
        <v>347794.215444409</v>
      </c>
      <c r="Q227" s="6" t="n">
        <f aca="false">Z227-Assumptions!$B$29</f>
        <v>316035.849234566</v>
      </c>
      <c r="R227" s="6" t="n">
        <f aca="false">AA227-Assumptions!$B$29</f>
        <v>284593.70606401</v>
      </c>
      <c r="S227" s="6" t="n">
        <f aca="false">AB227-Assumptions!$B$29</f>
        <v>252958.64037659</v>
      </c>
      <c r="T227" s="6" t="n">
        <f aca="false">AC227-Assumptions!$B$29</f>
        <v>211654.175650087</v>
      </c>
      <c r="U227" s="6" t="n">
        <f aca="false">AD227-Assumptions!$B$29</f>
        <v>171245.349505488</v>
      </c>
      <c r="V227" s="6" t="n">
        <f aca="false">AE227-Assumptions!$B$29</f>
        <v>126284.433587397</v>
      </c>
      <c r="W227" s="6" t="n">
        <f aca="false">M227*(1+C227)</f>
        <v>417507.144493058</v>
      </c>
      <c r="X227" s="6" t="n">
        <f aca="false">N227*(1+D227)</f>
        <v>402483.74427686</v>
      </c>
      <c r="Y227" s="6" t="n">
        <f aca="false">O227*(1+E227)</f>
        <v>397794.215444409</v>
      </c>
      <c r="Z227" s="6" t="n">
        <f aca="false">P227*(1+F227)</f>
        <v>366035.849234566</v>
      </c>
      <c r="AA227" s="6" t="n">
        <f aca="false">Q227*(1+G227)</f>
        <v>334593.70606401</v>
      </c>
      <c r="AB227" s="6" t="n">
        <f aca="false">R227*(1+H227)</f>
        <v>302958.64037659</v>
      </c>
      <c r="AC227" s="6" t="n">
        <f aca="false">S227*(1+I227)</f>
        <v>261654.175650087</v>
      </c>
      <c r="AD227" s="6" t="n">
        <f aca="false">T227*(1+J227)</f>
        <v>221245.349505488</v>
      </c>
      <c r="AE227" s="6" t="n">
        <f aca="false">U227*(1+K227)</f>
        <v>176284.433587397</v>
      </c>
      <c r="AF227" s="6" t="n">
        <f aca="false">V227*(1+L227)</f>
        <v>131380.954441588</v>
      </c>
      <c r="AG227" s="6" t="n">
        <f aca="false">MIN(M227:V227)</f>
        <v>126284.433587397</v>
      </c>
      <c r="AH227" s="19" t="n">
        <f aca="false">IF(AG227&gt;=0,1,0)</f>
        <v>1</v>
      </c>
    </row>
    <row r="228" customFormat="false" ht="15" hidden="false" customHeight="false" outlineLevel="0" collapsed="false">
      <c r="A228" s="0" t="n">
        <f aca="false">ROW()-1</f>
        <v>227</v>
      </c>
      <c r="B228" s="6" t="n">
        <f aca="false">Assumptions!$B$35</f>
        <v>441263.996662504</v>
      </c>
      <c r="C228" s="8" t="n">
        <f aca="true">NORMINV(RAND(),Assumptions!$B$14,Assumptions!$B$15)</f>
        <v>0.0212108259705313</v>
      </c>
      <c r="D228" s="8" t="n">
        <f aca="true">NORMINV(RAND(),Assumptions!$B$14,Assumptions!$B$15)</f>
        <v>0.00681749342728206</v>
      </c>
      <c r="E228" s="8" t="n">
        <f aca="true">NORMINV(RAND(),Assumptions!$B$14,Assumptions!$B$15)</f>
        <v>0.0588219664340654</v>
      </c>
      <c r="F228" s="8" t="n">
        <f aca="true">NORMINV(RAND(),Assumptions!$B$14,Assumptions!$B$15)</f>
        <v>-0.0233674680443245</v>
      </c>
      <c r="G228" s="8" t="n">
        <f aca="true">NORMINV(RAND(),Assumptions!$B$14,Assumptions!$B$15)</f>
        <v>0.0344785010940843</v>
      </c>
      <c r="H228" s="8" t="n">
        <f aca="true">NORMINV(RAND(),Assumptions!$B$14,Assumptions!$B$15)</f>
        <v>0.12298670089025</v>
      </c>
      <c r="I228" s="8" t="n">
        <f aca="true">NORMINV(RAND(),Assumptions!$B$14,Assumptions!$B$15)</f>
        <v>0.0439305191268748</v>
      </c>
      <c r="J228" s="8" t="n">
        <f aca="true">NORMINV(RAND(),Assumptions!$B$14,Assumptions!$B$15)</f>
        <v>0.0423185586845277</v>
      </c>
      <c r="K228" s="8" t="n">
        <f aca="true">NORMINV(RAND(),Assumptions!$B$14,Assumptions!$B$15)</f>
        <v>0.064026543513427</v>
      </c>
      <c r="L228" s="8" t="n">
        <f aca="true">NORMINV(RAND(),Assumptions!$B$14,Assumptions!$B$15)</f>
        <v>0.0299176722119572</v>
      </c>
      <c r="M228" s="6" t="n">
        <f aca="false">B228-Assumptions!$B$29</f>
        <v>391263.996662504</v>
      </c>
      <c r="N228" s="6" t="n">
        <f aca="false">W228-Assumptions!$B$29</f>
        <v>349563.029204246</v>
      </c>
      <c r="O228" s="6" t="n">
        <f aca="false">X228-Assumptions!$B$29</f>
        <v>301946.172858267</v>
      </c>
      <c r="P228" s="6" t="n">
        <f aca="false">Y228-Assumptions!$B$29</f>
        <v>269707.240503031</v>
      </c>
      <c r="Q228" s="6" t="n">
        <f aca="false">Z228-Assumptions!$B$29</f>
        <v>213404.865179253</v>
      </c>
      <c r="R228" s="6" t="n">
        <f aca="false">AA228-Assumptions!$B$29</f>
        <v>170762.745056819</v>
      </c>
      <c r="S228" s="6" t="n">
        <f aca="false">AB228-Assumptions!$B$29</f>
        <v>141764.29170632</v>
      </c>
      <c r="T228" s="6" t="n">
        <f aca="false">AC228-Assumptions!$B$29</f>
        <v>97992.0706346322</v>
      </c>
      <c r="U228" s="6" t="n">
        <f aca="false">AD228-Assumptions!$B$29</f>
        <v>52138.9538264023</v>
      </c>
      <c r="V228" s="6" t="n">
        <f aca="false">AE228-Assumptions!$B$29</f>
        <v>5477.23082231299</v>
      </c>
      <c r="W228" s="6" t="n">
        <f aca="false">M228*(1+C228)</f>
        <v>399563.029204246</v>
      </c>
      <c r="X228" s="6" t="n">
        <f aca="false">N228*(1+D228)</f>
        <v>351946.172858267</v>
      </c>
      <c r="Y228" s="6" t="n">
        <f aca="false">O228*(1+E228)</f>
        <v>319707.240503031</v>
      </c>
      <c r="Z228" s="6" t="n">
        <f aca="false">P228*(1+F228)</f>
        <v>263404.865179253</v>
      </c>
      <c r="AA228" s="6" t="n">
        <f aca="false">Q228*(1+G228)</f>
        <v>220762.745056819</v>
      </c>
      <c r="AB228" s="6" t="n">
        <f aca="false">R228*(1+H228)</f>
        <v>191764.29170632</v>
      </c>
      <c r="AC228" s="6" t="n">
        <f aca="false">S228*(1+I228)</f>
        <v>147992.070634632</v>
      </c>
      <c r="AD228" s="6" t="n">
        <f aca="false">T228*(1+J228)</f>
        <v>102138.953826402</v>
      </c>
      <c r="AE228" s="6" t="n">
        <f aca="false">U228*(1+K228)</f>
        <v>55477.230822313</v>
      </c>
      <c r="AF228" s="6" t="n">
        <f aca="false">V228*(1+L228)</f>
        <v>5641.09681868418</v>
      </c>
      <c r="AG228" s="6" t="n">
        <f aca="false">MIN(M228:V228)</f>
        <v>5477.23082231299</v>
      </c>
      <c r="AH228" s="19" t="n">
        <f aca="false">IF(AG228&gt;=0,1,0)</f>
        <v>1</v>
      </c>
    </row>
    <row r="229" customFormat="false" ht="15" hidden="false" customHeight="false" outlineLevel="0" collapsed="false">
      <c r="A229" s="0" t="n">
        <f aca="false">ROW()-1</f>
        <v>228</v>
      </c>
      <c r="B229" s="6" t="n">
        <f aca="false">Assumptions!$B$35</f>
        <v>441263.996662504</v>
      </c>
      <c r="C229" s="8" t="n">
        <f aca="true">NORMINV(RAND(),Assumptions!$B$14,Assumptions!$B$15)</f>
        <v>0.0419411830446669</v>
      </c>
      <c r="D229" s="8" t="n">
        <f aca="true">NORMINV(RAND(),Assumptions!$B$14,Assumptions!$B$15)</f>
        <v>-0.007059466066645</v>
      </c>
      <c r="E229" s="8" t="n">
        <f aca="true">NORMINV(RAND(),Assumptions!$B$14,Assumptions!$B$15)</f>
        <v>0.0646147729316918</v>
      </c>
      <c r="F229" s="8" t="n">
        <f aca="true">NORMINV(RAND(),Assumptions!$B$14,Assumptions!$B$15)</f>
        <v>0.0382877669907275</v>
      </c>
      <c r="G229" s="8" t="n">
        <f aca="true">NORMINV(RAND(),Assumptions!$B$14,Assumptions!$B$15)</f>
        <v>0.0689162942928847</v>
      </c>
      <c r="H229" s="8" t="n">
        <f aca="true">NORMINV(RAND(),Assumptions!$B$14,Assumptions!$B$15)</f>
        <v>0.0568462809821393</v>
      </c>
      <c r="I229" s="8" t="n">
        <f aca="true">NORMINV(RAND(),Assumptions!$B$14,Assumptions!$B$15)</f>
        <v>0.0437577332461934</v>
      </c>
      <c r="J229" s="8" t="n">
        <f aca="true">NORMINV(RAND(),Assumptions!$B$14,Assumptions!$B$15)</f>
        <v>0.0338460223278811</v>
      </c>
      <c r="K229" s="8" t="n">
        <f aca="true">NORMINV(RAND(),Assumptions!$B$14,Assumptions!$B$15)</f>
        <v>0.00723539796220427</v>
      </c>
      <c r="L229" s="8" t="n">
        <f aca="true">NORMINV(RAND(),Assumptions!$B$14,Assumptions!$B$15)</f>
        <v>0.0407253673322649</v>
      </c>
      <c r="M229" s="6" t="n">
        <f aca="false">B229-Assumptions!$B$29</f>
        <v>391263.996662504</v>
      </c>
      <c r="N229" s="6" t="n">
        <f aca="false">W229-Assumptions!$B$29</f>
        <v>357674.071565314</v>
      </c>
      <c r="O229" s="6" t="n">
        <f aca="false">X229-Assumptions!$B$29</f>
        <v>305149.08359418</v>
      </c>
      <c r="P229" s="6" t="n">
        <f aca="false">Y229-Assumptions!$B$29</f>
        <v>274866.222340931</v>
      </c>
      <c r="Q229" s="6" t="n">
        <f aca="false">Z229-Assumptions!$B$29</f>
        <v>235390.236215542</v>
      </c>
      <c r="R229" s="6" t="n">
        <f aca="false">AA229-Assumptions!$B$29</f>
        <v>201612.459008244</v>
      </c>
      <c r="S229" s="6" t="n">
        <f aca="false">AB229-Assumptions!$B$29</f>
        <v>163073.377502527</v>
      </c>
      <c r="T229" s="6" t="n">
        <f aca="false">AC229-Assumptions!$B$29</f>
        <v>120209.098854838</v>
      </c>
      <c r="U229" s="6" t="n">
        <f aca="false">AD229-Assumptions!$B$29</f>
        <v>74277.6986986936</v>
      </c>
      <c r="V229" s="6" t="n">
        <f aca="false">AE229-Assumptions!$B$29</f>
        <v>24815.1274084953</v>
      </c>
      <c r="W229" s="6" t="n">
        <f aca="false">M229*(1+C229)</f>
        <v>407674.071565314</v>
      </c>
      <c r="X229" s="6" t="n">
        <f aca="false">N229*(1+D229)</f>
        <v>355149.08359418</v>
      </c>
      <c r="Y229" s="6" t="n">
        <f aca="false">O229*(1+E229)</f>
        <v>324866.222340931</v>
      </c>
      <c r="Z229" s="6" t="n">
        <f aca="false">P229*(1+F229)</f>
        <v>285390.236215542</v>
      </c>
      <c r="AA229" s="6" t="n">
        <f aca="false">Q229*(1+G229)</f>
        <v>251612.459008244</v>
      </c>
      <c r="AB229" s="6" t="n">
        <f aca="false">R229*(1+H229)</f>
        <v>213073.377502527</v>
      </c>
      <c r="AC229" s="6" t="n">
        <f aca="false">S229*(1+I229)</f>
        <v>170209.098854838</v>
      </c>
      <c r="AD229" s="6" t="n">
        <f aca="false">T229*(1+J229)</f>
        <v>124277.698698694</v>
      </c>
      <c r="AE229" s="6" t="n">
        <f aca="false">U229*(1+K229)</f>
        <v>74815.1274084954</v>
      </c>
      <c r="AF229" s="6" t="n">
        <f aca="false">V229*(1+L229)</f>
        <v>25825.7325876033</v>
      </c>
      <c r="AG229" s="6" t="n">
        <f aca="false">MIN(M229:V229)</f>
        <v>24815.1274084953</v>
      </c>
      <c r="AH229" s="19" t="n">
        <f aca="false">IF(AG229&gt;=0,1,0)</f>
        <v>1</v>
      </c>
    </row>
    <row r="230" customFormat="false" ht="15" hidden="false" customHeight="false" outlineLevel="0" collapsed="false">
      <c r="A230" s="0" t="n">
        <f aca="false">ROW()-1</f>
        <v>229</v>
      </c>
      <c r="B230" s="6" t="n">
        <f aca="false">Assumptions!$B$35</f>
        <v>441263.996662504</v>
      </c>
      <c r="C230" s="8" t="n">
        <f aca="true">NORMINV(RAND(),Assumptions!$B$14,Assumptions!$B$15)</f>
        <v>0.0499577681785021</v>
      </c>
      <c r="D230" s="8" t="n">
        <f aca="true">NORMINV(RAND(),Assumptions!$B$14,Assumptions!$B$15)</f>
        <v>0.0437169226911723</v>
      </c>
      <c r="E230" s="8" t="n">
        <f aca="true">NORMINV(RAND(),Assumptions!$B$14,Assumptions!$B$15)</f>
        <v>0.0695741769704188</v>
      </c>
      <c r="F230" s="8" t="n">
        <f aca="true">NORMINV(RAND(),Assumptions!$B$14,Assumptions!$B$15)</f>
        <v>0.0484891476770317</v>
      </c>
      <c r="G230" s="8" t="n">
        <f aca="true">NORMINV(RAND(),Assumptions!$B$14,Assumptions!$B$15)</f>
        <v>0.0990375679301479</v>
      </c>
      <c r="H230" s="8" t="n">
        <f aca="true">NORMINV(RAND(),Assumptions!$B$14,Assumptions!$B$15)</f>
        <v>0.0652439591762826</v>
      </c>
      <c r="I230" s="8" t="n">
        <f aca="true">NORMINV(RAND(),Assumptions!$B$14,Assumptions!$B$15)</f>
        <v>0.0456303766678864</v>
      </c>
      <c r="J230" s="8" t="n">
        <f aca="true">NORMINV(RAND(),Assumptions!$B$14,Assumptions!$B$15)</f>
        <v>0.0767168019748379</v>
      </c>
      <c r="K230" s="8" t="n">
        <f aca="true">NORMINV(RAND(),Assumptions!$B$14,Assumptions!$B$15)</f>
        <v>0.0522028833528768</v>
      </c>
      <c r="L230" s="8" t="n">
        <f aca="true">NORMINV(RAND(),Assumptions!$B$14,Assumptions!$B$15)</f>
        <v>0.0454669948176223</v>
      </c>
      <c r="M230" s="6" t="n">
        <f aca="false">B230-Assumptions!$B$29</f>
        <v>391263.996662504</v>
      </c>
      <c r="N230" s="6" t="n">
        <f aca="false">W230-Assumptions!$B$29</f>
        <v>360810.672704363</v>
      </c>
      <c r="O230" s="6" t="n">
        <f aca="false">X230-Assumptions!$B$29</f>
        <v>326584.20498913</v>
      </c>
      <c r="P230" s="6" t="n">
        <f aca="false">Y230-Assumptions!$B$29</f>
        <v>299306.032262787</v>
      </c>
      <c r="Q230" s="6" t="n">
        <f aca="false">Z230-Assumptions!$B$29</f>
        <v>263819.126661803</v>
      </c>
      <c r="R230" s="6" t="n">
        <f aca="false">AA230-Assumptions!$B$29</f>
        <v>239947.131339844</v>
      </c>
      <c r="S230" s="6" t="n">
        <f aca="false">AB230-Assumptions!$B$29</f>
        <v>205602.232181447</v>
      </c>
      <c r="T230" s="6" t="n">
        <f aca="false">AC230-Assumptions!$B$29</f>
        <v>164983.939479645</v>
      </c>
      <c r="U230" s="6" t="n">
        <f aca="false">AD230-Assumptions!$B$29</f>
        <v>127640.979693733</v>
      </c>
      <c r="V230" s="6" t="n">
        <f aca="false">AE230-Assumptions!$B$29</f>
        <v>84304.206867732</v>
      </c>
      <c r="W230" s="6" t="n">
        <f aca="false">M230*(1+C230)</f>
        <v>410810.672704363</v>
      </c>
      <c r="X230" s="6" t="n">
        <f aca="false">N230*(1+D230)</f>
        <v>376584.20498913</v>
      </c>
      <c r="Y230" s="6" t="n">
        <f aca="false">O230*(1+E230)</f>
        <v>349306.032262787</v>
      </c>
      <c r="Z230" s="6" t="n">
        <f aca="false">P230*(1+F230)</f>
        <v>313819.126661803</v>
      </c>
      <c r="AA230" s="6" t="n">
        <f aca="false">Q230*(1+G230)</f>
        <v>289947.131339844</v>
      </c>
      <c r="AB230" s="6" t="n">
        <f aca="false">R230*(1+H230)</f>
        <v>255602.232181447</v>
      </c>
      <c r="AC230" s="6" t="n">
        <f aca="false">S230*(1+I230)</f>
        <v>214983.939479645</v>
      </c>
      <c r="AD230" s="6" t="n">
        <f aca="false">T230*(1+J230)</f>
        <v>177640.979693733</v>
      </c>
      <c r="AE230" s="6" t="n">
        <f aca="false">U230*(1+K230)</f>
        <v>134304.206867732</v>
      </c>
      <c r="AF230" s="6" t="n">
        <f aca="false">V230*(1+L230)</f>
        <v>88137.2658044909</v>
      </c>
      <c r="AG230" s="6" t="n">
        <f aca="false">MIN(M230:V230)</f>
        <v>84304.206867732</v>
      </c>
      <c r="AH230" s="19" t="n">
        <f aca="false">IF(AG230&gt;=0,1,0)</f>
        <v>1</v>
      </c>
    </row>
    <row r="231" customFormat="false" ht="15" hidden="false" customHeight="false" outlineLevel="0" collapsed="false">
      <c r="A231" s="0" t="n">
        <f aca="false">ROW()-1</f>
        <v>230</v>
      </c>
      <c r="B231" s="6" t="n">
        <f aca="false">Assumptions!$B$35</f>
        <v>441263.996662504</v>
      </c>
      <c r="C231" s="8" t="n">
        <f aca="true">NORMINV(RAND(),Assumptions!$B$14,Assumptions!$B$15)</f>
        <v>0.0569411106356725</v>
      </c>
      <c r="D231" s="8" t="n">
        <f aca="true">NORMINV(RAND(),Assumptions!$B$14,Assumptions!$B$15)</f>
        <v>0.0218419730171179</v>
      </c>
      <c r="E231" s="8" t="n">
        <f aca="true">NORMINV(RAND(),Assumptions!$B$14,Assumptions!$B$15)</f>
        <v>0.0267063458851839</v>
      </c>
      <c r="F231" s="8" t="n">
        <f aca="true">NORMINV(RAND(),Assumptions!$B$14,Assumptions!$B$15)</f>
        <v>0.0182319317717236</v>
      </c>
      <c r="G231" s="8" t="n">
        <f aca="true">NORMINV(RAND(),Assumptions!$B$14,Assumptions!$B$15)</f>
        <v>0.0697538405795873</v>
      </c>
      <c r="H231" s="8" t="n">
        <f aca="true">NORMINV(RAND(),Assumptions!$B$14,Assumptions!$B$15)</f>
        <v>0.0397614383882269</v>
      </c>
      <c r="I231" s="8" t="n">
        <f aca="true">NORMINV(RAND(),Assumptions!$B$14,Assumptions!$B$15)</f>
        <v>0.0287928185243833</v>
      </c>
      <c r="J231" s="8" t="n">
        <f aca="true">NORMINV(RAND(),Assumptions!$B$14,Assumptions!$B$15)</f>
        <v>0.116596146112028</v>
      </c>
      <c r="K231" s="8" t="n">
        <f aca="true">NORMINV(RAND(),Assumptions!$B$14,Assumptions!$B$15)</f>
        <v>-0.0320643455952095</v>
      </c>
      <c r="L231" s="8" t="n">
        <f aca="true">NORMINV(RAND(),Assumptions!$B$14,Assumptions!$B$15)</f>
        <v>0.0335971537543507</v>
      </c>
      <c r="M231" s="6" t="n">
        <f aca="false">B231-Assumptions!$B$29</f>
        <v>391263.996662504</v>
      </c>
      <c r="N231" s="6" t="n">
        <f aca="false">W231-Assumptions!$B$29</f>
        <v>363543.003184219</v>
      </c>
      <c r="O231" s="6" t="n">
        <f aca="false">X231-Assumptions!$B$29</f>
        <v>321483.49965033</v>
      </c>
      <c r="P231" s="6" t="n">
        <f aca="false">Y231-Assumptions!$B$29</f>
        <v>280069.149188371</v>
      </c>
      <c r="Q231" s="6" t="n">
        <f aca="false">Z231-Assumptions!$B$29</f>
        <v>235175.350807739</v>
      </c>
      <c r="R231" s="6" t="n">
        <f aca="false">AA231-Assumptions!$B$29</f>
        <v>201579.73473623</v>
      </c>
      <c r="S231" s="6" t="n">
        <f aca="false">AB231-Assumptions!$B$29</f>
        <v>159594.83493926</v>
      </c>
      <c r="T231" s="6" t="n">
        <f aca="false">AC231-Assumptions!$B$29</f>
        <v>114190.020059095</v>
      </c>
      <c r="U231" s="6" t="n">
        <f aca="false">AD231-Assumptions!$B$29</f>
        <v>77504.1363224404</v>
      </c>
      <c r="V231" s="6" t="n">
        <f aca="false">AE231-Assumptions!$B$29</f>
        <v>25019.0169103394</v>
      </c>
      <c r="W231" s="6" t="n">
        <f aca="false">M231*(1+C231)</f>
        <v>413543.003184219</v>
      </c>
      <c r="X231" s="6" t="n">
        <f aca="false">N231*(1+D231)</f>
        <v>371483.49965033</v>
      </c>
      <c r="Y231" s="6" t="n">
        <f aca="false">O231*(1+E231)</f>
        <v>330069.149188371</v>
      </c>
      <c r="Z231" s="6" t="n">
        <f aca="false">P231*(1+F231)</f>
        <v>285175.350807739</v>
      </c>
      <c r="AA231" s="6" t="n">
        <f aca="false">Q231*(1+G231)</f>
        <v>251579.73473623</v>
      </c>
      <c r="AB231" s="6" t="n">
        <f aca="false">R231*(1+H231)</f>
        <v>209594.83493926</v>
      </c>
      <c r="AC231" s="6" t="n">
        <f aca="false">S231*(1+I231)</f>
        <v>164190.020059095</v>
      </c>
      <c r="AD231" s="6" t="n">
        <f aca="false">T231*(1+J231)</f>
        <v>127504.13632244</v>
      </c>
      <c r="AE231" s="6" t="n">
        <f aca="false">U231*(1+K231)</f>
        <v>75019.0169103394</v>
      </c>
      <c r="AF231" s="6" t="n">
        <f aca="false">V231*(1+L231)</f>
        <v>25859.5846682588</v>
      </c>
      <c r="AG231" s="6" t="n">
        <f aca="false">MIN(M231:V231)</f>
        <v>25019.0169103394</v>
      </c>
      <c r="AH231" s="19" t="n">
        <f aca="false">IF(AG231&gt;=0,1,0)</f>
        <v>1</v>
      </c>
    </row>
    <row r="232" customFormat="false" ht="15" hidden="false" customHeight="false" outlineLevel="0" collapsed="false">
      <c r="A232" s="0" t="n">
        <f aca="false">ROW()-1</f>
        <v>231</v>
      </c>
      <c r="B232" s="6" t="n">
        <f aca="false">Assumptions!$B$35</f>
        <v>441263.996662504</v>
      </c>
      <c r="C232" s="8" t="n">
        <f aca="true">NORMINV(RAND(),Assumptions!$B$14,Assumptions!$B$15)</f>
        <v>0.0403040781434144</v>
      </c>
      <c r="D232" s="8" t="n">
        <f aca="true">NORMINV(RAND(),Assumptions!$B$14,Assumptions!$B$15)</f>
        <v>0.05300640541603</v>
      </c>
      <c r="E232" s="8" t="n">
        <f aca="true">NORMINV(RAND(),Assumptions!$B$14,Assumptions!$B$15)</f>
        <v>0.0916471481575193</v>
      </c>
      <c r="F232" s="8" t="n">
        <f aca="true">NORMINV(RAND(),Assumptions!$B$14,Assumptions!$B$15)</f>
        <v>0.0698897288682542</v>
      </c>
      <c r="G232" s="8" t="n">
        <f aca="true">NORMINV(RAND(),Assumptions!$B$14,Assumptions!$B$15)</f>
        <v>0.0393590063460491</v>
      </c>
      <c r="H232" s="8" t="n">
        <f aca="true">NORMINV(RAND(),Assumptions!$B$14,Assumptions!$B$15)</f>
        <v>0.0306310759076599</v>
      </c>
      <c r="I232" s="8" t="n">
        <f aca="true">NORMINV(RAND(),Assumptions!$B$14,Assumptions!$B$15)</f>
        <v>0.00388424923468067</v>
      </c>
      <c r="J232" s="8" t="n">
        <f aca="true">NORMINV(RAND(),Assumptions!$B$14,Assumptions!$B$15)</f>
        <v>0.042174623644162</v>
      </c>
      <c r="K232" s="8" t="n">
        <f aca="true">NORMINV(RAND(),Assumptions!$B$14,Assumptions!$B$15)</f>
        <v>0.00990513933904012</v>
      </c>
      <c r="L232" s="8" t="n">
        <f aca="true">NORMINV(RAND(),Assumptions!$B$14,Assumptions!$B$15)</f>
        <v>-0.0170330119115367</v>
      </c>
      <c r="M232" s="6" t="n">
        <f aca="false">B232-Assumptions!$B$29</f>
        <v>391263.996662504</v>
      </c>
      <c r="N232" s="6" t="n">
        <f aca="false">W232-Assumptions!$B$29</f>
        <v>357033.531358694</v>
      </c>
      <c r="O232" s="6" t="n">
        <f aca="false">X232-Assumptions!$B$29</f>
        <v>325958.59546901</v>
      </c>
      <c r="P232" s="6" t="n">
        <f aca="false">Y232-Assumptions!$B$29</f>
        <v>305831.771161175</v>
      </c>
      <c r="Q232" s="6" t="n">
        <f aca="false">Z232-Assumptions!$B$29</f>
        <v>277206.270726927</v>
      </c>
      <c r="R232" s="6" t="n">
        <f aca="false">AA232-Assumptions!$B$29</f>
        <v>238116.834095633</v>
      </c>
      <c r="S232" s="6" t="n">
        <f aca="false">AB232-Assumptions!$B$29</f>
        <v>195410.608915708</v>
      </c>
      <c r="T232" s="6" t="n">
        <f aca="false">AC232-Assumptions!$B$29</f>
        <v>146169.632423837</v>
      </c>
      <c r="U232" s="6" t="n">
        <f aca="false">AD232-Assumptions!$B$29</f>
        <v>102334.281659518</v>
      </c>
      <c r="V232" s="6" t="n">
        <f aca="false">AE232-Assumptions!$B$29</f>
        <v>53347.916978516</v>
      </c>
      <c r="W232" s="6" t="n">
        <f aca="false">M232*(1+C232)</f>
        <v>407033.531358694</v>
      </c>
      <c r="X232" s="6" t="n">
        <f aca="false">N232*(1+D232)</f>
        <v>375958.59546901</v>
      </c>
      <c r="Y232" s="6" t="n">
        <f aca="false">O232*(1+E232)</f>
        <v>355831.771161175</v>
      </c>
      <c r="Z232" s="6" t="n">
        <f aca="false">P232*(1+F232)</f>
        <v>327206.270726927</v>
      </c>
      <c r="AA232" s="6" t="n">
        <f aca="false">Q232*(1+G232)</f>
        <v>288116.834095633</v>
      </c>
      <c r="AB232" s="6" t="n">
        <f aca="false">R232*(1+H232)</f>
        <v>245410.608915708</v>
      </c>
      <c r="AC232" s="6" t="n">
        <f aca="false">S232*(1+I232)</f>
        <v>196169.632423837</v>
      </c>
      <c r="AD232" s="6" t="n">
        <f aca="false">T232*(1+J232)</f>
        <v>152334.281659518</v>
      </c>
      <c r="AE232" s="6" t="n">
        <f aca="false">U232*(1+K232)</f>
        <v>103347.916978516</v>
      </c>
      <c r="AF232" s="6" t="n">
        <f aca="false">V232*(1+L232)</f>
        <v>52439.2412731653</v>
      </c>
      <c r="AG232" s="6" t="n">
        <f aca="false">MIN(M232:V232)</f>
        <v>53347.916978516</v>
      </c>
      <c r="AH232" s="19" t="n">
        <f aca="false">IF(AG232&gt;=0,1,0)</f>
        <v>1</v>
      </c>
    </row>
    <row r="233" customFormat="false" ht="15" hidden="false" customHeight="false" outlineLevel="0" collapsed="false">
      <c r="A233" s="0" t="n">
        <f aca="false">ROW()-1</f>
        <v>232</v>
      </c>
      <c r="B233" s="6" t="n">
        <f aca="false">Assumptions!$B$35</f>
        <v>441263.996662504</v>
      </c>
      <c r="C233" s="8" t="n">
        <f aca="true">NORMINV(RAND(),Assumptions!$B$14,Assumptions!$B$15)</f>
        <v>0.0592363398971099</v>
      </c>
      <c r="D233" s="8" t="n">
        <f aca="true">NORMINV(RAND(),Assumptions!$B$14,Assumptions!$B$15)</f>
        <v>0.101266066702073</v>
      </c>
      <c r="E233" s="8" t="n">
        <f aca="true">NORMINV(RAND(),Assumptions!$B$14,Assumptions!$B$15)</f>
        <v>0.0368800629051467</v>
      </c>
      <c r="F233" s="8" t="n">
        <f aca="true">NORMINV(RAND(),Assumptions!$B$14,Assumptions!$B$15)</f>
        <v>0.0617172559583153</v>
      </c>
      <c r="G233" s="8" t="n">
        <f aca="true">NORMINV(RAND(),Assumptions!$B$14,Assumptions!$B$15)</f>
        <v>0.0200692340623605</v>
      </c>
      <c r="H233" s="8" t="n">
        <f aca="true">NORMINV(RAND(),Assumptions!$B$14,Assumptions!$B$15)</f>
        <v>0.0670963328278916</v>
      </c>
      <c r="I233" s="8" t="n">
        <f aca="true">NORMINV(RAND(),Assumptions!$B$14,Assumptions!$B$15)</f>
        <v>0.0575926033723281</v>
      </c>
      <c r="J233" s="8" t="n">
        <f aca="true">NORMINV(RAND(),Assumptions!$B$14,Assumptions!$B$15)</f>
        <v>0.00533246713960911</v>
      </c>
      <c r="K233" s="8" t="n">
        <f aca="true">NORMINV(RAND(),Assumptions!$B$14,Assumptions!$B$15)</f>
        <v>-0.0240443572888763</v>
      </c>
      <c r="L233" s="8" t="n">
        <f aca="true">NORMINV(RAND(),Assumptions!$B$14,Assumptions!$B$15)</f>
        <v>0.0514579962798675</v>
      </c>
      <c r="M233" s="6" t="n">
        <f aca="false">B233-Assumptions!$B$29</f>
        <v>391263.996662504</v>
      </c>
      <c r="N233" s="6" t="n">
        <f aca="false">W233-Assumptions!$B$29</f>
        <v>364441.043758305</v>
      </c>
      <c r="O233" s="6" t="n">
        <f aca="false">X233-Assumptions!$B$29</f>
        <v>351346.554804507</v>
      </c>
      <c r="P233" s="6" t="n">
        <f aca="false">Y233-Assumptions!$B$29</f>
        <v>314304.237847204</v>
      </c>
      <c r="Q233" s="6" t="n">
        <f aca="false">Z233-Assumptions!$B$29</f>
        <v>283702.232943203</v>
      </c>
      <c r="R233" s="6" t="n">
        <f aca="false">AA233-Assumptions!$B$29</f>
        <v>239395.919460154</v>
      </c>
      <c r="S233" s="6" t="n">
        <f aca="false">AB233-Assumptions!$B$29</f>
        <v>205458.507749892</v>
      </c>
      <c r="T233" s="6" t="n">
        <f aca="false">AC233-Assumptions!$B$29</f>
        <v>167291.398096202</v>
      </c>
      <c r="U233" s="6" t="n">
        <f aca="false">AD233-Assumptions!$B$29</f>
        <v>118183.473979289</v>
      </c>
      <c r="V233" s="6" t="n">
        <f aca="false">AE233-Assumptions!$B$29</f>
        <v>65341.8283052904</v>
      </c>
      <c r="W233" s="6" t="n">
        <f aca="false">M233*(1+C233)</f>
        <v>414441.043758305</v>
      </c>
      <c r="X233" s="6" t="n">
        <f aca="false">N233*(1+D233)</f>
        <v>401346.554804507</v>
      </c>
      <c r="Y233" s="6" t="n">
        <f aca="false">O233*(1+E233)</f>
        <v>364304.237847204</v>
      </c>
      <c r="Z233" s="6" t="n">
        <f aca="false">P233*(1+F233)</f>
        <v>333702.232943203</v>
      </c>
      <c r="AA233" s="6" t="n">
        <f aca="false">Q233*(1+G233)</f>
        <v>289395.919460154</v>
      </c>
      <c r="AB233" s="6" t="n">
        <f aca="false">R233*(1+H233)</f>
        <v>255458.507749892</v>
      </c>
      <c r="AC233" s="6" t="n">
        <f aca="false">S233*(1+I233)</f>
        <v>217291.398096202</v>
      </c>
      <c r="AD233" s="6" t="n">
        <f aca="false">T233*(1+J233)</f>
        <v>168183.473979289</v>
      </c>
      <c r="AE233" s="6" t="n">
        <f aca="false">U233*(1+K233)</f>
        <v>115341.82830529</v>
      </c>
      <c r="AF233" s="6" t="n">
        <f aca="false">V233*(1+L233)</f>
        <v>68704.1878631438</v>
      </c>
      <c r="AG233" s="6" t="n">
        <f aca="false">MIN(M233:V233)</f>
        <v>65341.8283052904</v>
      </c>
      <c r="AH233" s="19" t="n">
        <f aca="false">IF(AG233&gt;=0,1,0)</f>
        <v>1</v>
      </c>
    </row>
    <row r="234" customFormat="false" ht="15" hidden="false" customHeight="false" outlineLevel="0" collapsed="false">
      <c r="A234" s="0" t="n">
        <f aca="false">ROW()-1</f>
        <v>233</v>
      </c>
      <c r="B234" s="6" t="n">
        <f aca="false">Assumptions!$B$35</f>
        <v>441263.996662504</v>
      </c>
      <c r="C234" s="8" t="n">
        <f aca="true">NORMINV(RAND(),Assumptions!$B$14,Assumptions!$B$15)</f>
        <v>0.0608078527010509</v>
      </c>
      <c r="D234" s="8" t="n">
        <f aca="true">NORMINV(RAND(),Assumptions!$B$14,Assumptions!$B$15)</f>
        <v>0.0471654260713009</v>
      </c>
      <c r="E234" s="8" t="n">
        <f aca="true">NORMINV(RAND(),Assumptions!$B$14,Assumptions!$B$15)</f>
        <v>0.0909743003971187</v>
      </c>
      <c r="F234" s="8" t="n">
        <f aca="true">NORMINV(RAND(),Assumptions!$B$14,Assumptions!$B$15)</f>
        <v>0.0294412729506535</v>
      </c>
      <c r="G234" s="8" t="n">
        <f aca="true">NORMINV(RAND(),Assumptions!$B$14,Assumptions!$B$15)</f>
        <v>0.021483533229275</v>
      </c>
      <c r="H234" s="8" t="n">
        <f aca="true">NORMINV(RAND(),Assumptions!$B$14,Assumptions!$B$15)</f>
        <v>0.0608826070964897</v>
      </c>
      <c r="I234" s="8" t="n">
        <f aca="true">NORMINV(RAND(),Assumptions!$B$14,Assumptions!$B$15)</f>
        <v>0.0109336626091261</v>
      </c>
      <c r="J234" s="8" t="n">
        <f aca="true">NORMINV(RAND(),Assumptions!$B$14,Assumptions!$B$15)</f>
        <v>0.0569801107027073</v>
      </c>
      <c r="K234" s="8" t="n">
        <f aca="true">NORMINV(RAND(),Assumptions!$B$14,Assumptions!$B$15)</f>
        <v>0.0330556940473775</v>
      </c>
      <c r="L234" s="8" t="n">
        <f aca="true">NORMINV(RAND(),Assumptions!$B$14,Assumptions!$B$15)</f>
        <v>0.0225359156957028</v>
      </c>
      <c r="M234" s="6" t="n">
        <f aca="false">B234-Assumptions!$B$29</f>
        <v>391263.996662504</v>
      </c>
      <c r="N234" s="6" t="n">
        <f aca="false">W234-Assumptions!$B$29</f>
        <v>365055.920138782</v>
      </c>
      <c r="O234" s="6" t="n">
        <f aca="false">X234-Assumptions!$B$29</f>
        <v>332273.938151978</v>
      </c>
      <c r="P234" s="6" t="n">
        <f aca="false">Y234-Assumptions!$B$29</f>
        <v>312502.32721555</v>
      </c>
      <c r="Q234" s="6" t="n">
        <f aca="false">Z234-Assumptions!$B$29</f>
        <v>271702.793528817</v>
      </c>
      <c r="R234" s="6" t="n">
        <f aca="false">AA234-Assumptions!$B$29</f>
        <v>227539.92952208</v>
      </c>
      <c r="S234" s="6" t="n">
        <f aca="false">AB234-Assumptions!$B$29</f>
        <v>191393.153649936</v>
      </c>
      <c r="T234" s="6" t="n">
        <f aca="false">AC234-Assumptions!$B$29</f>
        <v>143485.781817641</v>
      </c>
      <c r="U234" s="6" t="n">
        <f aca="false">AD234-Assumptions!$B$29</f>
        <v>101661.617549875</v>
      </c>
      <c r="V234" s="6" t="n">
        <f aca="false">AE234-Assumptions!$B$29</f>
        <v>55022.1128759649</v>
      </c>
      <c r="W234" s="6" t="n">
        <f aca="false">M234*(1+C234)</f>
        <v>415055.920138782</v>
      </c>
      <c r="X234" s="6" t="n">
        <f aca="false">N234*(1+D234)</f>
        <v>382273.938151978</v>
      </c>
      <c r="Y234" s="6" t="n">
        <f aca="false">O234*(1+E234)</f>
        <v>362502.32721555</v>
      </c>
      <c r="Z234" s="6" t="n">
        <f aca="false">P234*(1+F234)</f>
        <v>321702.793528817</v>
      </c>
      <c r="AA234" s="6" t="n">
        <f aca="false">Q234*(1+G234)</f>
        <v>277539.92952208</v>
      </c>
      <c r="AB234" s="6" t="n">
        <f aca="false">R234*(1+H234)</f>
        <v>241393.153649936</v>
      </c>
      <c r="AC234" s="6" t="n">
        <f aca="false">S234*(1+I234)</f>
        <v>193485.781817641</v>
      </c>
      <c r="AD234" s="6" t="n">
        <f aca="false">T234*(1+J234)</f>
        <v>151661.617549875</v>
      </c>
      <c r="AE234" s="6" t="n">
        <f aca="false">U234*(1+K234)</f>
        <v>105022.112875965</v>
      </c>
      <c r="AF234" s="6" t="n">
        <f aca="false">V234*(1+L234)</f>
        <v>56262.086573137</v>
      </c>
      <c r="AG234" s="6" t="n">
        <f aca="false">MIN(M234:V234)</f>
        <v>55022.1128759649</v>
      </c>
      <c r="AH234" s="19" t="n">
        <f aca="false">IF(AG234&gt;=0,1,0)</f>
        <v>1</v>
      </c>
    </row>
    <row r="235" customFormat="false" ht="15" hidden="false" customHeight="false" outlineLevel="0" collapsed="false">
      <c r="A235" s="0" t="n">
        <f aca="false">ROW()-1</f>
        <v>234</v>
      </c>
      <c r="B235" s="6" t="n">
        <f aca="false">Assumptions!$B$35</f>
        <v>441263.996662504</v>
      </c>
      <c r="C235" s="8" t="n">
        <f aca="true">NORMINV(RAND(),Assumptions!$B$14,Assumptions!$B$15)</f>
        <v>0.0670321163447697</v>
      </c>
      <c r="D235" s="8" t="n">
        <f aca="true">NORMINV(RAND(),Assumptions!$B$14,Assumptions!$B$15)</f>
        <v>0.0433396073590875</v>
      </c>
      <c r="E235" s="8" t="n">
        <f aca="true">NORMINV(RAND(),Assumptions!$B$14,Assumptions!$B$15)</f>
        <v>0.0404906016751828</v>
      </c>
      <c r="F235" s="8" t="n">
        <f aca="true">NORMINV(RAND(),Assumptions!$B$14,Assumptions!$B$15)</f>
        <v>0.106557416779112</v>
      </c>
      <c r="G235" s="8" t="n">
        <f aca="true">NORMINV(RAND(),Assumptions!$B$14,Assumptions!$B$15)</f>
        <v>0.100510793017648</v>
      </c>
      <c r="H235" s="8" t="n">
        <f aca="true">NORMINV(RAND(),Assumptions!$B$14,Assumptions!$B$15)</f>
        <v>0.0689649784679875</v>
      </c>
      <c r="I235" s="8" t="n">
        <f aca="true">NORMINV(RAND(),Assumptions!$B$14,Assumptions!$B$15)</f>
        <v>0.0635088987247668</v>
      </c>
      <c r="J235" s="8" t="n">
        <f aca="true">NORMINV(RAND(),Assumptions!$B$14,Assumptions!$B$15)</f>
        <v>0.032747199396506</v>
      </c>
      <c r="K235" s="8" t="n">
        <f aca="true">NORMINV(RAND(),Assumptions!$B$14,Assumptions!$B$15)</f>
        <v>0.0266479386407032</v>
      </c>
      <c r="L235" s="8" t="n">
        <f aca="true">NORMINV(RAND(),Assumptions!$B$14,Assumptions!$B$15)</f>
        <v>0.0326802703699509</v>
      </c>
      <c r="M235" s="6" t="n">
        <f aca="false">B235-Assumptions!$B$29</f>
        <v>391263.996662504</v>
      </c>
      <c r="N235" s="6" t="n">
        <f aca="false">W235-Assumptions!$B$29</f>
        <v>367491.250408304</v>
      </c>
      <c r="O235" s="6" t="n">
        <f aca="false">X235-Assumptions!$B$29</f>
        <v>333418.1769089</v>
      </c>
      <c r="P235" s="6" t="n">
        <f aca="false">Y235-Assumptions!$B$29</f>
        <v>296918.479501384</v>
      </c>
      <c r="Q235" s="6" t="n">
        <f aca="false">Z235-Assumptions!$B$29</f>
        <v>278557.345671033</v>
      </c>
      <c r="R235" s="6" t="n">
        <f aca="false">AA235-Assumptions!$B$29</f>
        <v>256555.36538532</v>
      </c>
      <c r="S235" s="6" t="n">
        <f aca="false">AB235-Assumptions!$B$29</f>
        <v>224248.700634965</v>
      </c>
      <c r="T235" s="6" t="n">
        <f aca="false">AC235-Assumptions!$B$29</f>
        <v>188490.488652751</v>
      </c>
      <c r="U235" s="6" t="n">
        <f aca="false">AD235-Assumptions!$B$29</f>
        <v>144663.024269008</v>
      </c>
      <c r="V235" s="6" t="n">
        <f aca="false">AE235-Assumptions!$B$29</f>
        <v>98517.9956633069</v>
      </c>
      <c r="W235" s="6" t="n">
        <f aca="false">M235*(1+C235)</f>
        <v>417491.250408304</v>
      </c>
      <c r="X235" s="6" t="n">
        <f aca="false">N235*(1+D235)</f>
        <v>383418.1769089</v>
      </c>
      <c r="Y235" s="6" t="n">
        <f aca="false">O235*(1+E235)</f>
        <v>346918.479501384</v>
      </c>
      <c r="Z235" s="6" t="n">
        <f aca="false">P235*(1+F235)</f>
        <v>328557.345671033</v>
      </c>
      <c r="AA235" s="6" t="n">
        <f aca="false">Q235*(1+G235)</f>
        <v>306555.36538532</v>
      </c>
      <c r="AB235" s="6" t="n">
        <f aca="false">R235*(1+H235)</f>
        <v>274248.700634965</v>
      </c>
      <c r="AC235" s="6" t="n">
        <f aca="false">S235*(1+I235)</f>
        <v>238490.488652751</v>
      </c>
      <c r="AD235" s="6" t="n">
        <f aca="false">T235*(1+J235)</f>
        <v>194663.024269008</v>
      </c>
      <c r="AE235" s="6" t="n">
        <f aca="false">U235*(1+K235)</f>
        <v>148517.995663307</v>
      </c>
      <c r="AF235" s="6" t="n">
        <f aca="false">V235*(1+L235)</f>
        <v>101737.590397889</v>
      </c>
      <c r="AG235" s="6" t="n">
        <f aca="false">MIN(M235:V235)</f>
        <v>98517.9956633069</v>
      </c>
      <c r="AH235" s="19" t="n">
        <f aca="false">IF(AG235&gt;=0,1,0)</f>
        <v>1</v>
      </c>
    </row>
    <row r="236" customFormat="false" ht="15" hidden="false" customHeight="false" outlineLevel="0" collapsed="false">
      <c r="A236" s="0" t="n">
        <f aca="false">ROW()-1</f>
        <v>235</v>
      </c>
      <c r="B236" s="6" t="n">
        <f aca="false">Assumptions!$B$35</f>
        <v>441263.996662504</v>
      </c>
      <c r="C236" s="8" t="n">
        <f aca="true">NORMINV(RAND(),Assumptions!$B$14,Assumptions!$B$15)</f>
        <v>0.0820883097433387</v>
      </c>
      <c r="D236" s="8" t="n">
        <f aca="true">NORMINV(RAND(),Assumptions!$B$14,Assumptions!$B$15)</f>
        <v>0.0072094439935837</v>
      </c>
      <c r="E236" s="8" t="n">
        <f aca="true">NORMINV(RAND(),Assumptions!$B$14,Assumptions!$B$15)</f>
        <v>0.0430073940517682</v>
      </c>
      <c r="F236" s="8" t="n">
        <f aca="true">NORMINV(RAND(),Assumptions!$B$14,Assumptions!$B$15)</f>
        <v>0.0299994655687809</v>
      </c>
      <c r="G236" s="8" t="n">
        <f aca="true">NORMINV(RAND(),Assumptions!$B$14,Assumptions!$B$15)</f>
        <v>0.0658781594813644</v>
      </c>
      <c r="H236" s="8" t="n">
        <f aca="true">NORMINV(RAND(),Assumptions!$B$14,Assumptions!$B$15)</f>
        <v>0.0170649673851094</v>
      </c>
      <c r="I236" s="8" t="n">
        <f aca="true">NORMINV(RAND(),Assumptions!$B$14,Assumptions!$B$15)</f>
        <v>0.0637122725013609</v>
      </c>
      <c r="J236" s="8" t="n">
        <f aca="true">NORMINV(RAND(),Assumptions!$B$14,Assumptions!$B$15)</f>
        <v>0.0162882315541958</v>
      </c>
      <c r="K236" s="8" t="n">
        <f aca="true">NORMINV(RAND(),Assumptions!$B$14,Assumptions!$B$15)</f>
        <v>0.0707446601381304</v>
      </c>
      <c r="L236" s="8" t="n">
        <f aca="true">NORMINV(RAND(),Assumptions!$B$14,Assumptions!$B$15)</f>
        <v>0.0452973267253976</v>
      </c>
      <c r="M236" s="6" t="n">
        <f aca="false">B236-Assumptions!$B$29</f>
        <v>391263.996662504</v>
      </c>
      <c r="N236" s="6" t="n">
        <f aca="false">W236-Assumptions!$B$29</f>
        <v>373382.196811952</v>
      </c>
      <c r="O236" s="6" t="n">
        <f aca="false">X236-Assumptions!$B$29</f>
        <v>326074.074848069</v>
      </c>
      <c r="P236" s="6" t="n">
        <f aca="false">Y236-Assumptions!$B$29</f>
        <v>290097.671075125</v>
      </c>
      <c r="Q236" s="6" t="n">
        <f aca="false">Z236-Assumptions!$B$29</f>
        <v>248800.446170127</v>
      </c>
      <c r="R236" s="6" t="n">
        <f aca="false">AA236-Assumptions!$B$29</f>
        <v>215190.961641957</v>
      </c>
      <c r="S236" s="6" t="n">
        <f aca="false">AB236-Assumptions!$B$29</f>
        <v>168863.188383948</v>
      </c>
      <c r="T236" s="6" t="n">
        <f aca="false">AC236-Assumptions!$B$29</f>
        <v>129621.845857715</v>
      </c>
      <c r="U236" s="6" t="n">
        <f aca="false">AD236-Assumptions!$B$29</f>
        <v>81733.1564975273</v>
      </c>
      <c r="V236" s="6" t="n">
        <f aca="false">AE236-Assumptions!$B$29</f>
        <v>37515.3408759615</v>
      </c>
      <c r="W236" s="6" t="n">
        <f aca="false">M236*(1+C236)</f>
        <v>423382.196811952</v>
      </c>
      <c r="X236" s="6" t="n">
        <f aca="false">N236*(1+D236)</f>
        <v>376074.074848069</v>
      </c>
      <c r="Y236" s="6" t="n">
        <f aca="false">O236*(1+E236)</f>
        <v>340097.671075125</v>
      </c>
      <c r="Z236" s="6" t="n">
        <f aca="false">P236*(1+F236)</f>
        <v>298800.446170127</v>
      </c>
      <c r="AA236" s="6" t="n">
        <f aca="false">Q236*(1+G236)</f>
        <v>265190.961641957</v>
      </c>
      <c r="AB236" s="6" t="n">
        <f aca="false">R236*(1+H236)</f>
        <v>218863.188383948</v>
      </c>
      <c r="AC236" s="6" t="n">
        <f aca="false">S236*(1+I236)</f>
        <v>179621.845857715</v>
      </c>
      <c r="AD236" s="6" t="n">
        <f aca="false">T236*(1+J236)</f>
        <v>131733.156497527</v>
      </c>
      <c r="AE236" s="6" t="n">
        <f aca="false">U236*(1+K236)</f>
        <v>87515.3408759615</v>
      </c>
      <c r="AF236" s="6" t="n">
        <f aca="false">V236*(1+L236)</f>
        <v>39214.6855288346</v>
      </c>
      <c r="AG236" s="6" t="n">
        <f aca="false">MIN(M236:V236)</f>
        <v>37515.3408759615</v>
      </c>
      <c r="AH236" s="19" t="n">
        <f aca="false">IF(AG236&gt;=0,1,0)</f>
        <v>1</v>
      </c>
    </row>
    <row r="237" customFormat="false" ht="15" hidden="false" customHeight="false" outlineLevel="0" collapsed="false">
      <c r="A237" s="0" t="n">
        <f aca="false">ROW()-1</f>
        <v>236</v>
      </c>
      <c r="B237" s="6" t="n">
        <f aca="false">Assumptions!$B$35</f>
        <v>441263.996662504</v>
      </c>
      <c r="C237" s="8" t="n">
        <f aca="true">NORMINV(RAND(),Assumptions!$B$14,Assumptions!$B$15)</f>
        <v>0.0809711957355125</v>
      </c>
      <c r="D237" s="8" t="n">
        <f aca="true">NORMINV(RAND(),Assumptions!$B$14,Assumptions!$B$15)</f>
        <v>0.0572008682928478</v>
      </c>
      <c r="E237" s="8" t="n">
        <f aca="true">NORMINV(RAND(),Assumptions!$B$14,Assumptions!$B$15)</f>
        <v>0.0260968625112994</v>
      </c>
      <c r="F237" s="8" t="n">
        <f aca="true">NORMINV(RAND(),Assumptions!$B$14,Assumptions!$B$15)</f>
        <v>0.0803676600313344</v>
      </c>
      <c r="G237" s="8" t="n">
        <f aca="true">NORMINV(RAND(),Assumptions!$B$14,Assumptions!$B$15)</f>
        <v>0.00159722256998004</v>
      </c>
      <c r="H237" s="8" t="n">
        <f aca="true">NORMINV(RAND(),Assumptions!$B$14,Assumptions!$B$15)</f>
        <v>0.00633138950782116</v>
      </c>
      <c r="I237" s="8" t="n">
        <f aca="true">NORMINV(RAND(),Assumptions!$B$14,Assumptions!$B$15)</f>
        <v>0.0396007508342626</v>
      </c>
      <c r="J237" s="8" t="n">
        <f aca="true">NORMINV(RAND(),Assumptions!$B$14,Assumptions!$B$15)</f>
        <v>0.0747297231508336</v>
      </c>
      <c r="K237" s="8" t="n">
        <f aca="true">NORMINV(RAND(),Assumptions!$B$14,Assumptions!$B$15)</f>
        <v>0.0382541057335251</v>
      </c>
      <c r="L237" s="8" t="n">
        <f aca="true">NORMINV(RAND(),Assumptions!$B$14,Assumptions!$B$15)</f>
        <v>0.0791889207617077</v>
      </c>
      <c r="M237" s="6" t="n">
        <f aca="false">B237-Assumptions!$B$29</f>
        <v>391263.996662504</v>
      </c>
      <c r="N237" s="6" t="n">
        <f aca="false">W237-Assumptions!$B$29</f>
        <v>372945.110320522</v>
      </c>
      <c r="O237" s="6" t="n">
        <f aca="false">X237-Assumptions!$B$29</f>
        <v>344277.894456428</v>
      </c>
      <c r="P237" s="6" t="n">
        <f aca="false">Y237-Assumptions!$B$29</f>
        <v>303262.467333737</v>
      </c>
      <c r="Q237" s="6" t="n">
        <f aca="false">Z237-Assumptions!$B$29</f>
        <v>277634.962208678</v>
      </c>
      <c r="R237" s="6" t="n">
        <f aca="false">AA237-Assumptions!$B$29</f>
        <v>228078.407036534</v>
      </c>
      <c r="S237" s="6" t="n">
        <f aca="false">AB237-Assumptions!$B$29</f>
        <v>179522.460269805</v>
      </c>
      <c r="T237" s="6" t="n">
        <f aca="false">AC237-Assumptions!$B$29</f>
        <v>136631.684488104</v>
      </c>
      <c r="U237" s="6" t="n">
        <f aca="false">AD237-Assumptions!$B$29</f>
        <v>96842.1324435316</v>
      </c>
      <c r="V237" s="6" t="n">
        <f aca="false">AE237-Assumptions!$B$29</f>
        <v>50546.7416174865</v>
      </c>
      <c r="W237" s="6" t="n">
        <f aca="false">M237*(1+C237)</f>
        <v>422945.110320522</v>
      </c>
      <c r="X237" s="6" t="n">
        <f aca="false">N237*(1+D237)</f>
        <v>394277.894456428</v>
      </c>
      <c r="Y237" s="6" t="n">
        <f aca="false">O237*(1+E237)</f>
        <v>353262.467333737</v>
      </c>
      <c r="Z237" s="6" t="n">
        <f aca="false">P237*(1+F237)</f>
        <v>327634.962208678</v>
      </c>
      <c r="AA237" s="6" t="n">
        <f aca="false">Q237*(1+G237)</f>
        <v>278078.407036534</v>
      </c>
      <c r="AB237" s="6" t="n">
        <f aca="false">R237*(1+H237)</f>
        <v>229522.460269805</v>
      </c>
      <c r="AC237" s="6" t="n">
        <f aca="false">S237*(1+I237)</f>
        <v>186631.684488104</v>
      </c>
      <c r="AD237" s="6" t="n">
        <f aca="false">T237*(1+J237)</f>
        <v>146842.132443532</v>
      </c>
      <c r="AE237" s="6" t="n">
        <f aca="false">U237*(1+K237)</f>
        <v>100546.741617486</v>
      </c>
      <c r="AF237" s="6" t="n">
        <f aca="false">V237*(1+L237)</f>
        <v>54549.4835341961</v>
      </c>
      <c r="AG237" s="6" t="n">
        <f aca="false">MIN(M237:V237)</f>
        <v>50546.7416174865</v>
      </c>
      <c r="AH237" s="19" t="n">
        <f aca="false">IF(AG237&gt;=0,1,0)</f>
        <v>1</v>
      </c>
    </row>
    <row r="238" customFormat="false" ht="15" hidden="false" customHeight="false" outlineLevel="0" collapsed="false">
      <c r="A238" s="0" t="n">
        <f aca="false">ROW()-1</f>
        <v>237</v>
      </c>
      <c r="B238" s="6" t="n">
        <f aca="false">Assumptions!$B$35</f>
        <v>441263.996662504</v>
      </c>
      <c r="C238" s="8" t="n">
        <f aca="true">NORMINV(RAND(),Assumptions!$B$14,Assumptions!$B$15)</f>
        <v>0.0466735672173461</v>
      </c>
      <c r="D238" s="8" t="n">
        <f aca="true">NORMINV(RAND(),Assumptions!$B$14,Assumptions!$B$15)</f>
        <v>0.0455681742699571</v>
      </c>
      <c r="E238" s="8" t="n">
        <f aca="true">NORMINV(RAND(),Assumptions!$B$14,Assumptions!$B$15)</f>
        <v>0.0637223662040492</v>
      </c>
      <c r="F238" s="8" t="n">
        <f aca="true">NORMINV(RAND(),Assumptions!$B$14,Assumptions!$B$15)</f>
        <v>-0.0309081167619801</v>
      </c>
      <c r="G238" s="8" t="n">
        <f aca="true">NORMINV(RAND(),Assumptions!$B$14,Assumptions!$B$15)</f>
        <v>0.0470501131671104</v>
      </c>
      <c r="H238" s="8" t="n">
        <f aca="true">NORMINV(RAND(),Assumptions!$B$14,Assumptions!$B$15)</f>
        <v>0.0613152171894124</v>
      </c>
      <c r="I238" s="8" t="n">
        <f aca="true">NORMINV(RAND(),Assumptions!$B$14,Assumptions!$B$15)</f>
        <v>0.0402217903188014</v>
      </c>
      <c r="J238" s="8" t="n">
        <f aca="true">NORMINV(RAND(),Assumptions!$B$14,Assumptions!$B$15)</f>
        <v>0.0870015319583848</v>
      </c>
      <c r="K238" s="8" t="n">
        <f aca="true">NORMINV(RAND(),Assumptions!$B$14,Assumptions!$B$15)</f>
        <v>0.0374020090374484</v>
      </c>
      <c r="L238" s="8" t="n">
        <f aca="true">NORMINV(RAND(),Assumptions!$B$14,Assumptions!$B$15)</f>
        <v>0.0673645547968419</v>
      </c>
      <c r="M238" s="6" t="n">
        <f aca="false">B238-Assumptions!$B$29</f>
        <v>391263.996662504</v>
      </c>
      <c r="N238" s="6" t="n">
        <f aca="false">W238-Assumptions!$B$29</f>
        <v>359525.683110458</v>
      </c>
      <c r="O238" s="6" t="n">
        <f aca="false">X238-Assumptions!$B$29</f>
        <v>325908.612092961</v>
      </c>
      <c r="P238" s="6" t="n">
        <f aca="false">Y238-Assumptions!$B$29</f>
        <v>296676.280021802</v>
      </c>
      <c r="Q238" s="6" t="n">
        <f aca="false">Z238-Assumptions!$B$29</f>
        <v>237506.574918378</v>
      </c>
      <c r="R238" s="6" t="n">
        <f aca="false">AA238-Assumptions!$B$29</f>
        <v>198681.286146221</v>
      </c>
      <c r="S238" s="6" t="n">
        <f aca="false">AB238-Assumptions!$B$29</f>
        <v>160863.472357748</v>
      </c>
      <c r="T238" s="6" t="n">
        <f aca="false">AC238-Assumptions!$B$29</f>
        <v>117333.689212876</v>
      </c>
      <c r="U238" s="6" t="n">
        <f aca="false">AD238-Assumptions!$B$29</f>
        <v>77541.899924725</v>
      </c>
      <c r="V238" s="6" t="n">
        <f aca="false">AE238-Assumptions!$B$29</f>
        <v>30442.1227664905</v>
      </c>
      <c r="W238" s="6" t="n">
        <f aca="false">M238*(1+C238)</f>
        <v>409525.683110458</v>
      </c>
      <c r="X238" s="6" t="n">
        <f aca="false">N238*(1+D238)</f>
        <v>375908.612092961</v>
      </c>
      <c r="Y238" s="6" t="n">
        <f aca="false">O238*(1+E238)</f>
        <v>346676.280021802</v>
      </c>
      <c r="Z238" s="6" t="n">
        <f aca="false">P238*(1+F238)</f>
        <v>287506.574918378</v>
      </c>
      <c r="AA238" s="6" t="n">
        <f aca="false">Q238*(1+G238)</f>
        <v>248681.286146221</v>
      </c>
      <c r="AB238" s="6" t="n">
        <f aca="false">R238*(1+H238)</f>
        <v>210863.472357748</v>
      </c>
      <c r="AC238" s="6" t="n">
        <f aca="false">S238*(1+I238)</f>
        <v>167333.689212876</v>
      </c>
      <c r="AD238" s="6" t="n">
        <f aca="false">T238*(1+J238)</f>
        <v>127541.899924725</v>
      </c>
      <c r="AE238" s="6" t="n">
        <f aca="false">U238*(1+K238)</f>
        <v>80442.1227664905</v>
      </c>
      <c r="AF238" s="6" t="n">
        <f aca="false">V238*(1+L238)</f>
        <v>32492.8428137259</v>
      </c>
      <c r="AG238" s="6" t="n">
        <f aca="false">MIN(M238:V238)</f>
        <v>30442.1227664905</v>
      </c>
      <c r="AH238" s="19" t="n">
        <f aca="false">IF(AG238&gt;=0,1,0)</f>
        <v>1</v>
      </c>
    </row>
    <row r="239" customFormat="false" ht="15" hidden="false" customHeight="false" outlineLevel="0" collapsed="false">
      <c r="A239" s="0" t="n">
        <f aca="false">ROW()-1</f>
        <v>238</v>
      </c>
      <c r="B239" s="6" t="n">
        <f aca="false">Assumptions!$B$35</f>
        <v>441263.996662504</v>
      </c>
      <c r="C239" s="8" t="n">
        <f aca="true">NORMINV(RAND(),Assumptions!$B$14,Assumptions!$B$15)</f>
        <v>0.0580196339155364</v>
      </c>
      <c r="D239" s="8" t="n">
        <f aca="true">NORMINV(RAND(),Assumptions!$B$14,Assumptions!$B$15)</f>
        <v>0.0325737017021616</v>
      </c>
      <c r="E239" s="8" t="n">
        <f aca="true">NORMINV(RAND(),Assumptions!$B$14,Assumptions!$B$15)</f>
        <v>0.0374832510678349</v>
      </c>
      <c r="F239" s="8" t="n">
        <f aca="true">NORMINV(RAND(),Assumptions!$B$14,Assumptions!$B$15)</f>
        <v>-0.00135817896318603</v>
      </c>
      <c r="G239" s="8" t="n">
        <f aca="true">NORMINV(RAND(),Assumptions!$B$14,Assumptions!$B$15)</f>
        <v>0.0856200437228082</v>
      </c>
      <c r="H239" s="8" t="n">
        <f aca="true">NORMINV(RAND(),Assumptions!$B$14,Assumptions!$B$15)</f>
        <v>0.0721401471135011</v>
      </c>
      <c r="I239" s="8" t="n">
        <f aca="true">NORMINV(RAND(),Assumptions!$B$14,Assumptions!$B$15)</f>
        <v>0.034218704729416</v>
      </c>
      <c r="J239" s="8" t="n">
        <f aca="true">NORMINV(RAND(),Assumptions!$B$14,Assumptions!$B$15)</f>
        <v>0.0759538187460436</v>
      </c>
      <c r="K239" s="8" t="n">
        <f aca="true">NORMINV(RAND(),Assumptions!$B$14,Assumptions!$B$15)</f>
        <v>0.00988037205146784</v>
      </c>
      <c r="L239" s="8" t="n">
        <f aca="true">NORMINV(RAND(),Assumptions!$B$14,Assumptions!$B$15)</f>
        <v>0.0765351157935828</v>
      </c>
      <c r="M239" s="6" t="n">
        <f aca="false">B239-Assumptions!$B$29</f>
        <v>391263.996662504</v>
      </c>
      <c r="N239" s="6" t="n">
        <f aca="false">W239-Assumptions!$B$29</f>
        <v>363964.990513192</v>
      </c>
      <c r="O239" s="6" t="n">
        <f aca="false">X239-Assumptions!$B$29</f>
        <v>325820.677544198</v>
      </c>
      <c r="P239" s="6" t="n">
        <f aca="false">Y239-Assumptions!$B$29</f>
        <v>288033.49580368</v>
      </c>
      <c r="Q239" s="6" t="n">
        <f aca="false">Z239-Assumptions!$B$29</f>
        <v>237642.294768986</v>
      </c>
      <c r="R239" s="6" t="n">
        <f aca="false">AA239-Assumptions!$B$29</f>
        <v>207989.238437495</v>
      </c>
      <c r="S239" s="6" t="n">
        <f aca="false">AB239-Assumptions!$B$29</f>
        <v>172993.612696401</v>
      </c>
      <c r="T239" s="6" t="n">
        <f aca="false">AC239-Assumptions!$B$29</f>
        <v>128913.230049334</v>
      </c>
      <c r="U239" s="6" t="n">
        <f aca="false">AD239-Assumptions!$B$29</f>
        <v>88704.6821584685</v>
      </c>
      <c r="V239" s="6" t="n">
        <f aca="false">AE239-Assumptions!$B$29</f>
        <v>39581.1174209013</v>
      </c>
      <c r="W239" s="6" t="n">
        <f aca="false">M239*(1+C239)</f>
        <v>413964.990513192</v>
      </c>
      <c r="X239" s="6" t="n">
        <f aca="false">N239*(1+D239)</f>
        <v>375820.677544198</v>
      </c>
      <c r="Y239" s="6" t="n">
        <f aca="false">O239*(1+E239)</f>
        <v>338033.49580368</v>
      </c>
      <c r="Z239" s="6" t="n">
        <f aca="false">P239*(1+F239)</f>
        <v>287642.294768986</v>
      </c>
      <c r="AA239" s="6" t="n">
        <f aca="false">Q239*(1+G239)</f>
        <v>257989.238437495</v>
      </c>
      <c r="AB239" s="6" t="n">
        <f aca="false">R239*(1+H239)</f>
        <v>222993.612696401</v>
      </c>
      <c r="AC239" s="6" t="n">
        <f aca="false">S239*(1+I239)</f>
        <v>178913.230049334</v>
      </c>
      <c r="AD239" s="6" t="n">
        <f aca="false">T239*(1+J239)</f>
        <v>138704.682158468</v>
      </c>
      <c r="AE239" s="6" t="n">
        <f aca="false">U239*(1+K239)</f>
        <v>89581.1174209013</v>
      </c>
      <c r="AF239" s="6" t="n">
        <f aca="false">V239*(1+L239)</f>
        <v>42610.4628259494</v>
      </c>
      <c r="AG239" s="6" t="n">
        <f aca="false">MIN(M239:V239)</f>
        <v>39581.1174209013</v>
      </c>
      <c r="AH239" s="19" t="n">
        <f aca="false">IF(AG239&gt;=0,1,0)</f>
        <v>1</v>
      </c>
    </row>
    <row r="240" customFormat="false" ht="15" hidden="false" customHeight="false" outlineLevel="0" collapsed="false">
      <c r="A240" s="0" t="n">
        <f aca="false">ROW()-1</f>
        <v>239</v>
      </c>
      <c r="B240" s="6" t="n">
        <f aca="false">Assumptions!$B$35</f>
        <v>441263.996662504</v>
      </c>
      <c r="C240" s="8" t="n">
        <f aca="true">NORMINV(RAND(),Assumptions!$B$14,Assumptions!$B$15)</f>
        <v>0.022231920260211</v>
      </c>
      <c r="D240" s="8" t="n">
        <f aca="true">NORMINV(RAND(),Assumptions!$B$14,Assumptions!$B$15)</f>
        <v>0.0527730055421296</v>
      </c>
      <c r="E240" s="8" t="n">
        <f aca="true">NORMINV(RAND(),Assumptions!$B$14,Assumptions!$B$15)</f>
        <v>0.051034731915507</v>
      </c>
      <c r="F240" s="8" t="n">
        <f aca="true">NORMINV(RAND(),Assumptions!$B$14,Assumptions!$B$15)</f>
        <v>0.0528510812746046</v>
      </c>
      <c r="G240" s="8" t="n">
        <f aca="true">NORMINV(RAND(),Assumptions!$B$14,Assumptions!$B$15)</f>
        <v>0.0369153771224447</v>
      </c>
      <c r="H240" s="8" t="n">
        <f aca="true">NORMINV(RAND(),Assumptions!$B$14,Assumptions!$B$15)</f>
        <v>0.00574593980004497</v>
      </c>
      <c r="I240" s="8" t="n">
        <f aca="true">NORMINV(RAND(),Assumptions!$B$14,Assumptions!$B$15)</f>
        <v>0.0345596206038914</v>
      </c>
      <c r="J240" s="8" t="n">
        <f aca="true">NORMINV(RAND(),Assumptions!$B$14,Assumptions!$B$15)</f>
        <v>0.0407478121377297</v>
      </c>
      <c r="K240" s="8" t="n">
        <f aca="true">NORMINV(RAND(),Assumptions!$B$14,Assumptions!$B$15)</f>
        <v>0.0244996943103588</v>
      </c>
      <c r="L240" s="8" t="n">
        <f aca="true">NORMINV(RAND(),Assumptions!$B$14,Assumptions!$B$15)</f>
        <v>0.0708900684594118</v>
      </c>
      <c r="M240" s="6" t="n">
        <f aca="false">B240-Assumptions!$B$29</f>
        <v>391263.996662504</v>
      </c>
      <c r="N240" s="6" t="n">
        <f aca="false">W240-Assumptions!$B$29</f>
        <v>349962.546636996</v>
      </c>
      <c r="O240" s="6" t="n">
        <f aca="false">X240-Assumptions!$B$29</f>
        <v>318431.122050208</v>
      </c>
      <c r="P240" s="6" t="n">
        <f aca="false">Y240-Assumptions!$B$29</f>
        <v>284682.168997594</v>
      </c>
      <c r="Q240" s="6" t="n">
        <f aca="false">Z240-Assumptions!$B$29</f>
        <v>249727.929448717</v>
      </c>
      <c r="R240" s="6" t="n">
        <f aca="false">AA240-Assumptions!$B$29</f>
        <v>208946.730142323</v>
      </c>
      <c r="S240" s="6" t="n">
        <f aca="false">AB240-Assumptions!$B$29</f>
        <v>160147.325475137</v>
      </c>
      <c r="T240" s="6" t="n">
        <f aca="false">AC240-Assumptions!$B$29</f>
        <v>115681.956284286</v>
      </c>
      <c r="U240" s="6" t="n">
        <f aca="false">AD240-Assumptions!$B$29</f>
        <v>70395.7429066832</v>
      </c>
      <c r="V240" s="6" t="n">
        <f aca="false">AE240-Assumptions!$B$29</f>
        <v>22120.4170886476</v>
      </c>
      <c r="W240" s="6" t="n">
        <f aca="false">M240*(1+C240)</f>
        <v>399962.546636996</v>
      </c>
      <c r="X240" s="6" t="n">
        <f aca="false">N240*(1+D240)</f>
        <v>368431.122050208</v>
      </c>
      <c r="Y240" s="6" t="n">
        <f aca="false">O240*(1+E240)</f>
        <v>334682.168997594</v>
      </c>
      <c r="Z240" s="6" t="n">
        <f aca="false">P240*(1+F240)</f>
        <v>299727.929448717</v>
      </c>
      <c r="AA240" s="6" t="n">
        <f aca="false">Q240*(1+G240)</f>
        <v>258946.730142323</v>
      </c>
      <c r="AB240" s="6" t="n">
        <f aca="false">R240*(1+H240)</f>
        <v>210147.325475137</v>
      </c>
      <c r="AC240" s="6" t="n">
        <f aca="false">S240*(1+I240)</f>
        <v>165681.956284286</v>
      </c>
      <c r="AD240" s="6" t="n">
        <f aca="false">T240*(1+J240)</f>
        <v>120395.742906683</v>
      </c>
      <c r="AE240" s="6" t="n">
        <f aca="false">U240*(1+K240)</f>
        <v>72120.4170886476</v>
      </c>
      <c r="AF240" s="6" t="n">
        <f aca="false">V240*(1+L240)</f>
        <v>23688.5349704126</v>
      </c>
      <c r="AG240" s="6" t="n">
        <f aca="false">MIN(M240:V240)</f>
        <v>22120.4170886476</v>
      </c>
      <c r="AH240" s="19" t="n">
        <f aca="false">IF(AG240&gt;=0,1,0)</f>
        <v>1</v>
      </c>
    </row>
    <row r="241" customFormat="false" ht="15" hidden="false" customHeight="false" outlineLevel="0" collapsed="false">
      <c r="A241" s="0" t="n">
        <f aca="false">ROW()-1</f>
        <v>240</v>
      </c>
      <c r="B241" s="6" t="n">
        <f aca="false">Assumptions!$B$35</f>
        <v>441263.996662504</v>
      </c>
      <c r="C241" s="8" t="n">
        <f aca="true">NORMINV(RAND(),Assumptions!$B$14,Assumptions!$B$15)</f>
        <v>0.00513023589482571</v>
      </c>
      <c r="D241" s="8" t="n">
        <f aca="true">NORMINV(RAND(),Assumptions!$B$14,Assumptions!$B$15)</f>
        <v>0.0379146696034872</v>
      </c>
      <c r="E241" s="8" t="n">
        <f aca="true">NORMINV(RAND(),Assumptions!$B$14,Assumptions!$B$15)</f>
        <v>0.0565190763979392</v>
      </c>
      <c r="F241" s="8" t="n">
        <f aca="true">NORMINV(RAND(),Assumptions!$B$14,Assumptions!$B$15)</f>
        <v>0.0260948864079459</v>
      </c>
      <c r="G241" s="8" t="n">
        <f aca="true">NORMINV(RAND(),Assumptions!$B$14,Assumptions!$B$15)</f>
        <v>0.0770698263691723</v>
      </c>
      <c r="H241" s="8" t="n">
        <f aca="true">NORMINV(RAND(),Assumptions!$B$14,Assumptions!$B$15)</f>
        <v>-0.0499456422454091</v>
      </c>
      <c r="I241" s="8" t="n">
        <f aca="true">NORMINV(RAND(),Assumptions!$B$14,Assumptions!$B$15)</f>
        <v>0.0570609818848073</v>
      </c>
      <c r="J241" s="8" t="n">
        <f aca="true">NORMINV(RAND(),Assumptions!$B$14,Assumptions!$B$15)</f>
        <v>0.0429757131120034</v>
      </c>
      <c r="K241" s="8" t="n">
        <f aca="true">NORMINV(RAND(),Assumptions!$B$14,Assumptions!$B$15)</f>
        <v>0.0212646041794484</v>
      </c>
      <c r="L241" s="8" t="n">
        <f aca="true">NORMINV(RAND(),Assumptions!$B$14,Assumptions!$B$15)</f>
        <v>0.00242014202667581</v>
      </c>
      <c r="M241" s="6" t="n">
        <f aca="false">B241-Assumptions!$B$29</f>
        <v>391263.996662504</v>
      </c>
      <c r="N241" s="6" t="n">
        <f aca="false">W241-Assumptions!$B$29</f>
        <v>343271.273262534</v>
      </c>
      <c r="O241" s="6" t="n">
        <f aca="false">X241-Assumptions!$B$29</f>
        <v>306286.290172652</v>
      </c>
      <c r="P241" s="6" t="n">
        <f aca="false">Y241-Assumptions!$B$29</f>
        <v>273597.308406561</v>
      </c>
      <c r="Q241" s="6" t="n">
        <f aca="false">Z241-Assumptions!$B$29</f>
        <v>230736.79909095</v>
      </c>
      <c r="R241" s="6" t="n">
        <f aca="false">AA241-Assumptions!$B$29</f>
        <v>198519.644133868</v>
      </c>
      <c r="S241" s="6" t="n">
        <f aca="false">AB241-Assumptions!$B$29</f>
        <v>138604.453009272</v>
      </c>
      <c r="T241" s="6" t="n">
        <f aca="false">AC241-Assumptions!$B$29</f>
        <v>96513.359191588</v>
      </c>
      <c r="U241" s="6" t="n">
        <f aca="false">AD241-Assumptions!$B$29</f>
        <v>50661.0896276814</v>
      </c>
      <c r="V241" s="6" t="n">
        <f aca="false">AE241-Assumptions!$B$29</f>
        <v>1738.37764591358</v>
      </c>
      <c r="W241" s="6" t="n">
        <f aca="false">M241*(1+C241)</f>
        <v>393271.273262534</v>
      </c>
      <c r="X241" s="6" t="n">
        <f aca="false">N241*(1+D241)</f>
        <v>356286.290172652</v>
      </c>
      <c r="Y241" s="6" t="n">
        <f aca="false">O241*(1+E241)</f>
        <v>323597.308406561</v>
      </c>
      <c r="Z241" s="6" t="n">
        <f aca="false">P241*(1+F241)</f>
        <v>280736.79909095</v>
      </c>
      <c r="AA241" s="6" t="n">
        <f aca="false">Q241*(1+G241)</f>
        <v>248519.644133868</v>
      </c>
      <c r="AB241" s="6" t="n">
        <f aca="false">R241*(1+H241)</f>
        <v>188604.453009272</v>
      </c>
      <c r="AC241" s="6" t="n">
        <f aca="false">S241*(1+I241)</f>
        <v>146513.359191588</v>
      </c>
      <c r="AD241" s="6" t="n">
        <f aca="false">T241*(1+J241)</f>
        <v>100661.089627681</v>
      </c>
      <c r="AE241" s="6" t="n">
        <f aca="false">U241*(1+K241)</f>
        <v>51738.3776459136</v>
      </c>
      <c r="AF241" s="6" t="n">
        <f aca="false">V241*(1+L241)</f>
        <v>1742.58476671269</v>
      </c>
      <c r="AG241" s="6" t="n">
        <f aca="false">MIN(M241:V241)</f>
        <v>1738.37764591358</v>
      </c>
      <c r="AH241" s="19" t="n">
        <f aca="false">IF(AG241&gt;=0,1,0)</f>
        <v>1</v>
      </c>
    </row>
    <row r="242" customFormat="false" ht="15" hidden="false" customHeight="false" outlineLevel="0" collapsed="false">
      <c r="A242" s="0" t="n">
        <f aca="false">ROW()-1</f>
        <v>241</v>
      </c>
      <c r="B242" s="6" t="n">
        <f aca="false">Assumptions!$B$35</f>
        <v>441263.996662504</v>
      </c>
      <c r="C242" s="8" t="n">
        <f aca="true">NORMINV(RAND(),Assumptions!$B$14,Assumptions!$B$15)</f>
        <v>0.0687413784786775</v>
      </c>
      <c r="D242" s="8" t="n">
        <f aca="true">NORMINV(RAND(),Assumptions!$B$14,Assumptions!$B$15)</f>
        <v>0.10639095964978</v>
      </c>
      <c r="E242" s="8" t="n">
        <f aca="true">NORMINV(RAND(),Assumptions!$B$14,Assumptions!$B$15)</f>
        <v>0.0675794543317974</v>
      </c>
      <c r="F242" s="8" t="n">
        <f aca="true">NORMINV(RAND(),Assumptions!$B$14,Assumptions!$B$15)</f>
        <v>0.050845741683578</v>
      </c>
      <c r="G242" s="8" t="n">
        <f aca="true">NORMINV(RAND(),Assumptions!$B$14,Assumptions!$B$15)</f>
        <v>-0.0157969755148913</v>
      </c>
      <c r="H242" s="8" t="n">
        <f aca="true">NORMINV(RAND(),Assumptions!$B$14,Assumptions!$B$15)</f>
        <v>0.04571822973571</v>
      </c>
      <c r="I242" s="8" t="n">
        <f aca="true">NORMINV(RAND(),Assumptions!$B$14,Assumptions!$B$15)</f>
        <v>0.075907374100622</v>
      </c>
      <c r="J242" s="8" t="n">
        <f aca="true">NORMINV(RAND(),Assumptions!$B$14,Assumptions!$B$15)</f>
        <v>0.0517706146437834</v>
      </c>
      <c r="K242" s="8" t="n">
        <f aca="true">NORMINV(RAND(),Assumptions!$B$14,Assumptions!$B$15)</f>
        <v>0.0532498967072175</v>
      </c>
      <c r="L242" s="8" t="n">
        <f aca="true">NORMINV(RAND(),Assumptions!$B$14,Assumptions!$B$15)</f>
        <v>0.0053867757026</v>
      </c>
      <c r="M242" s="6" t="n">
        <f aca="false">B242-Assumptions!$B$29</f>
        <v>391263.996662504</v>
      </c>
      <c r="N242" s="6" t="n">
        <f aca="false">W242-Assumptions!$B$29</f>
        <v>368160.023142161</v>
      </c>
      <c r="O242" s="6" t="n">
        <f aca="false">X242-Assumptions!$B$29</f>
        <v>357328.92130894</v>
      </c>
      <c r="P242" s="6" t="n">
        <f aca="false">Y242-Assumptions!$B$29</f>
        <v>331477.014827968</v>
      </c>
      <c r="Q242" s="6" t="n">
        <f aca="false">Z242-Assumptions!$B$29</f>
        <v>298331.209497955</v>
      </c>
      <c r="R242" s="6" t="n">
        <f aca="false">AA242-Assumptions!$B$29</f>
        <v>243618.478686188</v>
      </c>
      <c r="S242" s="6" t="n">
        <f aca="false">AB242-Assumptions!$B$29</f>
        <v>204756.284262627</v>
      </c>
      <c r="T242" s="6" t="n">
        <f aca="false">AC242-Assumptions!$B$29</f>
        <v>170298.796131604</v>
      </c>
      <c r="U242" s="6" t="n">
        <f aca="false">AD242-Assumptions!$B$29</f>
        <v>129115.269480433</v>
      </c>
      <c r="V242" s="6" t="n">
        <f aca="false">AE242-Assumptions!$B$29</f>
        <v>85990.6442435906</v>
      </c>
      <c r="W242" s="6" t="n">
        <f aca="false">M242*(1+C242)</f>
        <v>418160.023142161</v>
      </c>
      <c r="X242" s="6" t="n">
        <f aca="false">N242*(1+D242)</f>
        <v>407328.92130894</v>
      </c>
      <c r="Y242" s="6" t="n">
        <f aca="false">O242*(1+E242)</f>
        <v>381477.014827968</v>
      </c>
      <c r="Z242" s="6" t="n">
        <f aca="false">P242*(1+F242)</f>
        <v>348331.209497955</v>
      </c>
      <c r="AA242" s="6" t="n">
        <f aca="false">Q242*(1+G242)</f>
        <v>293618.478686188</v>
      </c>
      <c r="AB242" s="6" t="n">
        <f aca="false">R242*(1+H242)</f>
        <v>254756.284262627</v>
      </c>
      <c r="AC242" s="6" t="n">
        <f aca="false">S242*(1+I242)</f>
        <v>220298.796131604</v>
      </c>
      <c r="AD242" s="6" t="n">
        <f aca="false">T242*(1+J242)</f>
        <v>179115.269480433</v>
      </c>
      <c r="AE242" s="6" t="n">
        <f aca="false">U242*(1+K242)</f>
        <v>135990.644243591</v>
      </c>
      <c r="AF242" s="6" t="n">
        <f aca="false">V242*(1+L242)</f>
        <v>86453.8565566529</v>
      </c>
      <c r="AG242" s="6" t="n">
        <f aca="false">MIN(M242:V242)</f>
        <v>85990.6442435906</v>
      </c>
      <c r="AH242" s="19" t="n">
        <f aca="false">IF(AG242&gt;=0,1,0)</f>
        <v>1</v>
      </c>
    </row>
    <row r="243" customFormat="false" ht="15" hidden="false" customHeight="false" outlineLevel="0" collapsed="false">
      <c r="A243" s="0" t="n">
        <f aca="false">ROW()-1</f>
        <v>242</v>
      </c>
      <c r="B243" s="6" t="n">
        <f aca="false">Assumptions!$B$35</f>
        <v>441263.996662504</v>
      </c>
      <c r="C243" s="8" t="n">
        <f aca="true">NORMINV(RAND(),Assumptions!$B$14,Assumptions!$B$15)</f>
        <v>0.0697130006100212</v>
      </c>
      <c r="D243" s="8" t="n">
        <f aca="true">NORMINV(RAND(),Assumptions!$B$14,Assumptions!$B$15)</f>
        <v>0.0182081188151473</v>
      </c>
      <c r="E243" s="8" t="n">
        <f aca="true">NORMINV(RAND(),Assumptions!$B$14,Assumptions!$B$15)</f>
        <v>0.0811680535498865</v>
      </c>
      <c r="F243" s="8" t="n">
        <f aca="true">NORMINV(RAND(),Assumptions!$B$14,Assumptions!$B$15)</f>
        <v>0.0681677069901278</v>
      </c>
      <c r="G243" s="8" t="n">
        <f aca="true">NORMINV(RAND(),Assumptions!$B$14,Assumptions!$B$15)</f>
        <v>0.0982912780817829</v>
      </c>
      <c r="H243" s="8" t="n">
        <f aca="true">NORMINV(RAND(),Assumptions!$B$14,Assumptions!$B$15)</f>
        <v>0.0615439027680083</v>
      </c>
      <c r="I243" s="8" t="n">
        <f aca="true">NORMINV(RAND(),Assumptions!$B$14,Assumptions!$B$15)</f>
        <v>0.030637571608449</v>
      </c>
      <c r="J243" s="8" t="n">
        <f aca="true">NORMINV(RAND(),Assumptions!$B$14,Assumptions!$B$15)</f>
        <v>0.00440328106671886</v>
      </c>
      <c r="K243" s="8" t="n">
        <f aca="true">NORMINV(RAND(),Assumptions!$B$14,Assumptions!$B$15)</f>
        <v>0.0359120944335672</v>
      </c>
      <c r="L243" s="8" t="n">
        <f aca="true">NORMINV(RAND(),Assumptions!$B$14,Assumptions!$B$15)</f>
        <v>0.0487228213024924</v>
      </c>
      <c r="M243" s="6" t="n">
        <f aca="false">B243-Assumptions!$B$29</f>
        <v>391263.996662504</v>
      </c>
      <c r="N243" s="6" t="n">
        <f aca="false">W243-Assumptions!$B$29</f>
        <v>368540.183900516</v>
      </c>
      <c r="O243" s="6" t="n">
        <f aca="false">X243-Assumptions!$B$29</f>
        <v>325250.607357133</v>
      </c>
      <c r="P243" s="6" t="n">
        <f aca="false">Y243-Assumptions!$B$29</f>
        <v>301650.56607223</v>
      </c>
      <c r="Q243" s="6" t="n">
        <f aca="false">Z243-Assumptions!$B$29</f>
        <v>272213.393473648</v>
      </c>
      <c r="R243" s="6" t="n">
        <f aca="false">AA243-Assumptions!$B$29</f>
        <v>248969.595829152</v>
      </c>
      <c r="S243" s="6" t="n">
        <f aca="false">AB243-Assumptions!$B$29</f>
        <v>214292.156427051</v>
      </c>
      <c r="T243" s="6" t="n">
        <f aca="false">AC243-Assumptions!$B$29</f>
        <v>170857.547714714</v>
      </c>
      <c r="U243" s="6" t="n">
        <f aca="false">AD243-Assumptions!$B$29</f>
        <v>121609.881519672</v>
      </c>
      <c r="V243" s="6" t="n">
        <f aca="false">AE243-Assumptions!$B$29</f>
        <v>75977.1470688617</v>
      </c>
      <c r="W243" s="6" t="n">
        <f aca="false">M243*(1+C243)</f>
        <v>418540.183900516</v>
      </c>
      <c r="X243" s="6" t="n">
        <f aca="false">N243*(1+D243)</f>
        <v>375250.607357133</v>
      </c>
      <c r="Y243" s="6" t="n">
        <f aca="false">O243*(1+E243)</f>
        <v>351650.56607223</v>
      </c>
      <c r="Z243" s="6" t="n">
        <f aca="false">P243*(1+F243)</f>
        <v>322213.393473648</v>
      </c>
      <c r="AA243" s="6" t="n">
        <f aca="false">Q243*(1+G243)</f>
        <v>298969.595829152</v>
      </c>
      <c r="AB243" s="6" t="n">
        <f aca="false">R243*(1+H243)</f>
        <v>264292.156427051</v>
      </c>
      <c r="AC243" s="6" t="n">
        <f aca="false">S243*(1+I243)</f>
        <v>220857.547714714</v>
      </c>
      <c r="AD243" s="6" t="n">
        <f aca="false">T243*(1+J243)</f>
        <v>171609.881519672</v>
      </c>
      <c r="AE243" s="6" t="n">
        <f aca="false">U243*(1+K243)</f>
        <v>125977.147068862</v>
      </c>
      <c r="AF243" s="6" t="n">
        <f aca="false">V243*(1+L243)</f>
        <v>79678.968028571</v>
      </c>
      <c r="AG243" s="6" t="n">
        <f aca="false">MIN(M243:V243)</f>
        <v>75977.1470688617</v>
      </c>
      <c r="AH243" s="19" t="n">
        <f aca="false">IF(AG243&gt;=0,1,0)</f>
        <v>1</v>
      </c>
    </row>
    <row r="244" customFormat="false" ht="15" hidden="false" customHeight="false" outlineLevel="0" collapsed="false">
      <c r="A244" s="0" t="n">
        <f aca="false">ROW()-1</f>
        <v>243</v>
      </c>
      <c r="B244" s="6" t="n">
        <f aca="false">Assumptions!$B$35</f>
        <v>441263.996662504</v>
      </c>
      <c r="C244" s="8" t="n">
        <f aca="true">NORMINV(RAND(),Assumptions!$B$14,Assumptions!$B$15)</f>
        <v>0.0367008857580314</v>
      </c>
      <c r="D244" s="8" t="n">
        <f aca="true">NORMINV(RAND(),Assumptions!$B$14,Assumptions!$B$15)</f>
        <v>0.0573169393250834</v>
      </c>
      <c r="E244" s="8" t="n">
        <f aca="true">NORMINV(RAND(),Assumptions!$B$14,Assumptions!$B$15)</f>
        <v>0.0255260446554607</v>
      </c>
      <c r="F244" s="8" t="n">
        <f aca="true">NORMINV(RAND(),Assumptions!$B$14,Assumptions!$B$15)</f>
        <v>0.0436200312270544</v>
      </c>
      <c r="G244" s="8" t="n">
        <f aca="true">NORMINV(RAND(),Assumptions!$B$14,Assumptions!$B$15)</f>
        <v>0.0749322734139991</v>
      </c>
      <c r="H244" s="8" t="n">
        <f aca="true">NORMINV(RAND(),Assumptions!$B$14,Assumptions!$B$15)</f>
        <v>0.05952952469804</v>
      </c>
      <c r="I244" s="8" t="n">
        <f aca="true">NORMINV(RAND(),Assumptions!$B$14,Assumptions!$B$15)</f>
        <v>0.0564281832156788</v>
      </c>
      <c r="J244" s="8" t="n">
        <f aca="true">NORMINV(RAND(),Assumptions!$B$14,Assumptions!$B$15)</f>
        <v>0.0595162626426468</v>
      </c>
      <c r="K244" s="8" t="n">
        <f aca="true">NORMINV(RAND(),Assumptions!$B$14,Assumptions!$B$15)</f>
        <v>0.0253925108581565</v>
      </c>
      <c r="L244" s="8" t="n">
        <f aca="true">NORMINV(RAND(),Assumptions!$B$14,Assumptions!$B$15)</f>
        <v>0.0708401006270009</v>
      </c>
      <c r="M244" s="6" t="n">
        <f aca="false">B244-Assumptions!$B$29</f>
        <v>391263.996662504</v>
      </c>
      <c r="N244" s="6" t="n">
        <f aca="false">W244-Assumptions!$B$29</f>
        <v>355623.731905245</v>
      </c>
      <c r="O244" s="6" t="n">
        <f aca="false">X244-Assumptions!$B$29</f>
        <v>326006.995769417</v>
      </c>
      <c r="P244" s="6" t="n">
        <f aca="false">Y244-Assumptions!$B$29</f>
        <v>284328.66490142</v>
      </c>
      <c r="Q244" s="6" t="n">
        <f aca="false">Z244-Assumptions!$B$29</f>
        <v>246731.090143167</v>
      </c>
      <c r="R244" s="6" t="n">
        <f aca="false">AA244-Assumptions!$B$29</f>
        <v>215219.211649509</v>
      </c>
      <c r="S244" s="6" t="n">
        <f aca="false">AB244-Assumptions!$B$29</f>
        <v>178031.109024891</v>
      </c>
      <c r="T244" s="6" t="n">
        <f aca="false">AC244-Assumptions!$B$29</f>
        <v>138077.081063038</v>
      </c>
      <c r="U244" s="6" t="n">
        <f aca="false">AD244-Assumptions!$B$29</f>
        <v>96294.9128845155</v>
      </c>
      <c r="V244" s="6" t="n">
        <f aca="false">AE244-Assumptions!$B$29</f>
        <v>48740.0825055208</v>
      </c>
      <c r="W244" s="6" t="n">
        <f aca="false">M244*(1+C244)</f>
        <v>405623.731905245</v>
      </c>
      <c r="X244" s="6" t="n">
        <f aca="false">N244*(1+D244)</f>
        <v>376006.995769417</v>
      </c>
      <c r="Y244" s="6" t="n">
        <f aca="false">O244*(1+E244)</f>
        <v>334328.66490142</v>
      </c>
      <c r="Z244" s="6" t="n">
        <f aca="false">P244*(1+F244)</f>
        <v>296731.090143167</v>
      </c>
      <c r="AA244" s="6" t="n">
        <f aca="false">Q244*(1+G244)</f>
        <v>265219.211649509</v>
      </c>
      <c r="AB244" s="6" t="n">
        <f aca="false">R244*(1+H244)</f>
        <v>228031.109024891</v>
      </c>
      <c r="AC244" s="6" t="n">
        <f aca="false">S244*(1+I244)</f>
        <v>188077.081063038</v>
      </c>
      <c r="AD244" s="6" t="n">
        <f aca="false">T244*(1+J244)</f>
        <v>146294.912884516</v>
      </c>
      <c r="AE244" s="6" t="n">
        <f aca="false">U244*(1+K244)</f>
        <v>98740.0825055208</v>
      </c>
      <c r="AF244" s="6" t="n">
        <f aca="false">V244*(1+L244)</f>
        <v>52192.8348547802</v>
      </c>
      <c r="AG244" s="6" t="n">
        <f aca="false">MIN(M244:V244)</f>
        <v>48740.0825055208</v>
      </c>
      <c r="AH244" s="19" t="n">
        <f aca="false">IF(AG244&gt;=0,1,0)</f>
        <v>1</v>
      </c>
    </row>
    <row r="245" customFormat="false" ht="15" hidden="false" customHeight="false" outlineLevel="0" collapsed="false">
      <c r="A245" s="0" t="n">
        <f aca="false">ROW()-1</f>
        <v>244</v>
      </c>
      <c r="B245" s="6" t="n">
        <f aca="false">Assumptions!$B$35</f>
        <v>441263.996662504</v>
      </c>
      <c r="C245" s="8" t="n">
        <f aca="true">NORMINV(RAND(),Assumptions!$B$14,Assumptions!$B$15)</f>
        <v>-0.0198660857726435</v>
      </c>
      <c r="D245" s="8" t="n">
        <f aca="true">NORMINV(RAND(),Assumptions!$B$14,Assumptions!$B$15)</f>
        <v>0.0426863703325534</v>
      </c>
      <c r="E245" s="8" t="n">
        <f aca="true">NORMINV(RAND(),Assumptions!$B$14,Assumptions!$B$15)</f>
        <v>0.116855459357284</v>
      </c>
      <c r="F245" s="8" t="n">
        <f aca="true">NORMINV(RAND(),Assumptions!$B$14,Assumptions!$B$15)</f>
        <v>0.045386685963673</v>
      </c>
      <c r="G245" s="8" t="n">
        <f aca="true">NORMINV(RAND(),Assumptions!$B$14,Assumptions!$B$15)</f>
        <v>0.113348643266886</v>
      </c>
      <c r="H245" s="8" t="n">
        <f aca="true">NORMINV(RAND(),Assumptions!$B$14,Assumptions!$B$15)</f>
        <v>0.0322401770448667</v>
      </c>
      <c r="I245" s="8" t="n">
        <f aca="true">NORMINV(RAND(),Assumptions!$B$14,Assumptions!$B$15)</f>
        <v>0.0086364961861956</v>
      </c>
      <c r="J245" s="8" t="n">
        <f aca="true">NORMINV(RAND(),Assumptions!$B$14,Assumptions!$B$15)</f>
        <v>0.0906739404090561</v>
      </c>
      <c r="K245" s="8" t="n">
        <f aca="true">NORMINV(RAND(),Assumptions!$B$14,Assumptions!$B$15)</f>
        <v>0.0610484872975078</v>
      </c>
      <c r="L245" s="8" t="n">
        <f aca="true">NORMINV(RAND(),Assumptions!$B$14,Assumptions!$B$15)</f>
        <v>0.0337026513319128</v>
      </c>
      <c r="M245" s="6" t="n">
        <f aca="false">B245-Assumptions!$B$29</f>
        <v>391263.996662504</v>
      </c>
      <c r="N245" s="6" t="n">
        <f aca="false">W245-Assumptions!$B$29</f>
        <v>333491.112545059</v>
      </c>
      <c r="O245" s="6" t="n">
        <f aca="false">X245-Assumptions!$B$29</f>
        <v>297726.637677773</v>
      </c>
      <c r="P245" s="6" t="n">
        <f aca="false">Y245-Assumptions!$B$29</f>
        <v>282517.620686508</v>
      </c>
      <c r="Q245" s="6" t="n">
        <f aca="false">Z245-Assumptions!$B$29</f>
        <v>245340.159215811</v>
      </c>
      <c r="R245" s="6" t="n">
        <f aca="false">AA245-Assumptions!$B$29</f>
        <v>223149.133401805</v>
      </c>
      <c r="S245" s="6" t="n">
        <f aca="false">AB245-Assumptions!$B$29</f>
        <v>180343.500970088</v>
      </c>
      <c r="T245" s="6" t="n">
        <f aca="false">AC245-Assumptions!$B$29</f>
        <v>131901.036928421</v>
      </c>
      <c r="U245" s="6" t="n">
        <f aca="false">AD245-Assumptions!$B$29</f>
        <v>93861.0236907614</v>
      </c>
      <c r="V245" s="6" t="n">
        <f aca="false">AE245-Assumptions!$B$29</f>
        <v>49591.0972032779</v>
      </c>
      <c r="W245" s="6" t="n">
        <f aca="false">M245*(1+C245)</f>
        <v>383491.112545059</v>
      </c>
      <c r="X245" s="6" t="n">
        <f aca="false">N245*(1+D245)</f>
        <v>347726.637677773</v>
      </c>
      <c r="Y245" s="6" t="n">
        <f aca="false">O245*(1+E245)</f>
        <v>332517.620686508</v>
      </c>
      <c r="Z245" s="6" t="n">
        <f aca="false">P245*(1+F245)</f>
        <v>295340.159215811</v>
      </c>
      <c r="AA245" s="6" t="n">
        <f aca="false">Q245*(1+G245)</f>
        <v>273149.133401805</v>
      </c>
      <c r="AB245" s="6" t="n">
        <f aca="false">R245*(1+H245)</f>
        <v>230343.500970088</v>
      </c>
      <c r="AC245" s="6" t="n">
        <f aca="false">S245*(1+I245)</f>
        <v>181901.036928421</v>
      </c>
      <c r="AD245" s="6" t="n">
        <f aca="false">T245*(1+J245)</f>
        <v>143861.023690761</v>
      </c>
      <c r="AE245" s="6" t="n">
        <f aca="false">U245*(1+K245)</f>
        <v>99591.0972032779</v>
      </c>
      <c r="AF245" s="6" t="n">
        <f aca="false">V245*(1+L245)</f>
        <v>51262.448661487</v>
      </c>
      <c r="AG245" s="6" t="n">
        <f aca="false">MIN(M245:V245)</f>
        <v>49591.0972032779</v>
      </c>
      <c r="AH245" s="19" t="n">
        <f aca="false">IF(AG245&gt;=0,1,0)</f>
        <v>1</v>
      </c>
    </row>
    <row r="246" customFormat="false" ht="15" hidden="false" customHeight="false" outlineLevel="0" collapsed="false">
      <c r="A246" s="0" t="n">
        <f aca="false">ROW()-1</f>
        <v>245</v>
      </c>
      <c r="B246" s="6" t="n">
        <f aca="false">Assumptions!$B$35</f>
        <v>441263.996662504</v>
      </c>
      <c r="C246" s="8" t="n">
        <f aca="true">NORMINV(RAND(),Assumptions!$B$14,Assumptions!$B$15)</f>
        <v>0.085238188373949</v>
      </c>
      <c r="D246" s="8" t="n">
        <f aca="true">NORMINV(RAND(),Assumptions!$B$14,Assumptions!$B$15)</f>
        <v>0.0439296823962805</v>
      </c>
      <c r="E246" s="8" t="n">
        <f aca="true">NORMINV(RAND(),Assumptions!$B$14,Assumptions!$B$15)</f>
        <v>0.0730221699243758</v>
      </c>
      <c r="F246" s="8" t="n">
        <f aca="true">NORMINV(RAND(),Assumptions!$B$14,Assumptions!$B$15)</f>
        <v>0.0362082481807136</v>
      </c>
      <c r="G246" s="8" t="n">
        <f aca="true">NORMINV(RAND(),Assumptions!$B$14,Assumptions!$B$15)</f>
        <v>0.0181791835648001</v>
      </c>
      <c r="H246" s="8" t="n">
        <f aca="true">NORMINV(RAND(),Assumptions!$B$14,Assumptions!$B$15)</f>
        <v>0.00967115696908464</v>
      </c>
      <c r="I246" s="8" t="n">
        <f aca="true">NORMINV(RAND(),Assumptions!$B$14,Assumptions!$B$15)</f>
        <v>0.0703449993262985</v>
      </c>
      <c r="J246" s="8" t="n">
        <f aca="true">NORMINV(RAND(),Assumptions!$B$14,Assumptions!$B$15)</f>
        <v>0.0613034370424844</v>
      </c>
      <c r="K246" s="8" t="n">
        <f aca="true">NORMINV(RAND(),Assumptions!$B$14,Assumptions!$B$15)</f>
        <v>0.00847762140665986</v>
      </c>
      <c r="L246" s="8" t="n">
        <f aca="true">NORMINV(RAND(),Assumptions!$B$14,Assumptions!$B$15)</f>
        <v>0.00720007867087559</v>
      </c>
      <c r="M246" s="6" t="n">
        <f aca="false">B246-Assumptions!$B$29</f>
        <v>391263.996662504</v>
      </c>
      <c r="N246" s="6" t="n">
        <f aca="false">W246-Assumptions!$B$29</f>
        <v>374614.630913966</v>
      </c>
      <c r="O246" s="6" t="n">
        <f aca="false">X246-Assumptions!$B$29</f>
        <v>341071.332671017</v>
      </c>
      <c r="P246" s="6" t="n">
        <f aca="false">Y246-Assumptions!$B$29</f>
        <v>315977.101481653</v>
      </c>
      <c r="Q246" s="6" t="n">
        <f aca="false">Z246-Assumptions!$B$29</f>
        <v>277418.078791523</v>
      </c>
      <c r="R246" s="6" t="n">
        <f aca="false">AA246-Assumptions!$B$29</f>
        <v>232461.312970068</v>
      </c>
      <c r="S246" s="6" t="n">
        <f aca="false">AB246-Assumptions!$B$29</f>
        <v>184709.482817041</v>
      </c>
      <c r="T246" s="6" t="n">
        <f aca="false">AC246-Assumptions!$B$29</f>
        <v>147702.871261367</v>
      </c>
      <c r="U246" s="6" t="n">
        <f aca="false">AD246-Assumptions!$B$29</f>
        <v>106757.564930732</v>
      </c>
      <c r="V246" s="6" t="n">
        <f aca="false">AE246-Assumptions!$B$29</f>
        <v>57662.6151485121</v>
      </c>
      <c r="W246" s="6" t="n">
        <f aca="false">M246*(1+C246)</f>
        <v>424614.630913966</v>
      </c>
      <c r="X246" s="6" t="n">
        <f aca="false">N246*(1+D246)</f>
        <v>391071.332671017</v>
      </c>
      <c r="Y246" s="6" t="n">
        <f aca="false">O246*(1+E246)</f>
        <v>365977.101481653</v>
      </c>
      <c r="Z246" s="6" t="n">
        <f aca="false">P246*(1+F246)</f>
        <v>327418.078791523</v>
      </c>
      <c r="AA246" s="6" t="n">
        <f aca="false">Q246*(1+G246)</f>
        <v>282461.312970068</v>
      </c>
      <c r="AB246" s="6" t="n">
        <f aca="false">R246*(1+H246)</f>
        <v>234709.482817041</v>
      </c>
      <c r="AC246" s="6" t="n">
        <f aca="false">S246*(1+I246)</f>
        <v>197702.871261367</v>
      </c>
      <c r="AD246" s="6" t="n">
        <f aca="false">T246*(1+J246)</f>
        <v>156757.564930732</v>
      </c>
      <c r="AE246" s="6" t="n">
        <f aca="false">U246*(1+K246)</f>
        <v>107662.615148512</v>
      </c>
      <c r="AF246" s="6" t="n">
        <f aca="false">V246*(1+L246)</f>
        <v>58077.7905139498</v>
      </c>
      <c r="AG246" s="6" t="n">
        <f aca="false">MIN(M246:V246)</f>
        <v>57662.6151485121</v>
      </c>
      <c r="AH246" s="19" t="n">
        <f aca="false">IF(AG246&gt;=0,1,0)</f>
        <v>1</v>
      </c>
    </row>
    <row r="247" customFormat="false" ht="15" hidden="false" customHeight="false" outlineLevel="0" collapsed="false">
      <c r="A247" s="0" t="n">
        <f aca="false">ROW()-1</f>
        <v>246</v>
      </c>
      <c r="B247" s="6" t="n">
        <f aca="false">Assumptions!$B$35</f>
        <v>441263.996662504</v>
      </c>
      <c r="C247" s="8" t="n">
        <f aca="true">NORMINV(RAND(),Assumptions!$B$14,Assumptions!$B$15)</f>
        <v>0.0147154677708164</v>
      </c>
      <c r="D247" s="8" t="n">
        <f aca="true">NORMINV(RAND(),Assumptions!$B$14,Assumptions!$B$15)</f>
        <v>0.0852491064809321</v>
      </c>
      <c r="E247" s="8" t="n">
        <f aca="true">NORMINV(RAND(),Assumptions!$B$14,Assumptions!$B$15)</f>
        <v>0.0257810572909023</v>
      </c>
      <c r="F247" s="8" t="n">
        <f aca="true">NORMINV(RAND(),Assumptions!$B$14,Assumptions!$B$15)</f>
        <v>0.0510823572923098</v>
      </c>
      <c r="G247" s="8" t="n">
        <f aca="true">NORMINV(RAND(),Assumptions!$B$14,Assumptions!$B$15)</f>
        <v>0.0114684391057414</v>
      </c>
      <c r="H247" s="8" t="n">
        <f aca="true">NORMINV(RAND(),Assumptions!$B$14,Assumptions!$B$15)</f>
        <v>0.0662308030113983</v>
      </c>
      <c r="I247" s="8" t="n">
        <f aca="true">NORMINV(RAND(),Assumptions!$B$14,Assumptions!$B$15)</f>
        <v>0.0749907543992998</v>
      </c>
      <c r="J247" s="8" t="n">
        <f aca="true">NORMINV(RAND(),Assumptions!$B$14,Assumptions!$B$15)</f>
        <v>0.0187957694044423</v>
      </c>
      <c r="K247" s="8" t="n">
        <f aca="true">NORMINV(RAND(),Assumptions!$B$14,Assumptions!$B$15)</f>
        <v>0.0121241908303201</v>
      </c>
      <c r="L247" s="8" t="n">
        <f aca="true">NORMINV(RAND(),Assumptions!$B$14,Assumptions!$B$15)</f>
        <v>0.0608694148891339</v>
      </c>
      <c r="M247" s="6" t="n">
        <f aca="false">B247-Assumptions!$B$29</f>
        <v>391263.996662504</v>
      </c>
      <c r="N247" s="6" t="n">
        <f aca="false">W247-Assumptions!$B$29</f>
        <v>347021.629395271</v>
      </c>
      <c r="O247" s="6" t="n">
        <f aca="false">X247-Assumptions!$B$29</f>
        <v>326604.913230775</v>
      </c>
      <c r="P247" s="6" t="n">
        <f aca="false">Y247-Assumptions!$B$29</f>
        <v>285025.133210268</v>
      </c>
      <c r="Q247" s="6" t="n">
        <f aca="false">Z247-Assumptions!$B$29</f>
        <v>249584.888902203</v>
      </c>
      <c r="R247" s="6" t="n">
        <f aca="false">AA247-Assumptions!$B$29</f>
        <v>202447.238002292</v>
      </c>
      <c r="S247" s="6" t="n">
        <f aca="false">AB247-Assumptions!$B$29</f>
        <v>165855.481142623</v>
      </c>
      <c r="T247" s="6" t="n">
        <f aca="false">AC247-Assumptions!$B$29</f>
        <v>128293.108794767</v>
      </c>
      <c r="U247" s="6" t="n">
        <f aca="false">AD247-Assumptions!$B$29</f>
        <v>80704.4764838526</v>
      </c>
      <c r="V247" s="6" t="n">
        <f aca="false">AE247-Assumptions!$B$29</f>
        <v>31682.9529576039</v>
      </c>
      <c r="W247" s="6" t="n">
        <f aca="false">M247*(1+C247)</f>
        <v>397021.629395271</v>
      </c>
      <c r="X247" s="6" t="n">
        <f aca="false">N247*(1+D247)</f>
        <v>376604.913230775</v>
      </c>
      <c r="Y247" s="6" t="n">
        <f aca="false">O247*(1+E247)</f>
        <v>335025.133210268</v>
      </c>
      <c r="Z247" s="6" t="n">
        <f aca="false">P247*(1+F247)</f>
        <v>299584.888902203</v>
      </c>
      <c r="AA247" s="6" t="n">
        <f aca="false">Q247*(1+G247)</f>
        <v>252447.238002292</v>
      </c>
      <c r="AB247" s="6" t="n">
        <f aca="false">R247*(1+H247)</f>
        <v>215855.481142623</v>
      </c>
      <c r="AC247" s="6" t="n">
        <f aca="false">S247*(1+I247)</f>
        <v>178293.108794767</v>
      </c>
      <c r="AD247" s="6" t="n">
        <f aca="false">T247*(1+J247)</f>
        <v>130704.476483853</v>
      </c>
      <c r="AE247" s="6" t="n">
        <f aca="false">U247*(1+K247)</f>
        <v>81682.9529576039</v>
      </c>
      <c r="AF247" s="6" t="n">
        <f aca="false">V247*(1+L247)</f>
        <v>33611.4757660932</v>
      </c>
      <c r="AG247" s="6" t="n">
        <f aca="false">MIN(M247:V247)</f>
        <v>31682.9529576039</v>
      </c>
      <c r="AH247" s="19" t="n">
        <f aca="false">IF(AG247&gt;=0,1,0)</f>
        <v>1</v>
      </c>
    </row>
    <row r="248" customFormat="false" ht="15" hidden="false" customHeight="false" outlineLevel="0" collapsed="false">
      <c r="A248" s="0" t="n">
        <f aca="false">ROW()-1</f>
        <v>247</v>
      </c>
      <c r="B248" s="6" t="n">
        <f aca="false">Assumptions!$B$35</f>
        <v>441263.996662504</v>
      </c>
      <c r="C248" s="8" t="n">
        <f aca="true">NORMINV(RAND(),Assumptions!$B$14,Assumptions!$B$15)</f>
        <v>0.0451475619044794</v>
      </c>
      <c r="D248" s="8" t="n">
        <f aca="true">NORMINV(RAND(),Assumptions!$B$14,Assumptions!$B$15)</f>
        <v>0.0836882442170523</v>
      </c>
      <c r="E248" s="8" t="n">
        <f aca="true">NORMINV(RAND(),Assumptions!$B$14,Assumptions!$B$15)</f>
        <v>0.0409967829779044</v>
      </c>
      <c r="F248" s="8" t="n">
        <f aca="true">NORMINV(RAND(),Assumptions!$B$14,Assumptions!$B$15)</f>
        <v>0.0657780261259876</v>
      </c>
      <c r="G248" s="8" t="n">
        <f aca="true">NORMINV(RAND(),Assumptions!$B$14,Assumptions!$B$15)</f>
        <v>0.0620713378987735</v>
      </c>
      <c r="H248" s="8" t="n">
        <f aca="true">NORMINV(RAND(),Assumptions!$B$14,Assumptions!$B$15)</f>
        <v>0.0415545117095267</v>
      </c>
      <c r="I248" s="8" t="n">
        <f aca="true">NORMINV(RAND(),Assumptions!$B$14,Assumptions!$B$15)</f>
        <v>0.0303620235860269</v>
      </c>
      <c r="J248" s="8" t="n">
        <f aca="true">NORMINV(RAND(),Assumptions!$B$14,Assumptions!$B$15)</f>
        <v>-0.0079743661027899</v>
      </c>
      <c r="K248" s="8" t="n">
        <f aca="true">NORMINV(RAND(),Assumptions!$B$14,Assumptions!$B$15)</f>
        <v>0.0519876488189081</v>
      </c>
      <c r="L248" s="8" t="n">
        <f aca="true">NORMINV(RAND(),Assumptions!$B$14,Assumptions!$B$15)</f>
        <v>0.0785998318719071</v>
      </c>
      <c r="M248" s="6" t="n">
        <f aca="false">B248-Assumptions!$B$29</f>
        <v>391263.996662504</v>
      </c>
      <c r="N248" s="6" t="n">
        <f aca="false">W248-Assumptions!$B$29</f>
        <v>358928.612172818</v>
      </c>
      <c r="O248" s="6" t="n">
        <f aca="false">X248-Assumptions!$B$29</f>
        <v>338966.717524824</v>
      </c>
      <c r="P248" s="6" t="n">
        <f aca="false">Y248-Assumptions!$B$29</f>
        <v>302863.262479922</v>
      </c>
      <c r="Q248" s="6" t="n">
        <f aca="false">Z248-Assumptions!$B$29</f>
        <v>272785.010071928</v>
      </c>
      <c r="R248" s="6" t="n">
        <f aca="false">AA248-Assumptions!$B$29</f>
        <v>239717.140605823</v>
      </c>
      <c r="S248" s="6" t="n">
        <f aca="false">AB248-Assumptions!$B$29</f>
        <v>199678.469332102</v>
      </c>
      <c r="T248" s="6" t="n">
        <f aca="false">AC248-Assumptions!$B$29</f>
        <v>155741.111727585</v>
      </c>
      <c r="U248" s="6" t="n">
        <f aca="false">AD248-Assumptions!$B$29</f>
        <v>104499.175085414</v>
      </c>
      <c r="V248" s="6" t="n">
        <f aca="false">AE248-Assumptions!$B$29</f>
        <v>59931.8415016203</v>
      </c>
      <c r="W248" s="6" t="n">
        <f aca="false">M248*(1+C248)</f>
        <v>408928.612172818</v>
      </c>
      <c r="X248" s="6" t="n">
        <f aca="false">N248*(1+D248)</f>
        <v>388966.717524824</v>
      </c>
      <c r="Y248" s="6" t="n">
        <f aca="false">O248*(1+E248)</f>
        <v>352863.262479922</v>
      </c>
      <c r="Z248" s="6" t="n">
        <f aca="false">P248*(1+F248)</f>
        <v>322785.010071928</v>
      </c>
      <c r="AA248" s="6" t="n">
        <f aca="false">Q248*(1+G248)</f>
        <v>289717.140605823</v>
      </c>
      <c r="AB248" s="6" t="n">
        <f aca="false">R248*(1+H248)</f>
        <v>249678.469332102</v>
      </c>
      <c r="AC248" s="6" t="n">
        <f aca="false">S248*(1+I248)</f>
        <v>205741.111727585</v>
      </c>
      <c r="AD248" s="6" t="n">
        <f aca="false">T248*(1+J248)</f>
        <v>154499.175085414</v>
      </c>
      <c r="AE248" s="6" t="n">
        <f aca="false">U248*(1+K248)</f>
        <v>109931.84150162</v>
      </c>
      <c r="AF248" s="6" t="n">
        <f aca="false">V248*(1+L248)</f>
        <v>64642.4741674214</v>
      </c>
      <c r="AG248" s="6" t="n">
        <f aca="false">MIN(M248:V248)</f>
        <v>59931.8415016203</v>
      </c>
      <c r="AH248" s="19" t="n">
        <f aca="false">IF(AG248&gt;=0,1,0)</f>
        <v>1</v>
      </c>
    </row>
    <row r="249" customFormat="false" ht="15" hidden="false" customHeight="false" outlineLevel="0" collapsed="false">
      <c r="A249" s="0" t="n">
        <f aca="false">ROW()-1</f>
        <v>248</v>
      </c>
      <c r="B249" s="6" t="n">
        <f aca="false">Assumptions!$B$35</f>
        <v>441263.996662504</v>
      </c>
      <c r="C249" s="8" t="n">
        <f aca="true">NORMINV(RAND(),Assumptions!$B$14,Assumptions!$B$15)</f>
        <v>0.0727399302103138</v>
      </c>
      <c r="D249" s="8" t="n">
        <f aca="true">NORMINV(RAND(),Assumptions!$B$14,Assumptions!$B$15)</f>
        <v>0.0464279815928473</v>
      </c>
      <c r="E249" s="8" t="n">
        <f aca="true">NORMINV(RAND(),Assumptions!$B$14,Assumptions!$B$15)</f>
        <v>0.0164816665781111</v>
      </c>
      <c r="F249" s="8" t="n">
        <f aca="true">NORMINV(RAND(),Assumptions!$B$14,Assumptions!$B$15)</f>
        <v>0.0351806696325184</v>
      </c>
      <c r="G249" s="8" t="n">
        <f aca="true">NORMINV(RAND(),Assumptions!$B$14,Assumptions!$B$15)</f>
        <v>0.0589358670967046</v>
      </c>
      <c r="H249" s="8" t="n">
        <f aca="true">NORMINV(RAND(),Assumptions!$B$14,Assumptions!$B$15)</f>
        <v>0.0517417050885068</v>
      </c>
      <c r="I249" s="8" t="n">
        <f aca="true">NORMINV(RAND(),Assumptions!$B$14,Assumptions!$B$15)</f>
        <v>0.0715234039399438</v>
      </c>
      <c r="J249" s="8" t="n">
        <f aca="true">NORMINV(RAND(),Assumptions!$B$14,Assumptions!$B$15)</f>
        <v>0.0744627245363298</v>
      </c>
      <c r="K249" s="8" t="n">
        <f aca="true">NORMINV(RAND(),Assumptions!$B$14,Assumptions!$B$15)</f>
        <v>0.057559411061996</v>
      </c>
      <c r="L249" s="8" t="n">
        <f aca="true">NORMINV(RAND(),Assumptions!$B$14,Assumptions!$B$15)</f>
        <v>0.0102141418636218</v>
      </c>
      <c r="M249" s="6" t="n">
        <f aca="false">B249-Assumptions!$B$29</f>
        <v>391263.996662504</v>
      </c>
      <c r="N249" s="6" t="n">
        <f aca="false">W249-Assumptions!$B$29</f>
        <v>369724.512473543</v>
      </c>
      <c r="O249" s="6" t="n">
        <f aca="false">X249-Assumptions!$B$29</f>
        <v>336890.075333089</v>
      </c>
      <c r="P249" s="6" t="n">
        <f aca="false">Y249-Assumptions!$B$29</f>
        <v>292442.585228203</v>
      </c>
      <c r="Q249" s="6" t="n">
        <f aca="false">Z249-Assumptions!$B$29</f>
        <v>252730.911205596</v>
      </c>
      <c r="R249" s="6" t="n">
        <f aca="false">AA249-Assumptions!$B$29</f>
        <v>217625.826599638</v>
      </c>
      <c r="S249" s="6" t="n">
        <f aca="false">AB249-Assumptions!$B$29</f>
        <v>178886.157939199</v>
      </c>
      <c r="T249" s="6" t="n">
        <f aca="false">AC249-Assumptions!$B$29</f>
        <v>141680.704872749</v>
      </c>
      <c r="U249" s="6" t="n">
        <f aca="false">AD249-Assumptions!$B$29</f>
        <v>102230.636171802</v>
      </c>
      <c r="V249" s="6" t="n">
        <f aca="false">AE249-Assumptions!$B$29</f>
        <v>58114.9713823439</v>
      </c>
      <c r="W249" s="6" t="n">
        <f aca="false">M249*(1+C249)</f>
        <v>419724.512473543</v>
      </c>
      <c r="X249" s="6" t="n">
        <f aca="false">N249*(1+D249)</f>
        <v>386890.075333089</v>
      </c>
      <c r="Y249" s="6" t="n">
        <f aca="false">O249*(1+E249)</f>
        <v>342442.585228203</v>
      </c>
      <c r="Z249" s="6" t="n">
        <f aca="false">P249*(1+F249)</f>
        <v>302730.911205596</v>
      </c>
      <c r="AA249" s="6" t="n">
        <f aca="false">Q249*(1+G249)</f>
        <v>267625.826599638</v>
      </c>
      <c r="AB249" s="6" t="n">
        <f aca="false">R249*(1+H249)</f>
        <v>228886.157939199</v>
      </c>
      <c r="AC249" s="6" t="n">
        <f aca="false">S249*(1+I249)</f>
        <v>191680.704872749</v>
      </c>
      <c r="AD249" s="6" t="n">
        <f aca="false">T249*(1+J249)</f>
        <v>152230.636171802</v>
      </c>
      <c r="AE249" s="6" t="n">
        <f aca="false">U249*(1+K249)</f>
        <v>108114.971382344</v>
      </c>
      <c r="AF249" s="6" t="n">
        <f aca="false">V249*(1+L249)</f>
        <v>58708.5659444435</v>
      </c>
      <c r="AG249" s="6" t="n">
        <f aca="false">MIN(M249:V249)</f>
        <v>58114.9713823439</v>
      </c>
      <c r="AH249" s="19" t="n">
        <f aca="false">IF(AG249&gt;=0,1,0)</f>
        <v>1</v>
      </c>
    </row>
    <row r="250" customFormat="false" ht="15" hidden="false" customHeight="false" outlineLevel="0" collapsed="false">
      <c r="A250" s="0" t="n">
        <f aca="false">ROW()-1</f>
        <v>249</v>
      </c>
      <c r="B250" s="6" t="n">
        <f aca="false">Assumptions!$B$35</f>
        <v>441263.996662504</v>
      </c>
      <c r="C250" s="8" t="n">
        <f aca="true">NORMINV(RAND(),Assumptions!$B$14,Assumptions!$B$15)</f>
        <v>0.0953355610762015</v>
      </c>
      <c r="D250" s="8" t="n">
        <f aca="true">NORMINV(RAND(),Assumptions!$B$14,Assumptions!$B$15)</f>
        <v>0.0336984858555958</v>
      </c>
      <c r="E250" s="8" t="n">
        <f aca="true">NORMINV(RAND(),Assumptions!$B$14,Assumptions!$B$15)</f>
        <v>0.0744838395259737</v>
      </c>
      <c r="F250" s="8" t="n">
        <f aca="true">NORMINV(RAND(),Assumptions!$B$14,Assumptions!$B$15)</f>
        <v>0.0306305265330229</v>
      </c>
      <c r="G250" s="8" t="n">
        <f aca="true">NORMINV(RAND(),Assumptions!$B$14,Assumptions!$B$15)</f>
        <v>0.0312689431001658</v>
      </c>
      <c r="H250" s="8" t="n">
        <f aca="true">NORMINV(RAND(),Assumptions!$B$14,Assumptions!$B$15)</f>
        <v>-0.00569319712028195</v>
      </c>
      <c r="I250" s="8" t="n">
        <f aca="true">NORMINV(RAND(),Assumptions!$B$14,Assumptions!$B$15)</f>
        <v>0.0681959639195154</v>
      </c>
      <c r="J250" s="8" t="n">
        <f aca="true">NORMINV(RAND(),Assumptions!$B$14,Assumptions!$B$15)</f>
        <v>0.0753774380714141</v>
      </c>
      <c r="K250" s="8" t="n">
        <f aca="true">NORMINV(RAND(),Assumptions!$B$14,Assumptions!$B$15)</f>
        <v>0.0265147742348002</v>
      </c>
      <c r="L250" s="8" t="n">
        <f aca="true">NORMINV(RAND(),Assumptions!$B$14,Assumptions!$B$15)</f>
        <v>0.0839119077488033</v>
      </c>
      <c r="M250" s="6" t="n">
        <f aca="false">B250-Assumptions!$B$29</f>
        <v>391263.996662504</v>
      </c>
      <c r="N250" s="6" t="n">
        <f aca="false">W250-Assumptions!$B$29</f>
        <v>378565.36931324</v>
      </c>
      <c r="O250" s="6" t="n">
        <f aca="false">X250-Assumptions!$B$29</f>
        <v>341322.449056461</v>
      </c>
      <c r="P250" s="6" t="n">
        <f aca="false">Y250-Assumptions!$B$29</f>
        <v>316745.455578595</v>
      </c>
      <c r="Q250" s="6" t="n">
        <f aca="false">Z250-Assumptions!$B$29</f>
        <v>276447.535659909</v>
      </c>
      <c r="R250" s="6" t="n">
        <f aca="false">AA250-Assumptions!$B$29</f>
        <v>235091.75792264</v>
      </c>
      <c r="S250" s="6" t="n">
        <f aca="false">AB250-Assumptions!$B$29</f>
        <v>183753.334203433</v>
      </c>
      <c r="T250" s="6" t="n">
        <f aca="false">AC250-Assumptions!$B$29</f>
        <v>146284.569952861</v>
      </c>
      <c r="U250" s="6" t="n">
        <f aca="false">AD250-Assumptions!$B$29</f>
        <v>107311.126065286</v>
      </c>
      <c r="V250" s="6" t="n">
        <f aca="false">AE250-Assumptions!$B$29</f>
        <v>60156.4563457892</v>
      </c>
      <c r="W250" s="6" t="n">
        <f aca="false">M250*(1+C250)</f>
        <v>428565.36931324</v>
      </c>
      <c r="X250" s="6" t="n">
        <f aca="false">N250*(1+D250)</f>
        <v>391322.449056461</v>
      </c>
      <c r="Y250" s="6" t="n">
        <f aca="false">O250*(1+E250)</f>
        <v>366745.455578595</v>
      </c>
      <c r="Z250" s="6" t="n">
        <f aca="false">P250*(1+F250)</f>
        <v>326447.535659909</v>
      </c>
      <c r="AA250" s="6" t="n">
        <f aca="false">Q250*(1+G250)</f>
        <v>285091.75792264</v>
      </c>
      <c r="AB250" s="6" t="n">
        <f aca="false">R250*(1+H250)</f>
        <v>233753.334203433</v>
      </c>
      <c r="AC250" s="6" t="n">
        <f aca="false">S250*(1+I250)</f>
        <v>196284.569952861</v>
      </c>
      <c r="AD250" s="6" t="n">
        <f aca="false">T250*(1+J250)</f>
        <v>157311.126065286</v>
      </c>
      <c r="AE250" s="6" t="n">
        <f aca="false">U250*(1+K250)</f>
        <v>110156.456345789</v>
      </c>
      <c r="AF250" s="6" t="n">
        <f aca="false">V250*(1+L250)</f>
        <v>65204.299361172</v>
      </c>
      <c r="AG250" s="6" t="n">
        <f aca="false">MIN(M250:V250)</f>
        <v>60156.4563457892</v>
      </c>
      <c r="AH250" s="19" t="n">
        <f aca="false">IF(AG250&gt;=0,1,0)</f>
        <v>1</v>
      </c>
    </row>
    <row r="251" customFormat="false" ht="15" hidden="false" customHeight="false" outlineLevel="0" collapsed="false">
      <c r="A251" s="0" t="n">
        <f aca="false">ROW()-1</f>
        <v>250</v>
      </c>
      <c r="B251" s="6" t="n">
        <f aca="false">Assumptions!$B$35</f>
        <v>441263.996662504</v>
      </c>
      <c r="C251" s="8" t="n">
        <f aca="true">NORMINV(RAND(),Assumptions!$B$14,Assumptions!$B$15)</f>
        <v>0.0386747934694705</v>
      </c>
      <c r="D251" s="8" t="n">
        <f aca="true">NORMINV(RAND(),Assumptions!$B$14,Assumptions!$B$15)</f>
        <v>0.0193903044852186</v>
      </c>
      <c r="E251" s="8" t="n">
        <f aca="true">NORMINV(RAND(),Assumptions!$B$14,Assumptions!$B$15)</f>
        <v>0.0546395887712385</v>
      </c>
      <c r="F251" s="8" t="n">
        <f aca="true">NORMINV(RAND(),Assumptions!$B$14,Assumptions!$B$15)</f>
        <v>0.0527817999200592</v>
      </c>
      <c r="G251" s="8" t="n">
        <f aca="true">NORMINV(RAND(),Assumptions!$B$14,Assumptions!$B$15)</f>
        <v>0.0233202793068479</v>
      </c>
      <c r="H251" s="8" t="n">
        <f aca="true">NORMINV(RAND(),Assumptions!$B$14,Assumptions!$B$15)</f>
        <v>0.0207397199508798</v>
      </c>
      <c r="I251" s="8" t="n">
        <f aca="true">NORMINV(RAND(),Assumptions!$B$14,Assumptions!$B$15)</f>
        <v>0.0584837132960503</v>
      </c>
      <c r="J251" s="8" t="n">
        <f aca="true">NORMINV(RAND(),Assumptions!$B$14,Assumptions!$B$15)</f>
        <v>0.0471413919060725</v>
      </c>
      <c r="K251" s="8" t="n">
        <f aca="true">NORMINV(RAND(),Assumptions!$B$14,Assumptions!$B$15)</f>
        <v>0.0253221388847313</v>
      </c>
      <c r="L251" s="8" t="n">
        <f aca="true">NORMINV(RAND(),Assumptions!$B$14,Assumptions!$B$15)</f>
        <v>-8.90571518832178E-006</v>
      </c>
      <c r="M251" s="6" t="n">
        <f aca="false">B251-Assumptions!$B$29</f>
        <v>391263.996662504</v>
      </c>
      <c r="N251" s="6" t="n">
        <f aca="false">W251-Assumptions!$B$29</f>
        <v>356396.050925465</v>
      </c>
      <c r="O251" s="6" t="n">
        <f aca="false">X251-Assumptions!$B$29</f>
        <v>313306.67887024</v>
      </c>
      <c r="P251" s="6" t="n">
        <f aca="false">Y251-Assumptions!$B$29</f>
        <v>280425.626962992</v>
      </c>
      <c r="Q251" s="6" t="n">
        <f aca="false">Z251-Assumptions!$B$29</f>
        <v>245226.99629781</v>
      </c>
      <c r="R251" s="6" t="n">
        <f aca="false">AA251-Assumptions!$B$29</f>
        <v>200945.758345054</v>
      </c>
      <c r="S251" s="6" t="n">
        <f aca="false">AB251-Assumptions!$B$29</f>
        <v>155113.317098448</v>
      </c>
      <c r="T251" s="6" t="n">
        <f aca="false">AC251-Assumptions!$B$29</f>
        <v>114184.919864033</v>
      </c>
      <c r="U251" s="6" t="n">
        <f aca="false">AD251-Assumptions!$B$29</f>
        <v>69567.7559211064</v>
      </c>
      <c r="V251" s="6" t="n">
        <f aca="false">AE251-Assumptions!$B$29</f>
        <v>21329.3602984398</v>
      </c>
      <c r="W251" s="6" t="n">
        <f aca="false">M251*(1+C251)</f>
        <v>406396.050925465</v>
      </c>
      <c r="X251" s="6" t="n">
        <f aca="false">N251*(1+D251)</f>
        <v>363306.67887024</v>
      </c>
      <c r="Y251" s="6" t="n">
        <f aca="false">O251*(1+E251)</f>
        <v>330425.626962992</v>
      </c>
      <c r="Z251" s="6" t="n">
        <f aca="false">P251*(1+F251)</f>
        <v>295226.99629781</v>
      </c>
      <c r="AA251" s="6" t="n">
        <f aca="false">Q251*(1+G251)</f>
        <v>250945.758345054</v>
      </c>
      <c r="AB251" s="6" t="n">
        <f aca="false">R251*(1+H251)</f>
        <v>205113.317098448</v>
      </c>
      <c r="AC251" s="6" t="n">
        <f aca="false">S251*(1+I251)</f>
        <v>164184.919864033</v>
      </c>
      <c r="AD251" s="6" t="n">
        <f aca="false">T251*(1+J251)</f>
        <v>119567.755921106</v>
      </c>
      <c r="AE251" s="6" t="n">
        <f aca="false">U251*(1+K251)</f>
        <v>71329.3602984398</v>
      </c>
      <c r="AF251" s="6" t="n">
        <f aca="false">V251*(1+L251)</f>
        <v>21329.1703452318</v>
      </c>
      <c r="AG251" s="6" t="n">
        <f aca="false">MIN(M251:V251)</f>
        <v>21329.3602984398</v>
      </c>
      <c r="AH251" s="19" t="n">
        <f aca="false">IF(AG251&gt;=0,1,0)</f>
        <v>1</v>
      </c>
    </row>
    <row r="252" customFormat="false" ht="15" hidden="false" customHeight="false" outlineLevel="0" collapsed="false">
      <c r="A252" s="0" t="n">
        <f aca="false">ROW()-1</f>
        <v>251</v>
      </c>
      <c r="B252" s="6" t="n">
        <f aca="false">Assumptions!$B$35</f>
        <v>441263.996662504</v>
      </c>
      <c r="C252" s="8" t="n">
        <f aca="true">NORMINV(RAND(),Assumptions!$B$14,Assumptions!$B$15)</f>
        <v>0.0523760514806163</v>
      </c>
      <c r="D252" s="8" t="n">
        <f aca="true">NORMINV(RAND(),Assumptions!$B$14,Assumptions!$B$15)</f>
        <v>0.0182453143062836</v>
      </c>
      <c r="E252" s="8" t="n">
        <f aca="true">NORMINV(RAND(),Assumptions!$B$14,Assumptions!$B$15)</f>
        <v>0.0255050773218413</v>
      </c>
      <c r="F252" s="8" t="n">
        <f aca="true">NORMINV(RAND(),Assumptions!$B$14,Assumptions!$B$15)</f>
        <v>0.0147249803266331</v>
      </c>
      <c r="G252" s="8" t="n">
        <f aca="true">NORMINV(RAND(),Assumptions!$B$14,Assumptions!$B$15)</f>
        <v>0.0169745212293384</v>
      </c>
      <c r="H252" s="8" t="n">
        <f aca="true">NORMINV(RAND(),Assumptions!$B$14,Assumptions!$B$15)</f>
        <v>0.0667225058915081</v>
      </c>
      <c r="I252" s="8" t="n">
        <f aca="true">NORMINV(RAND(),Assumptions!$B$14,Assumptions!$B$15)</f>
        <v>0.0945035548941272</v>
      </c>
      <c r="J252" s="8" t="n">
        <f aca="true">NORMINV(RAND(),Assumptions!$B$14,Assumptions!$B$15)</f>
        <v>0.0618612482607877</v>
      </c>
      <c r="K252" s="8" t="n">
        <f aca="true">NORMINV(RAND(),Assumptions!$B$14,Assumptions!$B$15)</f>
        <v>0.0431633635758361</v>
      </c>
      <c r="L252" s="8" t="n">
        <f aca="true">NORMINV(RAND(),Assumptions!$B$14,Assumptions!$B$15)</f>
        <v>-0.00344585150817574</v>
      </c>
      <c r="M252" s="6" t="n">
        <f aca="false">B252-Assumptions!$B$29</f>
        <v>391263.996662504</v>
      </c>
      <c r="N252" s="6" t="n">
        <f aca="false">W252-Assumptions!$B$29</f>
        <v>361756.859894211</v>
      </c>
      <c r="O252" s="6" t="n">
        <f aca="false">X252-Assumptions!$B$29</f>
        <v>318357.227505435</v>
      </c>
      <c r="P252" s="6" t="n">
        <f aca="false">Y252-Assumptions!$B$29</f>
        <v>276476.953208928</v>
      </c>
      <c r="Q252" s="6" t="n">
        <f aca="false">Z252-Assumptions!$B$29</f>
        <v>230548.070905697</v>
      </c>
      <c r="R252" s="6" t="n">
        <f aca="false">AA252-Assumptions!$B$29</f>
        <v>184461.514029668</v>
      </c>
      <c r="S252" s="6" t="n">
        <f aca="false">AB252-Assumptions!$B$29</f>
        <v>146769.248486269</v>
      </c>
      <c r="T252" s="6" t="n">
        <f aca="false">AC252-Assumptions!$B$29</f>
        <v>110639.464217361</v>
      </c>
      <c r="U252" s="6" t="n">
        <f aca="false">AD252-Assumptions!$B$29</f>
        <v>67483.7595807521</v>
      </c>
      <c r="V252" s="6" t="n">
        <f aca="false">AE252-Assumptions!$B$29</f>
        <v>20396.5856310005</v>
      </c>
      <c r="W252" s="6" t="n">
        <f aca="false">M252*(1+C252)</f>
        <v>411756.859894211</v>
      </c>
      <c r="X252" s="6" t="n">
        <f aca="false">N252*(1+D252)</f>
        <v>368357.227505435</v>
      </c>
      <c r="Y252" s="6" t="n">
        <f aca="false">O252*(1+E252)</f>
        <v>326476.953208928</v>
      </c>
      <c r="Z252" s="6" t="n">
        <f aca="false">P252*(1+F252)</f>
        <v>280548.070905697</v>
      </c>
      <c r="AA252" s="6" t="n">
        <f aca="false">Q252*(1+G252)</f>
        <v>234461.514029668</v>
      </c>
      <c r="AB252" s="6" t="n">
        <f aca="false">R252*(1+H252)</f>
        <v>196769.248486269</v>
      </c>
      <c r="AC252" s="6" t="n">
        <f aca="false">S252*(1+I252)</f>
        <v>160639.464217361</v>
      </c>
      <c r="AD252" s="6" t="n">
        <f aca="false">T252*(1+J252)</f>
        <v>117483.759580752</v>
      </c>
      <c r="AE252" s="6" t="n">
        <f aca="false">U252*(1+K252)</f>
        <v>70396.5856310005</v>
      </c>
      <c r="AF252" s="6" t="n">
        <f aca="false">V252*(1+L252)</f>
        <v>20326.3020256422</v>
      </c>
      <c r="AG252" s="6" t="n">
        <f aca="false">MIN(M252:V252)</f>
        <v>20396.5856310005</v>
      </c>
      <c r="AH252" s="19" t="n">
        <f aca="false">IF(AG252&gt;=0,1,0)</f>
        <v>1</v>
      </c>
    </row>
    <row r="253" customFormat="false" ht="15" hidden="false" customHeight="false" outlineLevel="0" collapsed="false">
      <c r="A253" s="0" t="n">
        <f aca="false">ROW()-1</f>
        <v>252</v>
      </c>
      <c r="B253" s="6" t="n">
        <f aca="false">Assumptions!$B$35</f>
        <v>441263.996662504</v>
      </c>
      <c r="C253" s="8" t="n">
        <f aca="true">NORMINV(RAND(),Assumptions!$B$14,Assumptions!$B$15)</f>
        <v>0.0226939482658421</v>
      </c>
      <c r="D253" s="8" t="n">
        <f aca="true">NORMINV(RAND(),Assumptions!$B$14,Assumptions!$B$15)</f>
        <v>0.0867571148660185</v>
      </c>
      <c r="E253" s="8" t="n">
        <f aca="true">NORMINV(RAND(),Assumptions!$B$14,Assumptions!$B$15)</f>
        <v>0.0818750530258282</v>
      </c>
      <c r="F253" s="8" t="n">
        <f aca="true">NORMINV(RAND(),Assumptions!$B$14,Assumptions!$B$15)</f>
        <v>0.0759204479668608</v>
      </c>
      <c r="G253" s="8" t="n">
        <f aca="true">NORMINV(RAND(),Assumptions!$B$14,Assumptions!$B$15)</f>
        <v>0.104634215204224</v>
      </c>
      <c r="H253" s="8" t="n">
        <f aca="true">NORMINV(RAND(),Assumptions!$B$14,Assumptions!$B$15)</f>
        <v>0.0341611779435431</v>
      </c>
      <c r="I253" s="8" t="n">
        <f aca="true">NORMINV(RAND(),Assumptions!$B$14,Assumptions!$B$15)</f>
        <v>0.0326724909979905</v>
      </c>
      <c r="J253" s="8" t="n">
        <f aca="true">NORMINV(RAND(),Assumptions!$B$14,Assumptions!$B$15)</f>
        <v>0.0890750067355561</v>
      </c>
      <c r="K253" s="8" t="n">
        <f aca="true">NORMINV(RAND(),Assumptions!$B$14,Assumptions!$B$15)</f>
        <v>0.09435173457707</v>
      </c>
      <c r="L253" s="8" t="n">
        <f aca="true">NORMINV(RAND(),Assumptions!$B$14,Assumptions!$B$15)</f>
        <v>0.0329400685966529</v>
      </c>
      <c r="M253" s="6" t="n">
        <f aca="false">B253-Assumptions!$B$29</f>
        <v>391263.996662504</v>
      </c>
      <c r="N253" s="6" t="n">
        <f aca="false">W253-Assumptions!$B$29</f>
        <v>350143.321561049</v>
      </c>
      <c r="O253" s="6" t="n">
        <f aca="false">X253-Assumptions!$B$29</f>
        <v>330520.74592929</v>
      </c>
      <c r="P253" s="6" t="n">
        <f aca="false">Y253-Assumptions!$B$29</f>
        <v>307582.149528387</v>
      </c>
      <c r="Q253" s="6" t="n">
        <f aca="false">Z253-Assumptions!$B$29</f>
        <v>280933.924107192</v>
      </c>
      <c r="R253" s="6" t="n">
        <f aca="false">AA253-Assumptions!$B$29</f>
        <v>260329.224780391</v>
      </c>
      <c r="S253" s="6" t="n">
        <f aca="false">AB253-Assumptions!$B$29</f>
        <v>219222.377752019</v>
      </c>
      <c r="T253" s="6" t="n">
        <f aca="false">AC253-Assumptions!$B$29</f>
        <v>176384.91891568</v>
      </c>
      <c r="U253" s="6" t="n">
        <f aca="false">AD253-Assumptions!$B$29</f>
        <v>142096.406756145</v>
      </c>
      <c r="V253" s="6" t="n">
        <f aca="false">AE253-Assumptions!$B$29</f>
        <v>105503.449210756</v>
      </c>
      <c r="W253" s="6" t="n">
        <f aca="false">M253*(1+C253)</f>
        <v>400143.321561049</v>
      </c>
      <c r="X253" s="6" t="n">
        <f aca="false">N253*(1+D253)</f>
        <v>380520.74592929</v>
      </c>
      <c r="Y253" s="6" t="n">
        <f aca="false">O253*(1+E253)</f>
        <v>357582.149528387</v>
      </c>
      <c r="Z253" s="6" t="n">
        <f aca="false">P253*(1+F253)</f>
        <v>330933.924107192</v>
      </c>
      <c r="AA253" s="6" t="n">
        <f aca="false">Q253*(1+G253)</f>
        <v>310329.224780391</v>
      </c>
      <c r="AB253" s="6" t="n">
        <f aca="false">R253*(1+H253)</f>
        <v>269222.377752019</v>
      </c>
      <c r="AC253" s="6" t="n">
        <f aca="false">S253*(1+I253)</f>
        <v>226384.91891568</v>
      </c>
      <c r="AD253" s="6" t="n">
        <f aca="false">T253*(1+J253)</f>
        <v>192096.406756145</v>
      </c>
      <c r="AE253" s="6" t="n">
        <f aca="false">U253*(1+K253)</f>
        <v>155503.449210756</v>
      </c>
      <c r="AF253" s="6" t="n">
        <f aca="false">V253*(1+L253)</f>
        <v>108978.740064942</v>
      </c>
      <c r="AG253" s="6" t="n">
        <f aca="false">MIN(M253:V253)</f>
        <v>105503.449210756</v>
      </c>
      <c r="AH253" s="19" t="n">
        <f aca="false">IF(AG253&gt;=0,1,0)</f>
        <v>1</v>
      </c>
    </row>
    <row r="254" customFormat="false" ht="15" hidden="false" customHeight="false" outlineLevel="0" collapsed="false">
      <c r="A254" s="0" t="n">
        <f aca="false">ROW()-1</f>
        <v>253</v>
      </c>
      <c r="B254" s="6" t="n">
        <f aca="false">Assumptions!$B$35</f>
        <v>441263.996662504</v>
      </c>
      <c r="C254" s="8" t="n">
        <f aca="true">NORMINV(RAND(),Assumptions!$B$14,Assumptions!$B$15)</f>
        <v>0.0442748983989018</v>
      </c>
      <c r="D254" s="8" t="n">
        <f aca="true">NORMINV(RAND(),Assumptions!$B$14,Assumptions!$B$15)</f>
        <v>0.0993353621287062</v>
      </c>
      <c r="E254" s="8" t="n">
        <f aca="true">NORMINV(RAND(),Assumptions!$B$14,Assumptions!$B$15)</f>
        <v>0.00640167203081856</v>
      </c>
      <c r="F254" s="8" t="n">
        <f aca="true">NORMINV(RAND(),Assumptions!$B$14,Assumptions!$B$15)</f>
        <v>0.0885338469412715</v>
      </c>
      <c r="G254" s="8" t="n">
        <f aca="true">NORMINV(RAND(),Assumptions!$B$14,Assumptions!$B$15)</f>
        <v>0.0436293111244513</v>
      </c>
      <c r="H254" s="8" t="n">
        <f aca="true">NORMINV(RAND(),Assumptions!$B$14,Assumptions!$B$15)</f>
        <v>0.0462667862996343</v>
      </c>
      <c r="I254" s="8" t="n">
        <f aca="true">NORMINV(RAND(),Assumptions!$B$14,Assumptions!$B$15)</f>
        <v>0.0612426756507135</v>
      </c>
      <c r="J254" s="8" t="n">
        <f aca="true">NORMINV(RAND(),Assumptions!$B$14,Assumptions!$B$15)</f>
        <v>0.0489453881432335</v>
      </c>
      <c r="K254" s="8" t="n">
        <f aca="true">NORMINV(RAND(),Assumptions!$B$14,Assumptions!$B$15)</f>
        <v>0.0994362089939277</v>
      </c>
      <c r="L254" s="8" t="n">
        <f aca="true">NORMINV(RAND(),Assumptions!$B$14,Assumptions!$B$15)</f>
        <v>-0.0189245104295787</v>
      </c>
      <c r="M254" s="6" t="n">
        <f aca="false">B254-Assumptions!$B$29</f>
        <v>391263.996662504</v>
      </c>
      <c r="N254" s="6" t="n">
        <f aca="false">W254-Assumptions!$B$29</f>
        <v>358587.170361884</v>
      </c>
      <c r="O254" s="6" t="n">
        <f aca="false">X254-Assumptions!$B$29</f>
        <v>344207.55678449</v>
      </c>
      <c r="P254" s="6" t="n">
        <f aca="false">Y254-Assumptions!$B$29</f>
        <v>296411.060673554</v>
      </c>
      <c r="Q254" s="6" t="n">
        <f aca="false">Z254-Assumptions!$B$29</f>
        <v>272653.472150926</v>
      </c>
      <c r="R254" s="6" t="n">
        <f aca="false">AA254-Assumptions!$B$29</f>
        <v>234549.155316561</v>
      </c>
      <c r="S254" s="6" t="n">
        <f aca="false">AB254-Assumptions!$B$29</f>
        <v>195400.990962352</v>
      </c>
      <c r="T254" s="6" t="n">
        <f aca="false">AC254-Assumptions!$B$29</f>
        <v>157367.870473687</v>
      </c>
      <c r="U254" s="6" t="n">
        <f aca="false">AD254-Assumptions!$B$29</f>
        <v>115070.301975296</v>
      </c>
      <c r="V254" s="6" t="n">
        <f aca="false">AE254-Assumptions!$B$29</f>
        <v>76512.4565715054</v>
      </c>
      <c r="W254" s="6" t="n">
        <f aca="false">M254*(1+C254)</f>
        <v>408587.170361884</v>
      </c>
      <c r="X254" s="6" t="n">
        <f aca="false">N254*(1+D254)</f>
        <v>394207.55678449</v>
      </c>
      <c r="Y254" s="6" t="n">
        <f aca="false">O254*(1+E254)</f>
        <v>346411.060673554</v>
      </c>
      <c r="Z254" s="6" t="n">
        <f aca="false">P254*(1+F254)</f>
        <v>322653.472150926</v>
      </c>
      <c r="AA254" s="6" t="n">
        <f aca="false">Q254*(1+G254)</f>
        <v>284549.155316561</v>
      </c>
      <c r="AB254" s="6" t="n">
        <f aca="false">R254*(1+H254)</f>
        <v>245400.990962352</v>
      </c>
      <c r="AC254" s="6" t="n">
        <f aca="false">S254*(1+I254)</f>
        <v>207367.870473687</v>
      </c>
      <c r="AD254" s="6" t="n">
        <f aca="false">T254*(1+J254)</f>
        <v>165070.301975296</v>
      </c>
      <c r="AE254" s="6" t="n">
        <f aca="false">U254*(1+K254)</f>
        <v>126512.456571505</v>
      </c>
      <c r="AF254" s="6" t="n">
        <f aca="false">V254*(1+L254)</f>
        <v>75064.4957891253</v>
      </c>
      <c r="AG254" s="6" t="n">
        <f aca="false">MIN(M254:V254)</f>
        <v>76512.4565715054</v>
      </c>
      <c r="AH254" s="19" t="n">
        <f aca="false">IF(AG254&gt;=0,1,0)</f>
        <v>1</v>
      </c>
    </row>
    <row r="255" customFormat="false" ht="15" hidden="false" customHeight="false" outlineLevel="0" collapsed="false">
      <c r="A255" s="0" t="n">
        <f aca="false">ROW()-1</f>
        <v>254</v>
      </c>
      <c r="B255" s="6" t="n">
        <f aca="false">Assumptions!$B$35</f>
        <v>441263.996662504</v>
      </c>
      <c r="C255" s="8" t="n">
        <f aca="true">NORMINV(RAND(),Assumptions!$B$14,Assumptions!$B$15)</f>
        <v>0.0782834148179897</v>
      </c>
      <c r="D255" s="8" t="n">
        <f aca="true">NORMINV(RAND(),Assumptions!$B$14,Assumptions!$B$15)</f>
        <v>0.0201854026317169</v>
      </c>
      <c r="E255" s="8" t="n">
        <f aca="true">NORMINV(RAND(),Assumptions!$B$14,Assumptions!$B$15)</f>
        <v>0.0903344477340825</v>
      </c>
      <c r="F255" s="8" t="n">
        <f aca="true">NORMINV(RAND(),Assumptions!$B$14,Assumptions!$B$15)</f>
        <v>0.0958150405107217</v>
      </c>
      <c r="G255" s="8" t="n">
        <f aca="true">NORMINV(RAND(),Assumptions!$B$14,Assumptions!$B$15)</f>
        <v>0.000992910028930059</v>
      </c>
      <c r="H255" s="8" t="n">
        <f aca="true">NORMINV(RAND(),Assumptions!$B$14,Assumptions!$B$15)</f>
        <v>0.0399132768062819</v>
      </c>
      <c r="I255" s="8" t="n">
        <f aca="true">NORMINV(RAND(),Assumptions!$B$14,Assumptions!$B$15)</f>
        <v>0.0091578988357102</v>
      </c>
      <c r="J255" s="8" t="n">
        <f aca="true">NORMINV(RAND(),Assumptions!$B$14,Assumptions!$B$15)</f>
        <v>0.0553213338198105</v>
      </c>
      <c r="K255" s="8" t="n">
        <f aca="true">NORMINV(RAND(),Assumptions!$B$14,Assumptions!$B$15)</f>
        <v>0.0374811350745225</v>
      </c>
      <c r="L255" s="8" t="n">
        <f aca="true">NORMINV(RAND(),Assumptions!$B$14,Assumptions!$B$15)</f>
        <v>0.0352059525322002</v>
      </c>
      <c r="M255" s="6" t="n">
        <f aca="false">B255-Assumptions!$B$29</f>
        <v>391263.996662504</v>
      </c>
      <c r="N255" s="6" t="n">
        <f aca="false">W255-Assumptions!$B$29</f>
        <v>371893.478416579</v>
      </c>
      <c r="O255" s="6" t="n">
        <f aca="false">X255-Assumptions!$B$29</f>
        <v>329400.298014527</v>
      </c>
      <c r="P255" s="6" t="n">
        <f aca="false">Y255-Assumptions!$B$29</f>
        <v>309156.492019112</v>
      </c>
      <c r="Q255" s="6" t="n">
        <f aca="false">Z255-Assumptions!$B$29</f>
        <v>288778.333826075</v>
      </c>
      <c r="R255" s="6" t="n">
        <f aca="false">AA255-Assumptions!$B$29</f>
        <v>239065.064729869</v>
      </c>
      <c r="S255" s="6" t="n">
        <f aca="false">AB255-Assumptions!$B$29</f>
        <v>198606.934833144</v>
      </c>
      <c r="T255" s="6" t="n">
        <f aca="false">AC255-Assumptions!$B$29</f>
        <v>150425.757050417</v>
      </c>
      <c r="U255" s="6" t="n">
        <f aca="false">AD255-Assumptions!$B$29</f>
        <v>108747.5105713</v>
      </c>
      <c r="V255" s="6" t="n">
        <f aca="false">AE255-Assumptions!$B$29</f>
        <v>62823.4907040413</v>
      </c>
      <c r="W255" s="6" t="n">
        <f aca="false">M255*(1+C255)</f>
        <v>421893.478416579</v>
      </c>
      <c r="X255" s="6" t="n">
        <f aca="false">N255*(1+D255)</f>
        <v>379400.298014527</v>
      </c>
      <c r="Y255" s="6" t="n">
        <f aca="false">O255*(1+E255)</f>
        <v>359156.492019112</v>
      </c>
      <c r="Z255" s="6" t="n">
        <f aca="false">P255*(1+F255)</f>
        <v>338778.333826075</v>
      </c>
      <c r="AA255" s="6" t="n">
        <f aca="false">Q255*(1+G255)</f>
        <v>289065.064729869</v>
      </c>
      <c r="AB255" s="6" t="n">
        <f aca="false">R255*(1+H255)</f>
        <v>248606.934833144</v>
      </c>
      <c r="AC255" s="6" t="n">
        <f aca="false">S255*(1+I255)</f>
        <v>200425.757050417</v>
      </c>
      <c r="AD255" s="6" t="n">
        <f aca="false">T255*(1+J255)</f>
        <v>158747.5105713</v>
      </c>
      <c r="AE255" s="6" t="n">
        <f aca="false">U255*(1+K255)</f>
        <v>112823.490704041</v>
      </c>
      <c r="AF255" s="6" t="n">
        <f aca="false">V255*(1+L255)</f>
        <v>65035.2515356749</v>
      </c>
      <c r="AG255" s="6" t="n">
        <f aca="false">MIN(M255:V255)</f>
        <v>62823.4907040413</v>
      </c>
      <c r="AH255" s="19" t="n">
        <f aca="false">IF(AG255&gt;=0,1,0)</f>
        <v>1</v>
      </c>
    </row>
    <row r="256" customFormat="false" ht="15" hidden="false" customHeight="false" outlineLevel="0" collapsed="false">
      <c r="A256" s="0" t="n">
        <f aca="false">ROW()-1</f>
        <v>255</v>
      </c>
      <c r="B256" s="6" t="n">
        <f aca="false">Assumptions!$B$35</f>
        <v>441263.996662504</v>
      </c>
      <c r="C256" s="8" t="n">
        <f aca="true">NORMINV(RAND(),Assumptions!$B$14,Assumptions!$B$15)</f>
        <v>0.0314398707419697</v>
      </c>
      <c r="D256" s="8" t="n">
        <f aca="true">NORMINV(RAND(),Assumptions!$B$14,Assumptions!$B$15)</f>
        <v>0.0354822742138867</v>
      </c>
      <c r="E256" s="8" t="n">
        <f aca="true">NORMINV(RAND(),Assumptions!$B$14,Assumptions!$B$15)</f>
        <v>0.0366647045743986</v>
      </c>
      <c r="F256" s="8" t="n">
        <f aca="true">NORMINV(RAND(),Assumptions!$B$14,Assumptions!$B$15)</f>
        <v>0.0453640029752875</v>
      </c>
      <c r="G256" s="8" t="n">
        <f aca="true">NORMINV(RAND(),Assumptions!$B$14,Assumptions!$B$15)</f>
        <v>0.0070824743822326</v>
      </c>
      <c r="H256" s="8" t="n">
        <f aca="true">NORMINV(RAND(),Assumptions!$B$14,Assumptions!$B$15)</f>
        <v>-0.0186174332028547</v>
      </c>
      <c r="I256" s="8" t="n">
        <f aca="true">NORMINV(RAND(),Assumptions!$B$14,Assumptions!$B$15)</f>
        <v>-0.00321661911865103</v>
      </c>
      <c r="J256" s="8" t="n">
        <f aca="true">NORMINV(RAND(),Assumptions!$B$14,Assumptions!$B$15)</f>
        <v>0.0707211754172542</v>
      </c>
      <c r="K256" s="8" t="n">
        <f aca="true">NORMINV(RAND(),Assumptions!$B$14,Assumptions!$B$15)</f>
        <v>0.0035323417513162</v>
      </c>
      <c r="L256" s="8" t="n">
        <f aca="true">NORMINV(RAND(),Assumptions!$B$14,Assumptions!$B$15)</f>
        <v>0.112594760327156</v>
      </c>
      <c r="M256" s="6" t="n">
        <f aca="false">B256-Assumptions!$B$29</f>
        <v>391263.996662504</v>
      </c>
      <c r="N256" s="6" t="n">
        <f aca="false">W256-Assumptions!$B$29</f>
        <v>353565.286143559</v>
      </c>
      <c r="O256" s="6" t="n">
        <f aca="false">X256-Assumptions!$B$29</f>
        <v>316110.586579016</v>
      </c>
      <c r="P256" s="6" t="n">
        <f aca="false">Y256-Assumptions!$B$29</f>
        <v>277700.687848776</v>
      </c>
      <c r="Q256" s="6" t="n">
        <f aca="false">Z256-Assumptions!$B$29</f>
        <v>240298.302678587</v>
      </c>
      <c r="R256" s="6" t="n">
        <f aca="false">AA256-Assumptions!$B$29</f>
        <v>192000.209251402</v>
      </c>
      <c r="S256" s="6" t="n">
        <f aca="false">AB256-Assumptions!$B$29</f>
        <v>138425.65818073</v>
      </c>
      <c r="T256" s="6" t="n">
        <f aca="false">AC256-Assumptions!$B$29</f>
        <v>87980.3955621139</v>
      </c>
      <c r="U256" s="6" t="n">
        <f aca="false">AD256-Assumptions!$B$29</f>
        <v>44202.4725499416</v>
      </c>
      <c r="V256" s="6" t="n">
        <f aca="false">AE256-Assumptions!$B$29</f>
        <v>-5641.38921075887</v>
      </c>
      <c r="W256" s="6" t="n">
        <f aca="false">M256*(1+C256)</f>
        <v>403565.286143559</v>
      </c>
      <c r="X256" s="6" t="n">
        <f aca="false">N256*(1+D256)</f>
        <v>366110.586579016</v>
      </c>
      <c r="Y256" s="6" t="n">
        <f aca="false">O256*(1+E256)</f>
        <v>327700.687848776</v>
      </c>
      <c r="Z256" s="6" t="n">
        <f aca="false">P256*(1+F256)</f>
        <v>290298.302678587</v>
      </c>
      <c r="AA256" s="6" t="n">
        <f aca="false">Q256*(1+G256)</f>
        <v>242000.209251402</v>
      </c>
      <c r="AB256" s="6" t="n">
        <f aca="false">R256*(1+H256)</f>
        <v>188425.65818073</v>
      </c>
      <c r="AC256" s="6" t="n">
        <f aca="false">S256*(1+I256)</f>
        <v>137980.395562114</v>
      </c>
      <c r="AD256" s="6" t="n">
        <f aca="false">T256*(1+J256)</f>
        <v>94202.4725499416</v>
      </c>
      <c r="AE256" s="6" t="n">
        <f aca="false">U256*(1+K256)</f>
        <v>44358.6107892411</v>
      </c>
      <c r="AF256" s="6" t="n">
        <f aca="false">V256*(1+L256)</f>
        <v>-6276.58007685647</v>
      </c>
      <c r="AG256" s="6" t="n">
        <f aca="false">MIN(M256:V256)</f>
        <v>-5641.38921075887</v>
      </c>
      <c r="AH256" s="19" t="n">
        <f aca="false">IF(AG256&gt;=0,1,0)</f>
        <v>0</v>
      </c>
    </row>
    <row r="257" customFormat="false" ht="15" hidden="false" customHeight="false" outlineLevel="0" collapsed="false">
      <c r="A257" s="0" t="n">
        <f aca="false">ROW()-1</f>
        <v>256</v>
      </c>
      <c r="B257" s="6" t="n">
        <f aca="false">Assumptions!$B$35</f>
        <v>441263.996662504</v>
      </c>
      <c r="C257" s="8" t="n">
        <f aca="true">NORMINV(RAND(),Assumptions!$B$14,Assumptions!$B$15)</f>
        <v>0.075518954754516</v>
      </c>
      <c r="D257" s="8" t="n">
        <f aca="true">NORMINV(RAND(),Assumptions!$B$14,Assumptions!$B$15)</f>
        <v>0.0106351970510813</v>
      </c>
      <c r="E257" s="8" t="n">
        <f aca="true">NORMINV(RAND(),Assumptions!$B$14,Assumptions!$B$15)</f>
        <v>0.0302015687761414</v>
      </c>
      <c r="F257" s="8" t="n">
        <f aca="true">NORMINV(RAND(),Assumptions!$B$14,Assumptions!$B$15)</f>
        <v>0.0352857911662449</v>
      </c>
      <c r="G257" s="8" t="n">
        <f aca="true">NORMINV(RAND(),Assumptions!$B$14,Assumptions!$B$15)</f>
        <v>0.00943530679938501</v>
      </c>
      <c r="H257" s="8" t="n">
        <f aca="true">NORMINV(RAND(),Assumptions!$B$14,Assumptions!$B$15)</f>
        <v>0.0139078588363788</v>
      </c>
      <c r="I257" s="8" t="n">
        <f aca="true">NORMINV(RAND(),Assumptions!$B$14,Assumptions!$B$15)</f>
        <v>0.103949876372747</v>
      </c>
      <c r="J257" s="8" t="n">
        <f aca="true">NORMINV(RAND(),Assumptions!$B$14,Assumptions!$B$15)</f>
        <v>0.0814698512466798</v>
      </c>
      <c r="K257" s="8" t="n">
        <f aca="true">NORMINV(RAND(),Assumptions!$B$14,Assumptions!$B$15)</f>
        <v>0.076902972365237</v>
      </c>
      <c r="L257" s="8" t="n">
        <f aca="true">NORMINV(RAND(),Assumptions!$B$14,Assumptions!$B$15)</f>
        <v>0.0639571925964182</v>
      </c>
      <c r="M257" s="6" t="n">
        <f aca="false">B257-Assumptions!$B$29</f>
        <v>391263.996662504</v>
      </c>
      <c r="N257" s="6" t="n">
        <f aca="false">W257-Assumptions!$B$29</f>
        <v>370811.84472353</v>
      </c>
      <c r="O257" s="6" t="n">
        <f aca="false">X257-Assumptions!$B$29</f>
        <v>324755.50176104</v>
      </c>
      <c r="P257" s="6" t="n">
        <f aca="false">Y257-Assumptions!$B$29</f>
        <v>284563.627382906</v>
      </c>
      <c r="Q257" s="6" t="n">
        <f aca="false">Z257-Assumptions!$B$29</f>
        <v>244604.680112249</v>
      </c>
      <c r="R257" s="6" t="n">
        <f aca="false">AA257-Assumptions!$B$29</f>
        <v>196912.600313673</v>
      </c>
      <c r="S257" s="6" t="n">
        <f aca="false">AB257-Assumptions!$B$29</f>
        <v>149651.23296194</v>
      </c>
      <c r="T257" s="6" t="n">
        <f aca="false">AC257-Assumptions!$B$29</f>
        <v>115207.460127363</v>
      </c>
      <c r="U257" s="6" t="n">
        <f aca="false">AD257-Assumptions!$B$29</f>
        <v>74593.3947664469</v>
      </c>
      <c r="V257" s="6" t="n">
        <f aca="false">AE257-Assumptions!$B$29</f>
        <v>30329.8485428001</v>
      </c>
      <c r="W257" s="6" t="n">
        <f aca="false">M257*(1+C257)</f>
        <v>420811.84472353</v>
      </c>
      <c r="X257" s="6" t="n">
        <f aca="false">N257*(1+D257)</f>
        <v>374755.50176104</v>
      </c>
      <c r="Y257" s="6" t="n">
        <f aca="false">O257*(1+E257)</f>
        <v>334563.627382906</v>
      </c>
      <c r="Z257" s="6" t="n">
        <f aca="false">P257*(1+F257)</f>
        <v>294604.680112249</v>
      </c>
      <c r="AA257" s="6" t="n">
        <f aca="false">Q257*(1+G257)</f>
        <v>246912.600313673</v>
      </c>
      <c r="AB257" s="6" t="n">
        <f aca="false">R257*(1+H257)</f>
        <v>199651.23296194</v>
      </c>
      <c r="AC257" s="6" t="n">
        <f aca="false">S257*(1+I257)</f>
        <v>165207.460127363</v>
      </c>
      <c r="AD257" s="6" t="n">
        <f aca="false">T257*(1+J257)</f>
        <v>124593.394766447</v>
      </c>
      <c r="AE257" s="6" t="n">
        <f aca="false">U257*(1+K257)</f>
        <v>80329.8485428001</v>
      </c>
      <c r="AF257" s="6" t="n">
        <f aca="false">V257*(1+L257)</f>
        <v>32269.6605074722</v>
      </c>
      <c r="AG257" s="6" t="n">
        <f aca="false">MIN(M257:V257)</f>
        <v>30329.8485428001</v>
      </c>
      <c r="AH257" s="19" t="n">
        <f aca="false">IF(AG257&gt;=0,1,0)</f>
        <v>1</v>
      </c>
    </row>
    <row r="258" customFormat="false" ht="15" hidden="false" customHeight="false" outlineLevel="0" collapsed="false">
      <c r="A258" s="0" t="n">
        <f aca="false">ROW()-1</f>
        <v>257</v>
      </c>
      <c r="B258" s="6" t="n">
        <f aca="false">Assumptions!$B$35</f>
        <v>441263.996662504</v>
      </c>
      <c r="C258" s="8" t="n">
        <f aca="true">NORMINV(RAND(),Assumptions!$B$14,Assumptions!$B$15)</f>
        <v>0.0445837339182503</v>
      </c>
      <c r="D258" s="8" t="n">
        <f aca="true">NORMINV(RAND(),Assumptions!$B$14,Assumptions!$B$15)</f>
        <v>0.0490196589601714</v>
      </c>
      <c r="E258" s="8" t="n">
        <f aca="true">NORMINV(RAND(),Assumptions!$B$14,Assumptions!$B$15)</f>
        <v>0.0720583674956921</v>
      </c>
      <c r="F258" s="8" t="n">
        <f aca="true">NORMINV(RAND(),Assumptions!$B$14,Assumptions!$B$15)</f>
        <v>0.10499989996939</v>
      </c>
      <c r="G258" s="8" t="n">
        <f aca="true">NORMINV(RAND(),Assumptions!$B$14,Assumptions!$B$15)</f>
        <v>0.0122505594607533</v>
      </c>
      <c r="H258" s="8" t="n">
        <f aca="true">NORMINV(RAND(),Assumptions!$B$14,Assumptions!$B$15)</f>
        <v>0.0420675267670263</v>
      </c>
      <c r="I258" s="8" t="n">
        <f aca="true">NORMINV(RAND(),Assumptions!$B$14,Assumptions!$B$15)</f>
        <v>0.0156463439276293</v>
      </c>
      <c r="J258" s="8" t="n">
        <f aca="true">NORMINV(RAND(),Assumptions!$B$14,Assumptions!$B$15)</f>
        <v>0.0522938486643092</v>
      </c>
      <c r="K258" s="8" t="n">
        <f aca="true">NORMINV(RAND(),Assumptions!$B$14,Assumptions!$B$15)</f>
        <v>0.0785382465123668</v>
      </c>
      <c r="L258" s="8" t="n">
        <f aca="true">NORMINV(RAND(),Assumptions!$B$14,Assumptions!$B$15)</f>
        <v>0.0736275843990367</v>
      </c>
      <c r="M258" s="6" t="n">
        <f aca="false">B258-Assumptions!$B$29</f>
        <v>391263.996662504</v>
      </c>
      <c r="N258" s="6" t="n">
        <f aca="false">W258-Assumptions!$B$29</f>
        <v>358708.006581496</v>
      </c>
      <c r="O258" s="6" t="n">
        <f aca="false">X258-Assumptions!$B$29</f>
        <v>326291.750730404</v>
      </c>
      <c r="P258" s="6" t="n">
        <f aca="false">Y258-Assumptions!$B$29</f>
        <v>299803.801615348</v>
      </c>
      <c r="Q258" s="6" t="n">
        <f aca="false">Z258-Assumptions!$B$29</f>
        <v>281283.170795402</v>
      </c>
      <c r="R258" s="6" t="n">
        <f aca="false">AA258-Assumptions!$B$29</f>
        <v>234729.04700454</v>
      </c>
      <c r="S258" s="6" t="n">
        <f aca="false">AB258-Assumptions!$B$29</f>
        <v>194603.517472402</v>
      </c>
      <c r="T258" s="6" t="n">
        <f aca="false">AC258-Assumptions!$B$29</f>
        <v>147648.351036302</v>
      </c>
      <c r="U258" s="6" t="n">
        <f aca="false">AD258-Assumptions!$B$29</f>
        <v>105369.451560929</v>
      </c>
      <c r="V258" s="6" t="n">
        <f aca="false">AE258-Assumptions!$B$29</f>
        <v>63644.9835224945</v>
      </c>
      <c r="W258" s="6" t="n">
        <f aca="false">M258*(1+C258)</f>
        <v>408708.006581496</v>
      </c>
      <c r="X258" s="6" t="n">
        <f aca="false">N258*(1+D258)</f>
        <v>376291.750730404</v>
      </c>
      <c r="Y258" s="6" t="n">
        <f aca="false">O258*(1+E258)</f>
        <v>349803.801615348</v>
      </c>
      <c r="Z258" s="6" t="n">
        <f aca="false">P258*(1+F258)</f>
        <v>331283.170795402</v>
      </c>
      <c r="AA258" s="6" t="n">
        <f aca="false">Q258*(1+G258)</f>
        <v>284729.04700454</v>
      </c>
      <c r="AB258" s="6" t="n">
        <f aca="false">R258*(1+H258)</f>
        <v>244603.517472402</v>
      </c>
      <c r="AC258" s="6" t="n">
        <f aca="false">S258*(1+I258)</f>
        <v>197648.351036302</v>
      </c>
      <c r="AD258" s="6" t="n">
        <f aca="false">T258*(1+J258)</f>
        <v>155369.451560929</v>
      </c>
      <c r="AE258" s="6" t="n">
        <f aca="false">U258*(1+K258)</f>
        <v>113644.983522494</v>
      </c>
      <c r="AF258" s="6" t="n">
        <f aca="false">V258*(1+L258)</f>
        <v>68331.0099183722</v>
      </c>
      <c r="AG258" s="6" t="n">
        <f aca="false">MIN(M258:V258)</f>
        <v>63644.9835224945</v>
      </c>
      <c r="AH258" s="19" t="n">
        <f aca="false">IF(AG258&gt;=0,1,0)</f>
        <v>1</v>
      </c>
    </row>
    <row r="259" customFormat="false" ht="15" hidden="false" customHeight="false" outlineLevel="0" collapsed="false">
      <c r="A259" s="0" t="n">
        <f aca="false">ROW()-1</f>
        <v>258</v>
      </c>
      <c r="B259" s="6" t="n">
        <f aca="false">Assumptions!$B$35</f>
        <v>441263.996662504</v>
      </c>
      <c r="C259" s="8" t="n">
        <f aca="true">NORMINV(RAND(),Assumptions!$B$14,Assumptions!$B$15)</f>
        <v>0.0616193481141755</v>
      </c>
      <c r="D259" s="8" t="n">
        <f aca="true">NORMINV(RAND(),Assumptions!$B$14,Assumptions!$B$15)</f>
        <v>0.0416366634038591</v>
      </c>
      <c r="E259" s="8" t="n">
        <f aca="true">NORMINV(RAND(),Assumptions!$B$14,Assumptions!$B$15)</f>
        <v>0.0397087443287644</v>
      </c>
      <c r="F259" s="8" t="n">
        <f aca="true">NORMINV(RAND(),Assumptions!$B$14,Assumptions!$B$15)</f>
        <v>0.0831024035750878</v>
      </c>
      <c r="G259" s="8" t="n">
        <f aca="true">NORMINV(RAND(),Assumptions!$B$14,Assumptions!$B$15)</f>
        <v>0.074857125971166</v>
      </c>
      <c r="H259" s="8" t="n">
        <f aca="true">NORMINV(RAND(),Assumptions!$B$14,Assumptions!$B$15)</f>
        <v>0.0638226264588444</v>
      </c>
      <c r="I259" s="8" t="n">
        <f aca="true">NORMINV(RAND(),Assumptions!$B$14,Assumptions!$B$15)</f>
        <v>0.0370496595137374</v>
      </c>
      <c r="J259" s="8" t="n">
        <f aca="true">NORMINV(RAND(),Assumptions!$B$14,Assumptions!$B$15)</f>
        <v>0.0476464904885287</v>
      </c>
      <c r="K259" s="8" t="n">
        <f aca="true">NORMINV(RAND(),Assumptions!$B$14,Assumptions!$B$15)</f>
        <v>0.0400155493342496</v>
      </c>
      <c r="L259" s="8" t="n">
        <f aca="true">NORMINV(RAND(),Assumptions!$B$14,Assumptions!$B$15)</f>
        <v>0.0657198487961058</v>
      </c>
      <c r="M259" s="6" t="n">
        <f aca="false">B259-Assumptions!$B$29</f>
        <v>391263.996662504</v>
      </c>
      <c r="N259" s="6" t="n">
        <f aca="false">W259-Assumptions!$B$29</f>
        <v>365373.429077394</v>
      </c>
      <c r="O259" s="6" t="n">
        <f aca="false">X259-Assumptions!$B$29</f>
        <v>330586.359560603</v>
      </c>
      <c r="P259" s="6" t="n">
        <f aca="false">Y259-Assumptions!$B$29</f>
        <v>293713.528790972</v>
      </c>
      <c r="Q259" s="6" t="n">
        <f aca="false">Z259-Assumptions!$B$29</f>
        <v>268121.828996023</v>
      </c>
      <c r="R259" s="6" t="n">
        <f aca="false">AA259-Assumptions!$B$29</f>
        <v>238192.658524797</v>
      </c>
      <c r="S259" s="6" t="n">
        <f aca="false">AB259-Assumptions!$B$29</f>
        <v>203394.739595065</v>
      </c>
      <c r="T259" s="6" t="n">
        <f aca="false">AC259-Assumptions!$B$29</f>
        <v>160930.445443947</v>
      </c>
      <c r="U259" s="6" t="n">
        <f aca="false">AD259-Assumptions!$B$29</f>
        <v>118598.216382107</v>
      </c>
      <c r="V259" s="6" t="n">
        <f aca="false">AE259-Assumptions!$B$29</f>
        <v>73343.989160699</v>
      </c>
      <c r="W259" s="6" t="n">
        <f aca="false">M259*(1+C259)</f>
        <v>415373.429077394</v>
      </c>
      <c r="X259" s="6" t="n">
        <f aca="false">N259*(1+D259)</f>
        <v>380586.359560603</v>
      </c>
      <c r="Y259" s="6" t="n">
        <f aca="false">O259*(1+E259)</f>
        <v>343713.528790972</v>
      </c>
      <c r="Z259" s="6" t="n">
        <f aca="false">P259*(1+F259)</f>
        <v>318121.828996023</v>
      </c>
      <c r="AA259" s="6" t="n">
        <f aca="false">Q259*(1+G259)</f>
        <v>288192.658524797</v>
      </c>
      <c r="AB259" s="6" t="n">
        <f aca="false">R259*(1+H259)</f>
        <v>253394.739595065</v>
      </c>
      <c r="AC259" s="6" t="n">
        <f aca="false">S259*(1+I259)</f>
        <v>210930.445443947</v>
      </c>
      <c r="AD259" s="6" t="n">
        <f aca="false">T259*(1+J259)</f>
        <v>168598.216382107</v>
      </c>
      <c r="AE259" s="6" t="n">
        <f aca="false">U259*(1+K259)</f>
        <v>123343.989160699</v>
      </c>
      <c r="AF259" s="6" t="n">
        <f aca="false">V259*(1+L259)</f>
        <v>78164.1450384433</v>
      </c>
      <c r="AG259" s="6" t="n">
        <f aca="false">MIN(M259:V259)</f>
        <v>73343.989160699</v>
      </c>
      <c r="AH259" s="19" t="n">
        <f aca="false">IF(AG259&gt;=0,1,0)</f>
        <v>1</v>
      </c>
    </row>
    <row r="260" customFormat="false" ht="15" hidden="false" customHeight="false" outlineLevel="0" collapsed="false">
      <c r="A260" s="0" t="n">
        <f aca="false">ROW()-1</f>
        <v>259</v>
      </c>
      <c r="B260" s="6" t="n">
        <f aca="false">Assumptions!$B$35</f>
        <v>441263.996662504</v>
      </c>
      <c r="C260" s="8" t="n">
        <f aca="true">NORMINV(RAND(),Assumptions!$B$14,Assumptions!$B$15)</f>
        <v>0.110759959253732</v>
      </c>
      <c r="D260" s="8" t="n">
        <f aca="true">NORMINV(RAND(),Assumptions!$B$14,Assumptions!$B$15)</f>
        <v>0.0564615760934646</v>
      </c>
      <c r="E260" s="8" t="n">
        <f aca="true">NORMINV(RAND(),Assumptions!$B$14,Assumptions!$B$15)</f>
        <v>-0.0205694645647554</v>
      </c>
      <c r="F260" s="8" t="n">
        <f aca="true">NORMINV(RAND(),Assumptions!$B$14,Assumptions!$B$15)</f>
        <v>0.0259741434454931</v>
      </c>
      <c r="G260" s="8" t="n">
        <f aca="true">NORMINV(RAND(),Assumptions!$B$14,Assumptions!$B$15)</f>
        <v>0.0522783368209202</v>
      </c>
      <c r="H260" s="8" t="n">
        <f aca="true">NORMINV(RAND(),Assumptions!$B$14,Assumptions!$B$15)</f>
        <v>0.0517357371532025</v>
      </c>
      <c r="I260" s="8" t="n">
        <f aca="true">NORMINV(RAND(),Assumptions!$B$14,Assumptions!$B$15)</f>
        <v>0.0485237109948745</v>
      </c>
      <c r="J260" s="8" t="n">
        <f aca="true">NORMINV(RAND(),Assumptions!$B$14,Assumptions!$B$15)</f>
        <v>0.0355656621260416</v>
      </c>
      <c r="K260" s="8" t="n">
        <f aca="true">NORMINV(RAND(),Assumptions!$B$14,Assumptions!$B$15)</f>
        <v>0.0554964983664803</v>
      </c>
      <c r="L260" s="8" t="n">
        <f aca="true">NORMINV(RAND(),Assumptions!$B$14,Assumptions!$B$15)</f>
        <v>0.104115007454785</v>
      </c>
      <c r="M260" s="6" t="n">
        <f aca="false">B260-Assumptions!$B$29</f>
        <v>391263.996662504</v>
      </c>
      <c r="N260" s="6" t="n">
        <f aca="false">W260-Assumptions!$B$29</f>
        <v>384600.380990295</v>
      </c>
      <c r="O260" s="6" t="n">
        <f aca="false">X260-Assumptions!$B$29</f>
        <v>356315.524667154</v>
      </c>
      <c r="P260" s="6" t="n">
        <f aca="false">Y260-Assumptions!$B$29</f>
        <v>298986.30510864</v>
      </c>
      <c r="Q260" s="6" t="n">
        <f aca="false">Z260-Assumptions!$B$29</f>
        <v>256752.21828577</v>
      </c>
      <c r="R260" s="6" t="n">
        <f aca="false">AA260-Assumptions!$B$29</f>
        <v>220174.797232832</v>
      </c>
      <c r="S260" s="6" t="n">
        <f aca="false">AB260-Assumptions!$B$29</f>
        <v>181565.70267023</v>
      </c>
      <c r="T260" s="6" t="n">
        <f aca="false">AC260-Assumptions!$B$29</f>
        <v>140375.944353181</v>
      </c>
      <c r="U260" s="6" t="n">
        <f aca="false">AD260-Assumptions!$B$29</f>
        <v>95368.5077606703</v>
      </c>
      <c r="V260" s="6" t="n">
        <f aca="false">AE260-Assumptions!$B$29</f>
        <v>50661.125995824</v>
      </c>
      <c r="W260" s="6" t="n">
        <f aca="false">M260*(1+C260)</f>
        <v>434600.380990295</v>
      </c>
      <c r="X260" s="6" t="n">
        <f aca="false">N260*(1+D260)</f>
        <v>406315.524667154</v>
      </c>
      <c r="Y260" s="6" t="n">
        <f aca="false">O260*(1+E260)</f>
        <v>348986.30510864</v>
      </c>
      <c r="Z260" s="6" t="n">
        <f aca="false">P260*(1+F260)</f>
        <v>306752.21828577</v>
      </c>
      <c r="AA260" s="6" t="n">
        <f aca="false">Q260*(1+G260)</f>
        <v>270174.797232832</v>
      </c>
      <c r="AB260" s="6" t="n">
        <f aca="false">R260*(1+H260)</f>
        <v>231565.70267023</v>
      </c>
      <c r="AC260" s="6" t="n">
        <f aca="false">S260*(1+I260)</f>
        <v>190375.944353181</v>
      </c>
      <c r="AD260" s="6" t="n">
        <f aca="false">T260*(1+J260)</f>
        <v>145368.50776067</v>
      </c>
      <c r="AE260" s="6" t="n">
        <f aca="false">U260*(1+K260)</f>
        <v>100661.125995824</v>
      </c>
      <c r="AF260" s="6" t="n">
        <f aca="false">V260*(1+L260)</f>
        <v>55935.709506547</v>
      </c>
      <c r="AG260" s="6" t="n">
        <f aca="false">MIN(M260:V260)</f>
        <v>50661.125995824</v>
      </c>
      <c r="AH260" s="19" t="n">
        <f aca="false">IF(AG260&gt;=0,1,0)</f>
        <v>1</v>
      </c>
    </row>
    <row r="261" customFormat="false" ht="15" hidden="false" customHeight="false" outlineLevel="0" collapsed="false">
      <c r="A261" s="0" t="n">
        <f aca="false">ROW()-1</f>
        <v>260</v>
      </c>
      <c r="B261" s="6" t="n">
        <f aca="false">Assumptions!$B$35</f>
        <v>441263.996662504</v>
      </c>
      <c r="C261" s="8" t="n">
        <f aca="true">NORMINV(RAND(),Assumptions!$B$14,Assumptions!$B$15)</f>
        <v>0.0703703945656048</v>
      </c>
      <c r="D261" s="8" t="n">
        <f aca="true">NORMINV(RAND(),Assumptions!$B$14,Assumptions!$B$15)</f>
        <v>0.0323737731282701</v>
      </c>
      <c r="E261" s="8" t="n">
        <f aca="true">NORMINV(RAND(),Assumptions!$B$14,Assumptions!$B$15)</f>
        <v>0.00708173540716055</v>
      </c>
      <c r="F261" s="8" t="n">
        <f aca="true">NORMINV(RAND(),Assumptions!$B$14,Assumptions!$B$15)</f>
        <v>0.0136653390538608</v>
      </c>
      <c r="G261" s="8" t="n">
        <f aca="true">NORMINV(RAND(),Assumptions!$B$14,Assumptions!$B$15)</f>
        <v>0.0676324995700012</v>
      </c>
      <c r="H261" s="8" t="n">
        <f aca="true">NORMINV(RAND(),Assumptions!$B$14,Assumptions!$B$15)</f>
        <v>0.00662124275803971</v>
      </c>
      <c r="I261" s="8" t="n">
        <f aca="true">NORMINV(RAND(),Assumptions!$B$14,Assumptions!$B$15)</f>
        <v>0.0592778573889855</v>
      </c>
      <c r="J261" s="8" t="n">
        <f aca="true">NORMINV(RAND(),Assumptions!$B$14,Assumptions!$B$15)</f>
        <v>0.0766329957387997</v>
      </c>
      <c r="K261" s="8" t="n">
        <f aca="true">NORMINV(RAND(),Assumptions!$B$14,Assumptions!$B$15)</f>
        <v>0.0359146344488444</v>
      </c>
      <c r="L261" s="8" t="n">
        <f aca="true">NORMINV(RAND(),Assumptions!$B$14,Assumptions!$B$15)</f>
        <v>0.0230120846805491</v>
      </c>
      <c r="M261" s="6" t="n">
        <f aca="false">B261-Assumptions!$B$29</f>
        <v>391263.996662504</v>
      </c>
      <c r="N261" s="6" t="n">
        <f aca="false">W261-Assumptions!$B$29</f>
        <v>368797.398486959</v>
      </c>
      <c r="O261" s="6" t="n">
        <f aca="false">X261-Assumptions!$B$29</f>
        <v>330736.761795872</v>
      </c>
      <c r="P261" s="6" t="n">
        <f aca="false">Y261-Assumptions!$B$29</f>
        <v>283078.952032332</v>
      </c>
      <c r="Q261" s="6" t="n">
        <f aca="false">Z261-Assumptions!$B$29</f>
        <v>236947.321890865</v>
      </c>
      <c r="R261" s="6" t="n">
        <f aca="false">AA261-Assumptions!$B$29</f>
        <v>202972.661536762</v>
      </c>
      <c r="S261" s="6" t="n">
        <f aca="false">AB261-Assumptions!$B$29</f>
        <v>154316.592802043</v>
      </c>
      <c r="T261" s="6" t="n">
        <f aca="false">AC261-Assumptions!$B$29</f>
        <v>113464.149782916</v>
      </c>
      <c r="U261" s="6" t="n">
        <f aca="false">AD261-Assumptions!$B$29</f>
        <v>72159.2474897368</v>
      </c>
      <c r="V261" s="6" t="n">
        <f aca="false">AE261-Assumptions!$B$29</f>
        <v>24750.8204854344</v>
      </c>
      <c r="W261" s="6" t="n">
        <f aca="false">M261*(1+C261)</f>
        <v>418797.398486959</v>
      </c>
      <c r="X261" s="6" t="n">
        <f aca="false">N261*(1+D261)</f>
        <v>380736.761795872</v>
      </c>
      <c r="Y261" s="6" t="n">
        <f aca="false">O261*(1+E261)</f>
        <v>333078.952032332</v>
      </c>
      <c r="Z261" s="6" t="n">
        <f aca="false">P261*(1+F261)</f>
        <v>286947.321890865</v>
      </c>
      <c r="AA261" s="6" t="n">
        <f aca="false">Q261*(1+G261)</f>
        <v>252972.661536762</v>
      </c>
      <c r="AB261" s="6" t="n">
        <f aca="false">R261*(1+H261)</f>
        <v>204316.592802043</v>
      </c>
      <c r="AC261" s="6" t="n">
        <f aca="false">S261*(1+I261)</f>
        <v>163464.149782916</v>
      </c>
      <c r="AD261" s="6" t="n">
        <f aca="false">T261*(1+J261)</f>
        <v>122159.247489737</v>
      </c>
      <c r="AE261" s="6" t="n">
        <f aca="false">U261*(1+K261)</f>
        <v>74750.8204854344</v>
      </c>
      <c r="AF261" s="6" t="n">
        <f aca="false">V261*(1+L261)</f>
        <v>25320.3884623583</v>
      </c>
      <c r="AG261" s="6" t="n">
        <f aca="false">MIN(M261:V261)</f>
        <v>24750.8204854344</v>
      </c>
      <c r="AH261" s="19" t="n">
        <f aca="false">IF(AG261&gt;=0,1,0)</f>
        <v>1</v>
      </c>
    </row>
    <row r="262" customFormat="false" ht="15" hidden="false" customHeight="false" outlineLevel="0" collapsed="false">
      <c r="A262" s="0" t="n">
        <f aca="false">ROW()-1</f>
        <v>261</v>
      </c>
      <c r="B262" s="6" t="n">
        <f aca="false">Assumptions!$B$35</f>
        <v>441263.996662504</v>
      </c>
      <c r="C262" s="8" t="n">
        <f aca="true">NORMINV(RAND(),Assumptions!$B$14,Assumptions!$B$15)</f>
        <v>0.0755415757659425</v>
      </c>
      <c r="D262" s="8" t="n">
        <f aca="true">NORMINV(RAND(),Assumptions!$B$14,Assumptions!$B$15)</f>
        <v>0.0320361010250024</v>
      </c>
      <c r="E262" s="8" t="n">
        <f aca="true">NORMINV(RAND(),Assumptions!$B$14,Assumptions!$B$15)</f>
        <v>0.112184468968559</v>
      </c>
      <c r="F262" s="8" t="n">
        <f aca="true">NORMINV(RAND(),Assumptions!$B$14,Assumptions!$B$15)</f>
        <v>0.0162783483644833</v>
      </c>
      <c r="G262" s="8" t="n">
        <f aca="true">NORMINV(RAND(),Assumptions!$B$14,Assumptions!$B$15)</f>
        <v>0.053301539257155</v>
      </c>
      <c r="H262" s="8" t="n">
        <f aca="true">NORMINV(RAND(),Assumptions!$B$14,Assumptions!$B$15)</f>
        <v>0.0301565335781447</v>
      </c>
      <c r="I262" s="8" t="n">
        <f aca="true">NORMINV(RAND(),Assumptions!$B$14,Assumptions!$B$15)</f>
        <v>0.0383068844712155</v>
      </c>
      <c r="J262" s="8" t="n">
        <f aca="true">NORMINV(RAND(),Assumptions!$B$14,Assumptions!$B$15)</f>
        <v>0.0194984051672026</v>
      </c>
      <c r="K262" s="8" t="n">
        <f aca="true">NORMINV(RAND(),Assumptions!$B$14,Assumptions!$B$15)</f>
        <v>-0.0037059333950719</v>
      </c>
      <c r="L262" s="8" t="n">
        <f aca="true">NORMINV(RAND(),Assumptions!$B$14,Assumptions!$B$15)</f>
        <v>0.0666929118372413</v>
      </c>
      <c r="M262" s="6" t="n">
        <f aca="false">B262-Assumptions!$B$29</f>
        <v>391263.996662504</v>
      </c>
      <c r="N262" s="6" t="n">
        <f aca="false">W262-Assumptions!$B$29</f>
        <v>370820.69551087</v>
      </c>
      <c r="O262" s="6" t="n">
        <f aca="false">X262-Assumptions!$B$29</f>
        <v>332700.344774417</v>
      </c>
      <c r="P262" s="6" t="n">
        <f aca="false">Y262-Assumptions!$B$29</f>
        <v>320024.156278592</v>
      </c>
      <c r="Q262" s="6" t="n">
        <f aca="false">Z262-Assumptions!$B$29</f>
        <v>275233.620979545</v>
      </c>
      <c r="R262" s="6" t="n">
        <f aca="false">AA262-Assumptions!$B$29</f>
        <v>239903.996633075</v>
      </c>
      <c r="S262" s="6" t="n">
        <f aca="false">AB262-Assumptions!$B$29</f>
        <v>197138.669563071</v>
      </c>
      <c r="T262" s="6" t="n">
        <f aca="false">AC262-Assumptions!$B$29</f>
        <v>154690.437802833</v>
      </c>
      <c r="U262" s="6" t="n">
        <f aca="false">AD262-Assumptions!$B$29</f>
        <v>107706.654634604</v>
      </c>
      <c r="V262" s="6" t="n">
        <f aca="false">AE262-Assumptions!$B$29</f>
        <v>57307.5009463226</v>
      </c>
      <c r="W262" s="6" t="n">
        <f aca="false">M262*(1+C262)</f>
        <v>420820.69551087</v>
      </c>
      <c r="X262" s="6" t="n">
        <f aca="false">N262*(1+D262)</f>
        <v>382700.344774417</v>
      </c>
      <c r="Y262" s="6" t="n">
        <f aca="false">O262*(1+E262)</f>
        <v>370024.156278592</v>
      </c>
      <c r="Z262" s="6" t="n">
        <f aca="false">P262*(1+F262)</f>
        <v>325233.620979545</v>
      </c>
      <c r="AA262" s="6" t="n">
        <f aca="false">Q262*(1+G262)</f>
        <v>289903.996633075</v>
      </c>
      <c r="AB262" s="6" t="n">
        <f aca="false">R262*(1+H262)</f>
        <v>247138.669563071</v>
      </c>
      <c r="AC262" s="6" t="n">
        <f aca="false">S262*(1+I262)</f>
        <v>204690.437802833</v>
      </c>
      <c r="AD262" s="6" t="n">
        <f aca="false">T262*(1+J262)</f>
        <v>157706.654634604</v>
      </c>
      <c r="AE262" s="6" t="n">
        <f aca="false">U262*(1+K262)</f>
        <v>107307.500946323</v>
      </c>
      <c r="AF262" s="6" t="n">
        <f aca="false">V262*(1+L262)</f>
        <v>61129.5050545483</v>
      </c>
      <c r="AG262" s="6" t="n">
        <f aca="false">MIN(M262:V262)</f>
        <v>57307.5009463226</v>
      </c>
      <c r="AH262" s="19" t="n">
        <f aca="false">IF(AG262&gt;=0,1,0)</f>
        <v>1</v>
      </c>
    </row>
    <row r="263" customFormat="false" ht="15" hidden="false" customHeight="false" outlineLevel="0" collapsed="false">
      <c r="A263" s="0" t="n">
        <f aca="false">ROW()-1</f>
        <v>262</v>
      </c>
      <c r="B263" s="6" t="n">
        <f aca="false">Assumptions!$B$35</f>
        <v>441263.996662504</v>
      </c>
      <c r="C263" s="8" t="n">
        <f aca="true">NORMINV(RAND(),Assumptions!$B$14,Assumptions!$B$15)</f>
        <v>0.0443809344435875</v>
      </c>
      <c r="D263" s="8" t="n">
        <f aca="true">NORMINV(RAND(),Assumptions!$B$14,Assumptions!$B$15)</f>
        <v>0.0340884923645074</v>
      </c>
      <c r="E263" s="8" t="n">
        <f aca="true">NORMINV(RAND(),Assumptions!$B$14,Assumptions!$B$15)</f>
        <v>0.0214044140833123</v>
      </c>
      <c r="F263" s="8" t="n">
        <f aca="true">NORMINV(RAND(),Assumptions!$B$14,Assumptions!$B$15)</f>
        <v>0.0732658587116472</v>
      </c>
      <c r="G263" s="8" t="n">
        <f aca="true">NORMINV(RAND(),Assumptions!$B$14,Assumptions!$B$15)</f>
        <v>0.0672440094126905</v>
      </c>
      <c r="H263" s="8" t="n">
        <f aca="true">NORMINV(RAND(),Assumptions!$B$14,Assumptions!$B$15)</f>
        <v>0.071522278170915</v>
      </c>
      <c r="I263" s="8" t="n">
        <f aca="true">NORMINV(RAND(),Assumptions!$B$14,Assumptions!$B$15)</f>
        <v>0.0697854404361777</v>
      </c>
      <c r="J263" s="8" t="n">
        <f aca="true">NORMINV(RAND(),Assumptions!$B$14,Assumptions!$B$15)</f>
        <v>0.0524962147618492</v>
      </c>
      <c r="K263" s="8" t="n">
        <f aca="true">NORMINV(RAND(),Assumptions!$B$14,Assumptions!$B$15)</f>
        <v>0.00760785467905272</v>
      </c>
      <c r="L263" s="8" t="n">
        <f aca="true">NORMINV(RAND(),Assumptions!$B$14,Assumptions!$B$15)</f>
        <v>0.0352988425233815</v>
      </c>
      <c r="M263" s="6" t="n">
        <f aca="false">B263-Assumptions!$B$29</f>
        <v>391263.996662504</v>
      </c>
      <c r="N263" s="6" t="n">
        <f aca="false">W263-Assumptions!$B$29</f>
        <v>358628.658448518</v>
      </c>
      <c r="O263" s="6" t="n">
        <f aca="false">X263-Assumptions!$B$29</f>
        <v>320853.768733734</v>
      </c>
      <c r="P263" s="6" t="n">
        <f aca="false">Y263-Assumptions!$B$29</f>
        <v>277721.455659902</v>
      </c>
      <c r="Q263" s="6" t="n">
        <f aca="false">Z263-Assumptions!$B$29</f>
        <v>248068.956591473</v>
      </c>
      <c r="R263" s="6" t="n">
        <f aca="false">AA263-Assumptions!$B$29</f>
        <v>214750.107843507</v>
      </c>
      <c r="S263" s="6" t="n">
        <f aca="false">AB263-Assumptions!$B$29</f>
        <v>180109.524793924</v>
      </c>
      <c r="T263" s="6" t="n">
        <f aca="false">AC263-Assumptions!$B$29</f>
        <v>142678.547308419</v>
      </c>
      <c r="U263" s="6" t="n">
        <f aca="false">AD263-Assumptions!$B$29</f>
        <v>100168.63096983</v>
      </c>
      <c r="V263" s="6" t="n">
        <f aca="false">AE263-Assumptions!$B$29</f>
        <v>50930.6993576484</v>
      </c>
      <c r="W263" s="6" t="n">
        <f aca="false">M263*(1+C263)</f>
        <v>408628.658448518</v>
      </c>
      <c r="X263" s="6" t="n">
        <f aca="false">N263*(1+D263)</f>
        <v>370853.768733734</v>
      </c>
      <c r="Y263" s="6" t="n">
        <f aca="false">O263*(1+E263)</f>
        <v>327721.455659902</v>
      </c>
      <c r="Z263" s="6" t="n">
        <f aca="false">P263*(1+F263)</f>
        <v>298068.956591474</v>
      </c>
      <c r="AA263" s="6" t="n">
        <f aca="false">Q263*(1+G263)</f>
        <v>264750.107843507</v>
      </c>
      <c r="AB263" s="6" t="n">
        <f aca="false">R263*(1+H263)</f>
        <v>230109.524793924</v>
      </c>
      <c r="AC263" s="6" t="n">
        <f aca="false">S263*(1+I263)</f>
        <v>192678.547308419</v>
      </c>
      <c r="AD263" s="6" t="n">
        <f aca="false">T263*(1+J263)</f>
        <v>150168.63096983</v>
      </c>
      <c r="AE263" s="6" t="n">
        <f aca="false">U263*(1+K263)</f>
        <v>100930.699357648</v>
      </c>
      <c r="AF263" s="6" t="n">
        <f aca="false">V263*(1+L263)</f>
        <v>52728.4940938797</v>
      </c>
      <c r="AG263" s="6" t="n">
        <f aca="false">MIN(M263:V263)</f>
        <v>50930.6993576484</v>
      </c>
      <c r="AH263" s="19" t="n">
        <f aca="false">IF(AG263&gt;=0,1,0)</f>
        <v>1</v>
      </c>
    </row>
    <row r="264" customFormat="false" ht="15" hidden="false" customHeight="false" outlineLevel="0" collapsed="false">
      <c r="A264" s="0" t="n">
        <f aca="false">ROW()-1</f>
        <v>263</v>
      </c>
      <c r="B264" s="6" t="n">
        <f aca="false">Assumptions!$B$35</f>
        <v>441263.996662504</v>
      </c>
      <c r="C264" s="8" t="n">
        <f aca="true">NORMINV(RAND(),Assumptions!$B$14,Assumptions!$B$15)</f>
        <v>0.0534632206786957</v>
      </c>
      <c r="D264" s="8" t="n">
        <f aca="true">NORMINV(RAND(),Assumptions!$B$14,Assumptions!$B$15)</f>
        <v>0.0501660766568495</v>
      </c>
      <c r="E264" s="8" t="n">
        <f aca="true">NORMINV(RAND(),Assumptions!$B$14,Assumptions!$B$15)</f>
        <v>0.0470861797695495</v>
      </c>
      <c r="F264" s="8" t="n">
        <f aca="true">NORMINV(RAND(),Assumptions!$B$14,Assumptions!$B$15)</f>
        <v>0.0802408205508102</v>
      </c>
      <c r="G264" s="8" t="n">
        <f aca="true">NORMINV(RAND(),Assumptions!$B$14,Assumptions!$B$15)</f>
        <v>0.0987460670081209</v>
      </c>
      <c r="H264" s="8" t="n">
        <f aca="true">NORMINV(RAND(),Assumptions!$B$14,Assumptions!$B$15)</f>
        <v>0.0670174943520386</v>
      </c>
      <c r="I264" s="8" t="n">
        <f aca="true">NORMINV(RAND(),Assumptions!$B$14,Assumptions!$B$15)</f>
        <v>0.0188744079152428</v>
      </c>
      <c r="J264" s="8" t="n">
        <f aca="true">NORMINV(RAND(),Assumptions!$B$14,Assumptions!$B$15)</f>
        <v>0.0909022941790931</v>
      </c>
      <c r="K264" s="8" t="n">
        <f aca="true">NORMINV(RAND(),Assumptions!$B$14,Assumptions!$B$15)</f>
        <v>0.0448358261019995</v>
      </c>
      <c r="L264" s="8" t="n">
        <f aca="true">NORMINV(RAND(),Assumptions!$B$14,Assumptions!$B$15)</f>
        <v>0.0821715842074319</v>
      </c>
      <c r="M264" s="6" t="n">
        <f aca="false">B264-Assumptions!$B$29</f>
        <v>391263.996662504</v>
      </c>
      <c r="N264" s="6" t="n">
        <f aca="false">W264-Assumptions!$B$29</f>
        <v>362182.230059699</v>
      </c>
      <c r="O264" s="6" t="n">
        <f aca="false">X264-Assumptions!$B$29</f>
        <v>330351.491576623</v>
      </c>
      <c r="P264" s="6" t="n">
        <f aca="false">Y264-Assumptions!$B$29</f>
        <v>295906.481296139</v>
      </c>
      <c r="Q264" s="6" t="n">
        <f aca="false">Z264-Assumptions!$B$29</f>
        <v>269650.260161644</v>
      </c>
      <c r="R264" s="6" t="n">
        <f aca="false">AA264-Assumptions!$B$29</f>
        <v>246277.162820323</v>
      </c>
      <c r="S264" s="6" t="n">
        <f aca="false">AB264-Assumptions!$B$29</f>
        <v>212782.04118867</v>
      </c>
      <c r="T264" s="6" t="n">
        <f aca="false">AC264-Assumptions!$B$29</f>
        <v>166798.176231103</v>
      </c>
      <c r="U264" s="6" t="n">
        <f aca="false">AD264-Assumptions!$B$29</f>
        <v>131960.513115399</v>
      </c>
      <c r="V264" s="6" t="n">
        <f aca="false">AE264-Assumptions!$B$29</f>
        <v>87877.0717337712</v>
      </c>
      <c r="W264" s="6" t="n">
        <f aca="false">M264*(1+C264)</f>
        <v>412182.230059699</v>
      </c>
      <c r="X264" s="6" t="n">
        <f aca="false">N264*(1+D264)</f>
        <v>380351.491576623</v>
      </c>
      <c r="Y264" s="6" t="n">
        <f aca="false">O264*(1+E264)</f>
        <v>345906.481296139</v>
      </c>
      <c r="Z264" s="6" t="n">
        <f aca="false">P264*(1+F264)</f>
        <v>319650.260161644</v>
      </c>
      <c r="AA264" s="6" t="n">
        <f aca="false">Q264*(1+G264)</f>
        <v>296277.162820323</v>
      </c>
      <c r="AB264" s="6" t="n">
        <f aca="false">R264*(1+H264)</f>
        <v>262782.04118867</v>
      </c>
      <c r="AC264" s="6" t="n">
        <f aca="false">S264*(1+I264)</f>
        <v>216798.176231103</v>
      </c>
      <c r="AD264" s="6" t="n">
        <f aca="false">T264*(1+J264)</f>
        <v>181960.513115399</v>
      </c>
      <c r="AE264" s="6" t="n">
        <f aca="false">U264*(1+K264)</f>
        <v>137877.071733771</v>
      </c>
      <c r="AF264" s="6" t="n">
        <f aca="false">V264*(1+L264)</f>
        <v>95098.0699336453</v>
      </c>
      <c r="AG264" s="6" t="n">
        <f aca="false">MIN(M264:V264)</f>
        <v>87877.0717337712</v>
      </c>
      <c r="AH264" s="19" t="n">
        <f aca="false">IF(AG264&gt;=0,1,0)</f>
        <v>1</v>
      </c>
    </row>
    <row r="265" customFormat="false" ht="15" hidden="false" customHeight="false" outlineLevel="0" collapsed="false">
      <c r="A265" s="0" t="n">
        <f aca="false">ROW()-1</f>
        <v>264</v>
      </c>
      <c r="B265" s="6" t="n">
        <f aca="false">Assumptions!$B$35</f>
        <v>441263.996662504</v>
      </c>
      <c r="C265" s="8" t="n">
        <f aca="true">NORMINV(RAND(),Assumptions!$B$14,Assumptions!$B$15)</f>
        <v>0.0510417745151327</v>
      </c>
      <c r="D265" s="8" t="n">
        <f aca="true">NORMINV(RAND(),Assumptions!$B$14,Assumptions!$B$15)</f>
        <v>0.0388690253560482</v>
      </c>
      <c r="E265" s="8" t="n">
        <f aca="true">NORMINV(RAND(),Assumptions!$B$14,Assumptions!$B$15)</f>
        <v>0.0741543458704274</v>
      </c>
      <c r="F265" s="8" t="n">
        <f aca="true">NORMINV(RAND(),Assumptions!$B$14,Assumptions!$B$15)</f>
        <v>0.0658461166492305</v>
      </c>
      <c r="G265" s="8" t="n">
        <f aca="true">NORMINV(RAND(),Assumptions!$B$14,Assumptions!$B$15)</f>
        <v>0.0595053196505425</v>
      </c>
      <c r="H265" s="8" t="n">
        <f aca="true">NORMINV(RAND(),Assumptions!$B$14,Assumptions!$B$15)</f>
        <v>0.0644543361258566</v>
      </c>
      <c r="I265" s="8" t="n">
        <f aca="true">NORMINV(RAND(),Assumptions!$B$14,Assumptions!$B$15)</f>
        <v>0.0750161274928334</v>
      </c>
      <c r="J265" s="8" t="n">
        <f aca="true">NORMINV(RAND(),Assumptions!$B$14,Assumptions!$B$15)</f>
        <v>0.0418558778616984</v>
      </c>
      <c r="K265" s="8" t="n">
        <f aca="true">NORMINV(RAND(),Assumptions!$B$14,Assumptions!$B$15)</f>
        <v>0.0536279976234248</v>
      </c>
      <c r="L265" s="8" t="n">
        <f aca="true">NORMINV(RAND(),Assumptions!$B$14,Assumptions!$B$15)</f>
        <v>0.00849684524868583</v>
      </c>
      <c r="M265" s="6" t="n">
        <f aca="false">B265-Assumptions!$B$29</f>
        <v>391263.996662504</v>
      </c>
      <c r="N265" s="6" t="n">
        <f aca="false">W265-Assumptions!$B$29</f>
        <v>361234.805356041</v>
      </c>
      <c r="O265" s="6" t="n">
        <f aca="false">X265-Assumptions!$B$29</f>
        <v>325275.650164912</v>
      </c>
      <c r="P265" s="6" t="n">
        <f aca="false">Y265-Assumptions!$B$29</f>
        <v>299396.253230469</v>
      </c>
      <c r="Q265" s="6" t="n">
        <f aca="false">Z265-Assumptions!$B$29</f>
        <v>269110.333845025</v>
      </c>
      <c r="R265" s="6" t="n">
        <f aca="false">AA265-Assumptions!$B$29</f>
        <v>235123.830281737</v>
      </c>
      <c r="S265" s="6" t="n">
        <f aca="false">AB265-Assumptions!$B$29</f>
        <v>200278.580669915</v>
      </c>
      <c r="T265" s="6" t="n">
        <f aca="false">AC265-Assumptions!$B$29</f>
        <v>165302.704211533</v>
      </c>
      <c r="U265" s="6" t="n">
        <f aca="false">AD265-Assumptions!$B$29</f>
        <v>122221.59400922</v>
      </c>
      <c r="V265" s="6" t="n">
        <f aca="false">AE265-Assumptions!$B$29</f>
        <v>78776.0933622771</v>
      </c>
      <c r="W265" s="6" t="n">
        <f aca="false">M265*(1+C265)</f>
        <v>411234.805356041</v>
      </c>
      <c r="X265" s="6" t="n">
        <f aca="false">N265*(1+D265)</f>
        <v>375275.650164912</v>
      </c>
      <c r="Y265" s="6" t="n">
        <f aca="false">O265*(1+E265)</f>
        <v>349396.253230469</v>
      </c>
      <c r="Z265" s="6" t="n">
        <f aca="false">P265*(1+F265)</f>
        <v>319110.333845025</v>
      </c>
      <c r="AA265" s="6" t="n">
        <f aca="false">Q265*(1+G265)</f>
        <v>285123.830281737</v>
      </c>
      <c r="AB265" s="6" t="n">
        <f aca="false">R265*(1+H265)</f>
        <v>250278.580669915</v>
      </c>
      <c r="AC265" s="6" t="n">
        <f aca="false">S265*(1+I265)</f>
        <v>215302.704211533</v>
      </c>
      <c r="AD265" s="6" t="n">
        <f aca="false">T265*(1+J265)</f>
        <v>172221.59400922</v>
      </c>
      <c r="AE265" s="6" t="n">
        <f aca="false">U265*(1+K265)</f>
        <v>128776.093362277</v>
      </c>
      <c r="AF265" s="6" t="n">
        <f aca="false">V265*(1+L265)</f>
        <v>79445.4416368724</v>
      </c>
      <c r="AG265" s="6" t="n">
        <f aca="false">MIN(M265:V265)</f>
        <v>78776.0933622771</v>
      </c>
      <c r="AH265" s="19" t="n">
        <f aca="false">IF(AG265&gt;=0,1,0)</f>
        <v>1</v>
      </c>
    </row>
    <row r="266" customFormat="false" ht="15" hidden="false" customHeight="false" outlineLevel="0" collapsed="false">
      <c r="A266" s="0" t="n">
        <f aca="false">ROW()-1</f>
        <v>265</v>
      </c>
      <c r="B266" s="6" t="n">
        <f aca="false">Assumptions!$B$35</f>
        <v>441263.996662504</v>
      </c>
      <c r="C266" s="8" t="n">
        <f aca="true">NORMINV(RAND(),Assumptions!$B$14,Assumptions!$B$15)</f>
        <v>0.0215006697804062</v>
      </c>
      <c r="D266" s="8" t="n">
        <f aca="true">NORMINV(RAND(),Assumptions!$B$14,Assumptions!$B$15)</f>
        <v>0.0798622464490253</v>
      </c>
      <c r="E266" s="8" t="n">
        <f aca="true">NORMINV(RAND(),Assumptions!$B$14,Assumptions!$B$15)</f>
        <v>0.0359638476844347</v>
      </c>
      <c r="F266" s="8" t="n">
        <f aca="true">NORMINV(RAND(),Assumptions!$B$14,Assumptions!$B$15)</f>
        <v>0.0906104670747185</v>
      </c>
      <c r="G266" s="8" t="n">
        <f aca="true">NORMINV(RAND(),Assumptions!$B$14,Assumptions!$B$15)</f>
        <v>0.104827647908736</v>
      </c>
      <c r="H266" s="8" t="n">
        <f aca="true">NORMINV(RAND(),Assumptions!$B$14,Assumptions!$B$15)</f>
        <v>0.0017566035092195</v>
      </c>
      <c r="I266" s="8" t="n">
        <f aca="true">NORMINV(RAND(),Assumptions!$B$14,Assumptions!$B$15)</f>
        <v>0.0965899602692878</v>
      </c>
      <c r="J266" s="8" t="n">
        <f aca="true">NORMINV(RAND(),Assumptions!$B$14,Assumptions!$B$15)</f>
        <v>0.0770521047940712</v>
      </c>
      <c r="K266" s="8" t="n">
        <f aca="true">NORMINV(RAND(),Assumptions!$B$14,Assumptions!$B$15)</f>
        <v>0.0501970661190914</v>
      </c>
      <c r="L266" s="8" t="n">
        <f aca="true">NORMINV(RAND(),Assumptions!$B$14,Assumptions!$B$15)</f>
        <v>0.0836112985626997</v>
      </c>
      <c r="M266" s="6" t="n">
        <f aca="false">B266-Assumptions!$B$29</f>
        <v>391263.996662504</v>
      </c>
      <c r="N266" s="6" t="n">
        <f aca="false">W266-Assumptions!$B$29</f>
        <v>349676.434651706</v>
      </c>
      <c r="O266" s="6" t="n">
        <f aca="false">X266-Assumptions!$B$29</f>
        <v>327602.380253277</v>
      </c>
      <c r="P266" s="6" t="n">
        <f aca="false">Y266-Assumptions!$B$29</f>
        <v>289384.222357764</v>
      </c>
      <c r="Q266" s="6" t="n">
        <f aca="false">Z266-Assumptions!$B$29</f>
        <v>265605.461909655</v>
      </c>
      <c r="R266" s="6" t="n">
        <f aca="false">AA266-Assumptions!$B$29</f>
        <v>243448.257753358</v>
      </c>
      <c r="S266" s="6" t="n">
        <f aca="false">AB266-Assumptions!$B$29</f>
        <v>193875.899817241</v>
      </c>
      <c r="T266" s="6" t="n">
        <f aca="false">AC266-Assumptions!$B$29</f>
        <v>162602.36527776</v>
      </c>
      <c r="U266" s="6" t="n">
        <f aca="false">AD266-Assumptions!$B$29</f>
        <v>125131.219766906</v>
      </c>
      <c r="V266" s="6" t="n">
        <f aca="false">AE266-Assumptions!$B$29</f>
        <v>81412.4398791082</v>
      </c>
      <c r="W266" s="6" t="n">
        <f aca="false">M266*(1+C266)</f>
        <v>399676.434651706</v>
      </c>
      <c r="X266" s="6" t="n">
        <f aca="false">N266*(1+D266)</f>
        <v>377602.380253277</v>
      </c>
      <c r="Y266" s="6" t="n">
        <f aca="false">O266*(1+E266)</f>
        <v>339384.222357764</v>
      </c>
      <c r="Z266" s="6" t="n">
        <f aca="false">P266*(1+F266)</f>
        <v>315605.461909655</v>
      </c>
      <c r="AA266" s="6" t="n">
        <f aca="false">Q266*(1+G266)</f>
        <v>293448.257753358</v>
      </c>
      <c r="AB266" s="6" t="n">
        <f aca="false">R266*(1+H266)</f>
        <v>243875.899817241</v>
      </c>
      <c r="AC266" s="6" t="n">
        <f aca="false">S266*(1+I266)</f>
        <v>212602.36527776</v>
      </c>
      <c r="AD266" s="6" t="n">
        <f aca="false">T266*(1+J266)</f>
        <v>175131.219766906</v>
      </c>
      <c r="AE266" s="6" t="n">
        <f aca="false">U266*(1+K266)</f>
        <v>131412.439879108</v>
      </c>
      <c r="AF266" s="6" t="n">
        <f aca="false">V266*(1+L266)</f>
        <v>88219.4396965582</v>
      </c>
      <c r="AG266" s="6" t="n">
        <f aca="false">MIN(M266:V266)</f>
        <v>81412.4398791082</v>
      </c>
      <c r="AH266" s="19" t="n">
        <f aca="false">IF(AG266&gt;=0,1,0)</f>
        <v>1</v>
      </c>
    </row>
    <row r="267" customFormat="false" ht="15" hidden="false" customHeight="false" outlineLevel="0" collapsed="false">
      <c r="A267" s="0" t="n">
        <f aca="false">ROW()-1</f>
        <v>266</v>
      </c>
      <c r="B267" s="6" t="n">
        <f aca="false">Assumptions!$B$35</f>
        <v>441263.996662504</v>
      </c>
      <c r="C267" s="8" t="n">
        <f aca="true">NORMINV(RAND(),Assumptions!$B$14,Assumptions!$B$15)</f>
        <v>0.0584725140946792</v>
      </c>
      <c r="D267" s="8" t="n">
        <f aca="true">NORMINV(RAND(),Assumptions!$B$14,Assumptions!$B$15)</f>
        <v>0.00492688296204459</v>
      </c>
      <c r="E267" s="8" t="n">
        <f aca="true">NORMINV(RAND(),Assumptions!$B$14,Assumptions!$B$15)</f>
        <v>0.0249949801049828</v>
      </c>
      <c r="F267" s="8" t="n">
        <f aca="true">NORMINV(RAND(),Assumptions!$B$14,Assumptions!$B$15)</f>
        <v>0.0948245356818073</v>
      </c>
      <c r="G267" s="8" t="n">
        <f aca="true">NORMINV(RAND(),Assumptions!$B$14,Assumptions!$B$15)</f>
        <v>0.0925520501496264</v>
      </c>
      <c r="H267" s="8" t="n">
        <f aca="true">NORMINV(RAND(),Assumptions!$B$14,Assumptions!$B$15)</f>
        <v>0.0232697660633333</v>
      </c>
      <c r="I267" s="8" t="n">
        <f aca="true">NORMINV(RAND(),Assumptions!$B$14,Assumptions!$B$15)</f>
        <v>0.0925631097558575</v>
      </c>
      <c r="J267" s="8" t="n">
        <f aca="true">NORMINV(RAND(),Assumptions!$B$14,Assumptions!$B$15)</f>
        <v>0.0910096232346579</v>
      </c>
      <c r="K267" s="8" t="n">
        <f aca="true">NORMINV(RAND(),Assumptions!$B$14,Assumptions!$B$15)</f>
        <v>0.0134010446542258</v>
      </c>
      <c r="L267" s="8" t="n">
        <f aca="true">NORMINV(RAND(),Assumptions!$B$14,Assumptions!$B$15)</f>
        <v>0.0787614216081134</v>
      </c>
      <c r="M267" s="6" t="n">
        <f aca="false">B267-Assumptions!$B$29</f>
        <v>391263.996662504</v>
      </c>
      <c r="N267" s="6" t="n">
        <f aca="false">W267-Assumptions!$B$29</f>
        <v>364142.186222092</v>
      </c>
      <c r="O267" s="6" t="n">
        <f aca="false">X267-Assumptions!$B$29</f>
        <v>315936.272155152</v>
      </c>
      <c r="P267" s="6" t="n">
        <f aca="false">Y267-Assumptions!$B$29</f>
        <v>273833.092992112</v>
      </c>
      <c r="Q267" s="6" t="n">
        <f aca="false">Z267-Assumptions!$B$29</f>
        <v>249799.188889402</v>
      </c>
      <c r="R267" s="6" t="n">
        <f aca="false">AA267-Assumptions!$B$29</f>
        <v>222918.61594683</v>
      </c>
      <c r="S267" s="6" t="n">
        <f aca="false">AB267-Assumptions!$B$29</f>
        <v>178105.879991075</v>
      </c>
      <c r="T267" s="6" t="n">
        <f aca="false">AC267-Assumptions!$B$29</f>
        <v>144591.914108852</v>
      </c>
      <c r="U267" s="6" t="n">
        <f aca="false">AD267-Assumptions!$B$29</f>
        <v>107751.169734677</v>
      </c>
      <c r="V267" s="6" t="n">
        <f aca="false">AE267-Assumptions!$B$29</f>
        <v>59195.1479718365</v>
      </c>
      <c r="W267" s="6" t="n">
        <f aca="false">M267*(1+C267)</f>
        <v>414142.186222092</v>
      </c>
      <c r="X267" s="6" t="n">
        <f aca="false">N267*(1+D267)</f>
        <v>365936.272155152</v>
      </c>
      <c r="Y267" s="6" t="n">
        <f aca="false">O267*(1+E267)</f>
        <v>323833.092992112</v>
      </c>
      <c r="Z267" s="6" t="n">
        <f aca="false">P267*(1+F267)</f>
        <v>299799.188889402</v>
      </c>
      <c r="AA267" s="6" t="n">
        <f aca="false">Q267*(1+G267)</f>
        <v>272918.61594683</v>
      </c>
      <c r="AB267" s="6" t="n">
        <f aca="false">R267*(1+H267)</f>
        <v>228105.879991075</v>
      </c>
      <c r="AC267" s="6" t="n">
        <f aca="false">S267*(1+I267)</f>
        <v>194591.914108852</v>
      </c>
      <c r="AD267" s="6" t="n">
        <f aca="false">T267*(1+J267)</f>
        <v>157751.169734677</v>
      </c>
      <c r="AE267" s="6" t="n">
        <f aca="false">U267*(1+K267)</f>
        <v>109195.147971836</v>
      </c>
      <c r="AF267" s="6" t="n">
        <f aca="false">V267*(1+L267)</f>
        <v>63857.4419784009</v>
      </c>
      <c r="AG267" s="6" t="n">
        <f aca="false">MIN(M267:V267)</f>
        <v>59195.1479718365</v>
      </c>
      <c r="AH267" s="19" t="n">
        <f aca="false">IF(AG267&gt;=0,1,0)</f>
        <v>1</v>
      </c>
    </row>
    <row r="268" customFormat="false" ht="15" hidden="false" customHeight="false" outlineLevel="0" collapsed="false">
      <c r="A268" s="0" t="n">
        <f aca="false">ROW()-1</f>
        <v>267</v>
      </c>
      <c r="B268" s="6" t="n">
        <f aca="false">Assumptions!$B$35</f>
        <v>441263.996662504</v>
      </c>
      <c r="C268" s="8" t="n">
        <f aca="true">NORMINV(RAND(),Assumptions!$B$14,Assumptions!$B$15)</f>
        <v>0.0171669041023904</v>
      </c>
      <c r="D268" s="8" t="n">
        <f aca="true">NORMINV(RAND(),Assumptions!$B$14,Assumptions!$B$15)</f>
        <v>0.07682842778291</v>
      </c>
      <c r="E268" s="8" t="n">
        <f aca="true">NORMINV(RAND(),Assumptions!$B$14,Assumptions!$B$15)</f>
        <v>0.0433971314552764</v>
      </c>
      <c r="F268" s="8" t="n">
        <f aca="true">NORMINV(RAND(),Assumptions!$B$14,Assumptions!$B$15)</f>
        <v>0.110360035722193</v>
      </c>
      <c r="G268" s="8" t="n">
        <f aca="true">NORMINV(RAND(),Assumptions!$B$14,Assumptions!$B$15)</f>
        <v>0.0287833480897597</v>
      </c>
      <c r="H268" s="8" t="n">
        <f aca="true">NORMINV(RAND(),Assumptions!$B$14,Assumptions!$B$15)</f>
        <v>0.0448849027299876</v>
      </c>
      <c r="I268" s="8" t="n">
        <f aca="true">NORMINV(RAND(),Assumptions!$B$14,Assumptions!$B$15)</f>
        <v>0.0352926423316947</v>
      </c>
      <c r="J268" s="8" t="n">
        <f aca="true">NORMINV(RAND(),Assumptions!$B$14,Assumptions!$B$15)</f>
        <v>-0.0348582477989249</v>
      </c>
      <c r="K268" s="8" t="n">
        <f aca="true">NORMINV(RAND(),Assumptions!$B$14,Assumptions!$B$15)</f>
        <v>0.016055424356575</v>
      </c>
      <c r="L268" s="8" t="n">
        <f aca="true">NORMINV(RAND(),Assumptions!$B$14,Assumptions!$B$15)</f>
        <v>0.0690753723963399</v>
      </c>
      <c r="M268" s="6" t="n">
        <f aca="false">B268-Assumptions!$B$29</f>
        <v>391263.996662504</v>
      </c>
      <c r="N268" s="6" t="n">
        <f aca="false">W268-Assumptions!$B$29</f>
        <v>347980.788171927</v>
      </c>
      <c r="O268" s="6" t="n">
        <f aca="false">X268-Assumptions!$B$29</f>
        <v>324715.605025834</v>
      </c>
      <c r="P268" s="6" t="n">
        <f aca="false">Y268-Assumptions!$B$29</f>
        <v>288807.330822719</v>
      </c>
      <c r="Q268" s="6" t="n">
        <f aca="false">Z268-Assumptions!$B$29</f>
        <v>270680.118169146</v>
      </c>
      <c r="R268" s="6" t="n">
        <f aca="false">AA268-Assumptions!$B$29</f>
        <v>228471.198231386</v>
      </c>
      <c r="S268" s="6" t="n">
        <f aca="false">AB268-Assumptions!$B$29</f>
        <v>188726.105740605</v>
      </c>
      <c r="T268" s="6" t="n">
        <f aca="false">AC268-Assumptions!$B$29</f>
        <v>145386.748689162</v>
      </c>
      <c r="U268" s="6" t="n">
        <f aca="false">AD268-Assumptions!$B$29</f>
        <v>90318.821376675</v>
      </c>
      <c r="V268" s="6" t="n">
        <f aca="false">AE268-Assumptions!$B$29</f>
        <v>41768.9283812632</v>
      </c>
      <c r="W268" s="6" t="n">
        <f aca="false">M268*(1+C268)</f>
        <v>397980.788171927</v>
      </c>
      <c r="X268" s="6" t="n">
        <f aca="false">N268*(1+D268)</f>
        <v>374715.605025834</v>
      </c>
      <c r="Y268" s="6" t="n">
        <f aca="false">O268*(1+E268)</f>
        <v>338807.330822719</v>
      </c>
      <c r="Z268" s="6" t="n">
        <f aca="false">P268*(1+F268)</f>
        <v>320680.118169146</v>
      </c>
      <c r="AA268" s="6" t="n">
        <f aca="false">Q268*(1+G268)</f>
        <v>278471.198231386</v>
      </c>
      <c r="AB268" s="6" t="n">
        <f aca="false">R268*(1+H268)</f>
        <v>238726.105740605</v>
      </c>
      <c r="AC268" s="6" t="n">
        <f aca="false">S268*(1+I268)</f>
        <v>195386.748689162</v>
      </c>
      <c r="AD268" s="6" t="n">
        <f aca="false">T268*(1+J268)</f>
        <v>140318.821376675</v>
      </c>
      <c r="AE268" s="6" t="n">
        <f aca="false">U268*(1+K268)</f>
        <v>91768.9283812632</v>
      </c>
      <c r="AF268" s="6" t="n">
        <f aca="false">V268*(1+L268)</f>
        <v>44654.132663795</v>
      </c>
      <c r="AG268" s="6" t="n">
        <f aca="false">MIN(M268:V268)</f>
        <v>41768.9283812632</v>
      </c>
      <c r="AH268" s="19" t="n">
        <f aca="false">IF(AG268&gt;=0,1,0)</f>
        <v>1</v>
      </c>
    </row>
    <row r="269" customFormat="false" ht="15" hidden="false" customHeight="false" outlineLevel="0" collapsed="false">
      <c r="A269" s="0" t="n">
        <f aca="false">ROW()-1</f>
        <v>268</v>
      </c>
      <c r="B269" s="6" t="n">
        <f aca="false">Assumptions!$B$35</f>
        <v>441263.996662504</v>
      </c>
      <c r="C269" s="8" t="n">
        <f aca="true">NORMINV(RAND(),Assumptions!$B$14,Assumptions!$B$15)</f>
        <v>0.0351375717991677</v>
      </c>
      <c r="D269" s="8" t="n">
        <f aca="true">NORMINV(RAND(),Assumptions!$B$14,Assumptions!$B$15)</f>
        <v>0.0447507230598226</v>
      </c>
      <c r="E269" s="8" t="n">
        <f aca="true">NORMINV(RAND(),Assumptions!$B$14,Assumptions!$B$15)</f>
        <v>0.0845489091635969</v>
      </c>
      <c r="F269" s="8" t="n">
        <f aca="true">NORMINV(RAND(),Assumptions!$B$14,Assumptions!$B$15)</f>
        <v>0.0452836041663904</v>
      </c>
      <c r="G269" s="8" t="n">
        <f aca="true">NORMINV(RAND(),Assumptions!$B$14,Assumptions!$B$15)</f>
        <v>0.0273777606264733</v>
      </c>
      <c r="H269" s="8" t="n">
        <f aca="true">NORMINV(RAND(),Assumptions!$B$14,Assumptions!$B$15)</f>
        <v>-0.0095450504358804</v>
      </c>
      <c r="I269" s="8" t="n">
        <f aca="true">NORMINV(RAND(),Assumptions!$B$14,Assumptions!$B$15)</f>
        <v>0.0661248895105157</v>
      </c>
      <c r="J269" s="8" t="n">
        <f aca="true">NORMINV(RAND(),Assumptions!$B$14,Assumptions!$B$15)</f>
        <v>0.0574228894857345</v>
      </c>
      <c r="K269" s="8" t="n">
        <f aca="true">NORMINV(RAND(),Assumptions!$B$14,Assumptions!$B$15)</f>
        <v>0.0331946013196131</v>
      </c>
      <c r="L269" s="8" t="n">
        <f aca="true">NORMINV(RAND(),Assumptions!$B$14,Assumptions!$B$15)</f>
        <v>0.0634167106860331</v>
      </c>
      <c r="M269" s="6" t="n">
        <f aca="false">B269-Assumptions!$B$29</f>
        <v>391263.996662504</v>
      </c>
      <c r="N269" s="6" t="n">
        <f aca="false">W269-Assumptions!$B$29</f>
        <v>355012.063437662</v>
      </c>
      <c r="O269" s="6" t="n">
        <f aca="false">X269-Assumptions!$B$29</f>
        <v>320899.109971456</v>
      </c>
      <c r="P269" s="6" t="n">
        <f aca="false">Y269-Assumptions!$B$29</f>
        <v>298030.779671112</v>
      </c>
      <c r="Q269" s="6" t="n">
        <f aca="false">Z269-Assumptions!$B$29</f>
        <v>261526.68752714</v>
      </c>
      <c r="R269" s="6" t="n">
        <f aca="false">AA269-Assumptions!$B$29</f>
        <v>218686.702575692</v>
      </c>
      <c r="S269" s="6" t="n">
        <f aca="false">AB269-Assumptions!$B$29</f>
        <v>166599.326969951</v>
      </c>
      <c r="T269" s="6" t="n">
        <f aca="false">AC269-Assumptions!$B$29</f>
        <v>127615.689058365</v>
      </c>
      <c r="U269" s="6" t="n">
        <f aca="false">AD269-Assumptions!$B$29</f>
        <v>84943.7506678095</v>
      </c>
      <c r="V269" s="6" t="n">
        <f aca="false">AE269-Assumptions!$B$29</f>
        <v>37763.42460582</v>
      </c>
      <c r="W269" s="6" t="n">
        <f aca="false">M269*(1+C269)</f>
        <v>405012.063437662</v>
      </c>
      <c r="X269" s="6" t="n">
        <f aca="false">N269*(1+D269)</f>
        <v>370899.109971456</v>
      </c>
      <c r="Y269" s="6" t="n">
        <f aca="false">O269*(1+E269)</f>
        <v>348030.779671112</v>
      </c>
      <c r="Z269" s="6" t="n">
        <f aca="false">P269*(1+F269)</f>
        <v>311526.68752714</v>
      </c>
      <c r="AA269" s="6" t="n">
        <f aca="false">Q269*(1+G269)</f>
        <v>268686.702575692</v>
      </c>
      <c r="AB269" s="6" t="n">
        <f aca="false">R269*(1+H269)</f>
        <v>216599.326969951</v>
      </c>
      <c r="AC269" s="6" t="n">
        <f aca="false">S269*(1+I269)</f>
        <v>177615.689058365</v>
      </c>
      <c r="AD269" s="6" t="n">
        <f aca="false">T269*(1+J269)</f>
        <v>134943.750667809</v>
      </c>
      <c r="AE269" s="6" t="n">
        <f aca="false">U269*(1+K269)</f>
        <v>87763.42460582</v>
      </c>
      <c r="AF269" s="6" t="n">
        <f aca="false">V269*(1+L269)</f>
        <v>40158.2567785611</v>
      </c>
      <c r="AG269" s="6" t="n">
        <f aca="false">MIN(M269:V269)</f>
        <v>37763.42460582</v>
      </c>
      <c r="AH269" s="19" t="n">
        <f aca="false">IF(AG269&gt;=0,1,0)</f>
        <v>1</v>
      </c>
    </row>
    <row r="270" customFormat="false" ht="15" hidden="false" customHeight="false" outlineLevel="0" collapsed="false">
      <c r="A270" s="0" t="n">
        <f aca="false">ROW()-1</f>
        <v>269</v>
      </c>
      <c r="B270" s="6" t="n">
        <f aca="false">Assumptions!$B$35</f>
        <v>441263.996662504</v>
      </c>
      <c r="C270" s="8" t="n">
        <f aca="true">NORMINV(RAND(),Assumptions!$B$14,Assumptions!$B$15)</f>
        <v>0.0255910336339481</v>
      </c>
      <c r="D270" s="8" t="n">
        <f aca="true">NORMINV(RAND(),Assumptions!$B$14,Assumptions!$B$15)</f>
        <v>0.0215710017379518</v>
      </c>
      <c r="E270" s="8" t="n">
        <f aca="true">NORMINV(RAND(),Assumptions!$B$14,Assumptions!$B$15)</f>
        <v>0.0634879162866256</v>
      </c>
      <c r="F270" s="8" t="n">
        <f aca="true">NORMINV(RAND(),Assumptions!$B$14,Assumptions!$B$15)</f>
        <v>0.03295104835788</v>
      </c>
      <c r="G270" s="8" t="n">
        <f aca="true">NORMINV(RAND(),Assumptions!$B$14,Assumptions!$B$15)</f>
        <v>0.0344945928939948</v>
      </c>
      <c r="H270" s="8" t="n">
        <f aca="true">NORMINV(RAND(),Assumptions!$B$14,Assumptions!$B$15)</f>
        <v>0.0287377020258163</v>
      </c>
      <c r="I270" s="8" t="n">
        <f aca="true">NORMINV(RAND(),Assumptions!$B$14,Assumptions!$B$15)</f>
        <v>0.0671067206877498</v>
      </c>
      <c r="J270" s="8" t="n">
        <f aca="true">NORMINV(RAND(),Assumptions!$B$14,Assumptions!$B$15)</f>
        <v>0.0328297960713625</v>
      </c>
      <c r="K270" s="8" t="n">
        <f aca="true">NORMINV(RAND(),Assumptions!$B$14,Assumptions!$B$15)</f>
        <v>0.0600755965941885</v>
      </c>
      <c r="L270" s="8" t="n">
        <f aca="true">NORMINV(RAND(),Assumptions!$B$14,Assumptions!$B$15)</f>
        <v>0.0564123917798044</v>
      </c>
      <c r="M270" s="6" t="n">
        <f aca="false">B270-Assumptions!$B$29</f>
        <v>391263.996662504</v>
      </c>
      <c r="N270" s="6" t="n">
        <f aca="false">W270-Assumptions!$B$29</f>
        <v>351276.846760847</v>
      </c>
      <c r="O270" s="6" t="n">
        <f aca="false">X270-Assumptions!$B$29</f>
        <v>308854.240232827</v>
      </c>
      <c r="P270" s="6" t="n">
        <f aca="false">Y270-Assumptions!$B$29</f>
        <v>278462.752381498</v>
      </c>
      <c r="Q270" s="6" t="n">
        <f aca="false">Z270-Assumptions!$B$29</f>
        <v>237638.392001089</v>
      </c>
      <c r="R270" s="6" t="n">
        <f aca="false">AA270-Assumptions!$B$29</f>
        <v>195835.63158915</v>
      </c>
      <c r="S270" s="6" t="n">
        <f aca="false">AB270-Assumptions!$B$29</f>
        <v>151463.497615797</v>
      </c>
      <c r="T270" s="6" t="n">
        <f aca="false">AC270-Assumptions!$B$29</f>
        <v>111627.71624469</v>
      </c>
      <c r="U270" s="6" t="n">
        <f aca="false">AD270-Assumptions!$B$29</f>
        <v>65292.431404915</v>
      </c>
      <c r="V270" s="6" t="n">
        <f aca="false">AE270-Assumptions!$B$29</f>
        <v>19214.9131746504</v>
      </c>
      <c r="W270" s="6" t="n">
        <f aca="false">M270*(1+C270)</f>
        <v>401276.846760847</v>
      </c>
      <c r="X270" s="6" t="n">
        <f aca="false">N270*(1+D270)</f>
        <v>358854.240232827</v>
      </c>
      <c r="Y270" s="6" t="n">
        <f aca="false">O270*(1+E270)</f>
        <v>328462.752381498</v>
      </c>
      <c r="Z270" s="6" t="n">
        <f aca="false">P270*(1+F270)</f>
        <v>287638.392001089</v>
      </c>
      <c r="AA270" s="6" t="n">
        <f aca="false">Q270*(1+G270)</f>
        <v>245835.63158915</v>
      </c>
      <c r="AB270" s="6" t="n">
        <f aca="false">R270*(1+H270)</f>
        <v>201463.497615797</v>
      </c>
      <c r="AC270" s="6" t="n">
        <f aca="false">S270*(1+I270)</f>
        <v>161627.71624469</v>
      </c>
      <c r="AD270" s="6" t="n">
        <f aca="false">T270*(1+J270)</f>
        <v>115292.431404915</v>
      </c>
      <c r="AE270" s="6" t="n">
        <f aca="false">U270*(1+K270)</f>
        <v>69214.9131746504</v>
      </c>
      <c r="AF270" s="6" t="n">
        <f aca="false">V270*(1+L270)</f>
        <v>20298.8723846737</v>
      </c>
      <c r="AG270" s="6" t="n">
        <f aca="false">MIN(M270:V270)</f>
        <v>19214.9131746504</v>
      </c>
      <c r="AH270" s="19" t="n">
        <f aca="false">IF(AG270&gt;=0,1,0)</f>
        <v>1</v>
      </c>
    </row>
    <row r="271" customFormat="false" ht="15" hidden="false" customHeight="false" outlineLevel="0" collapsed="false">
      <c r="A271" s="0" t="n">
        <f aca="false">ROW()-1</f>
        <v>270</v>
      </c>
      <c r="B271" s="6" t="n">
        <f aca="false">Assumptions!$B$35</f>
        <v>441263.996662504</v>
      </c>
      <c r="C271" s="8" t="n">
        <f aca="true">NORMINV(RAND(),Assumptions!$B$14,Assumptions!$B$15)</f>
        <v>0.0177221571646242</v>
      </c>
      <c r="D271" s="8" t="n">
        <f aca="true">NORMINV(RAND(),Assumptions!$B$14,Assumptions!$B$15)</f>
        <v>0.125611965296803</v>
      </c>
      <c r="E271" s="8" t="n">
        <f aca="true">NORMINV(RAND(),Assumptions!$B$14,Assumptions!$B$15)</f>
        <v>0.0241651681350945</v>
      </c>
      <c r="F271" s="8" t="n">
        <f aca="true">NORMINV(RAND(),Assumptions!$B$14,Assumptions!$B$15)</f>
        <v>0.0550295254757434</v>
      </c>
      <c r="G271" s="8" t="n">
        <f aca="true">NORMINV(RAND(),Assumptions!$B$14,Assumptions!$B$15)</f>
        <v>0.00605765917296353</v>
      </c>
      <c r="H271" s="8" t="n">
        <f aca="true">NORMINV(RAND(),Assumptions!$B$14,Assumptions!$B$15)</f>
        <v>0.0295320917548673</v>
      </c>
      <c r="I271" s="8" t="n">
        <f aca="true">NORMINV(RAND(),Assumptions!$B$14,Assumptions!$B$15)</f>
        <v>0.102683271285888</v>
      </c>
      <c r="J271" s="8" t="n">
        <f aca="true">NORMINV(RAND(),Assumptions!$B$14,Assumptions!$B$15)</f>
        <v>0.0650014526740945</v>
      </c>
      <c r="K271" s="8" t="n">
        <f aca="true">NORMINV(RAND(),Assumptions!$B$14,Assumptions!$B$15)</f>
        <v>0.00866866591134006</v>
      </c>
      <c r="L271" s="8" t="n">
        <f aca="true">NORMINV(RAND(),Assumptions!$B$14,Assumptions!$B$15)</f>
        <v>0.0148788220136031</v>
      </c>
      <c r="M271" s="6" t="n">
        <f aca="false">B271-Assumptions!$B$29</f>
        <v>391263.996662504</v>
      </c>
      <c r="N271" s="6" t="n">
        <f aca="false">W271-Assumptions!$B$29</f>
        <v>348198.038704215</v>
      </c>
      <c r="O271" s="6" t="n">
        <f aca="false">X271-Assumptions!$B$29</f>
        <v>341935.878658344</v>
      </c>
      <c r="P271" s="6" t="n">
        <f aca="false">Y271-Assumptions!$B$29</f>
        <v>300198.816657545</v>
      </c>
      <c r="Q271" s="6" t="n">
        <f aca="false">Z271-Assumptions!$B$29</f>
        <v>266718.615086589</v>
      </c>
      <c r="R271" s="6" t="n">
        <f aca="false">AA271-Assumptions!$B$29</f>
        <v>218334.305551868</v>
      </c>
      <c r="S271" s="6" t="n">
        <f aca="false">AB271-Assumptions!$B$29</f>
        <v>174782.174296661</v>
      </c>
      <c r="T271" s="6" t="n">
        <f aca="false">AC271-Assumptions!$B$29</f>
        <v>142729.379715903</v>
      </c>
      <c r="U271" s="6" t="n">
        <f aca="false">AD271-Assumptions!$B$29</f>
        <v>102006.996736709</v>
      </c>
      <c r="V271" s="6" t="n">
        <f aca="false">AE271-Assumptions!$B$29</f>
        <v>52891.2613120384</v>
      </c>
      <c r="W271" s="6" t="n">
        <f aca="false">M271*(1+C271)</f>
        <v>398198.038704215</v>
      </c>
      <c r="X271" s="6" t="n">
        <f aca="false">N271*(1+D271)</f>
        <v>391935.878658344</v>
      </c>
      <c r="Y271" s="6" t="n">
        <f aca="false">O271*(1+E271)</f>
        <v>350198.816657545</v>
      </c>
      <c r="Z271" s="6" t="n">
        <f aca="false">P271*(1+F271)</f>
        <v>316718.615086589</v>
      </c>
      <c r="AA271" s="6" t="n">
        <f aca="false">Q271*(1+G271)</f>
        <v>268334.305551868</v>
      </c>
      <c r="AB271" s="6" t="n">
        <f aca="false">R271*(1+H271)</f>
        <v>224782.174296661</v>
      </c>
      <c r="AC271" s="6" t="n">
        <f aca="false">S271*(1+I271)</f>
        <v>192729.379715903</v>
      </c>
      <c r="AD271" s="6" t="n">
        <f aca="false">T271*(1+J271)</f>
        <v>152006.996736709</v>
      </c>
      <c r="AE271" s="6" t="n">
        <f aca="false">U271*(1+K271)</f>
        <v>102891.261312038</v>
      </c>
      <c r="AF271" s="6" t="n">
        <f aca="false">V271*(1+L271)</f>
        <v>53678.2209751752</v>
      </c>
      <c r="AG271" s="6" t="n">
        <f aca="false">MIN(M271:V271)</f>
        <v>52891.2613120384</v>
      </c>
      <c r="AH271" s="19" t="n">
        <f aca="false">IF(AG271&gt;=0,1,0)</f>
        <v>1</v>
      </c>
    </row>
    <row r="272" customFormat="false" ht="15" hidden="false" customHeight="false" outlineLevel="0" collapsed="false">
      <c r="A272" s="0" t="n">
        <f aca="false">ROW()-1</f>
        <v>271</v>
      </c>
      <c r="B272" s="6" t="n">
        <f aca="false">Assumptions!$B$35</f>
        <v>441263.996662504</v>
      </c>
      <c r="C272" s="8" t="n">
        <f aca="true">NORMINV(RAND(),Assumptions!$B$14,Assumptions!$B$15)</f>
        <v>0.0223868476475783</v>
      </c>
      <c r="D272" s="8" t="n">
        <f aca="true">NORMINV(RAND(),Assumptions!$B$14,Assumptions!$B$15)</f>
        <v>0.0481931657267162</v>
      </c>
      <c r="E272" s="8" t="n">
        <f aca="true">NORMINV(RAND(),Assumptions!$B$14,Assumptions!$B$15)</f>
        <v>0.0262335018975986</v>
      </c>
      <c r="F272" s="8" t="n">
        <f aca="true">NORMINV(RAND(),Assumptions!$B$14,Assumptions!$B$15)</f>
        <v>0.0957437897725046</v>
      </c>
      <c r="G272" s="8" t="n">
        <f aca="true">NORMINV(RAND(),Assumptions!$B$14,Assumptions!$B$15)</f>
        <v>0.0950240935527916</v>
      </c>
      <c r="H272" s="8" t="n">
        <f aca="true">NORMINV(RAND(),Assumptions!$B$14,Assumptions!$B$15)</f>
        <v>0.031681210459189</v>
      </c>
      <c r="I272" s="8" t="n">
        <f aca="true">NORMINV(RAND(),Assumptions!$B$14,Assumptions!$B$15)</f>
        <v>0.0400528430710201</v>
      </c>
      <c r="J272" s="8" t="n">
        <f aca="true">NORMINV(RAND(),Assumptions!$B$14,Assumptions!$B$15)</f>
        <v>0.0448564355382899</v>
      </c>
      <c r="K272" s="8" t="n">
        <f aca="true">NORMINV(RAND(),Assumptions!$B$14,Assumptions!$B$15)</f>
        <v>0.104350925715873</v>
      </c>
      <c r="L272" s="8" t="n">
        <f aca="true">NORMINV(RAND(),Assumptions!$B$14,Assumptions!$B$15)</f>
        <v>0.0166375901239164</v>
      </c>
      <c r="M272" s="6" t="n">
        <f aca="false">B272-Assumptions!$B$29</f>
        <v>391263.996662504</v>
      </c>
      <c r="N272" s="6" t="n">
        <f aca="false">W272-Assumptions!$B$29</f>
        <v>350023.16414577</v>
      </c>
      <c r="O272" s="6" t="n">
        <f aca="false">X272-Assumptions!$B$29</f>
        <v>316891.888503636</v>
      </c>
      <c r="P272" s="6" t="n">
        <f aca="false">Y272-Assumptions!$B$29</f>
        <v>275205.07246203</v>
      </c>
      <c r="Q272" s="6" t="n">
        <f aca="false">Z272-Assumptions!$B$29</f>
        <v>251554.249064162</v>
      </c>
      <c r="R272" s="6" t="n">
        <f aca="false">AA272-Assumptions!$B$29</f>
        <v>225457.963560837</v>
      </c>
      <c r="S272" s="6" t="n">
        <f aca="false">AB272-Assumptions!$B$29</f>
        <v>182600.744754108</v>
      </c>
      <c r="T272" s="6" t="n">
        <f aca="false">AC272-Assumptions!$B$29</f>
        <v>139914.423728395</v>
      </c>
      <c r="U272" s="6" t="n">
        <f aca="false">AD272-Assumptions!$B$29</f>
        <v>96190.4860572452</v>
      </c>
      <c r="V272" s="6" t="n">
        <f aca="false">AE272-Assumptions!$B$29</f>
        <v>56228.0523223785</v>
      </c>
      <c r="W272" s="6" t="n">
        <f aca="false">M272*(1+C272)</f>
        <v>400023.16414577</v>
      </c>
      <c r="X272" s="6" t="n">
        <f aca="false">N272*(1+D272)</f>
        <v>366891.888503636</v>
      </c>
      <c r="Y272" s="6" t="n">
        <f aca="false">O272*(1+E272)</f>
        <v>325205.07246203</v>
      </c>
      <c r="Z272" s="6" t="n">
        <f aca="false">P272*(1+F272)</f>
        <v>301554.249064162</v>
      </c>
      <c r="AA272" s="6" t="n">
        <f aca="false">Q272*(1+G272)</f>
        <v>275457.963560837</v>
      </c>
      <c r="AB272" s="6" t="n">
        <f aca="false">R272*(1+H272)</f>
        <v>232600.744754108</v>
      </c>
      <c r="AC272" s="6" t="n">
        <f aca="false">S272*(1+I272)</f>
        <v>189914.423728395</v>
      </c>
      <c r="AD272" s="6" t="n">
        <f aca="false">T272*(1+J272)</f>
        <v>146190.486057245</v>
      </c>
      <c r="AE272" s="6" t="n">
        <f aca="false">U272*(1+K272)</f>
        <v>106228.052322379</v>
      </c>
      <c r="AF272" s="6" t="n">
        <f aca="false">V272*(1+L272)</f>
        <v>57163.5516103844</v>
      </c>
      <c r="AG272" s="6" t="n">
        <f aca="false">MIN(M272:V272)</f>
        <v>56228.0523223785</v>
      </c>
      <c r="AH272" s="19" t="n">
        <f aca="false">IF(AG272&gt;=0,1,0)</f>
        <v>1</v>
      </c>
    </row>
    <row r="273" customFormat="false" ht="15" hidden="false" customHeight="false" outlineLevel="0" collapsed="false">
      <c r="A273" s="0" t="n">
        <f aca="false">ROW()-1</f>
        <v>272</v>
      </c>
      <c r="B273" s="6" t="n">
        <f aca="false">Assumptions!$B$35</f>
        <v>441263.996662504</v>
      </c>
      <c r="C273" s="8" t="n">
        <f aca="true">NORMINV(RAND(),Assumptions!$B$14,Assumptions!$B$15)</f>
        <v>0.0652152656007775</v>
      </c>
      <c r="D273" s="8" t="n">
        <f aca="true">NORMINV(RAND(),Assumptions!$B$14,Assumptions!$B$15)</f>
        <v>0.0230577766351706</v>
      </c>
      <c r="E273" s="8" t="n">
        <f aca="true">NORMINV(RAND(),Assumptions!$B$14,Assumptions!$B$15)</f>
        <v>0.122452086746684</v>
      </c>
      <c r="F273" s="8" t="n">
        <f aca="true">NORMINV(RAND(),Assumptions!$B$14,Assumptions!$B$15)</f>
        <v>0.0465934305887792</v>
      </c>
      <c r="G273" s="8" t="n">
        <f aca="true">NORMINV(RAND(),Assumptions!$B$14,Assumptions!$B$15)</f>
        <v>0.0391708406446404</v>
      </c>
      <c r="H273" s="8" t="n">
        <f aca="true">NORMINV(RAND(),Assumptions!$B$14,Assumptions!$B$15)</f>
        <v>0.000633383851509198</v>
      </c>
      <c r="I273" s="8" t="n">
        <f aca="true">NORMINV(RAND(),Assumptions!$B$14,Assumptions!$B$15)</f>
        <v>0.00907399845901203</v>
      </c>
      <c r="J273" s="8" t="n">
        <f aca="true">NORMINV(RAND(),Assumptions!$B$14,Assumptions!$B$15)</f>
        <v>0.0253588517120973</v>
      </c>
      <c r="K273" s="8" t="n">
        <f aca="true">NORMINV(RAND(),Assumptions!$B$14,Assumptions!$B$15)</f>
        <v>0.0943593812311785</v>
      </c>
      <c r="L273" s="8" t="n">
        <f aca="true">NORMINV(RAND(),Assumptions!$B$14,Assumptions!$B$15)</f>
        <v>0.0171644612234954</v>
      </c>
      <c r="M273" s="6" t="n">
        <f aca="false">B273-Assumptions!$B$29</f>
        <v>391263.996662504</v>
      </c>
      <c r="N273" s="6" t="n">
        <f aca="false">W273-Assumptions!$B$29</f>
        <v>366780.38212487</v>
      </c>
      <c r="O273" s="6" t="n">
        <f aca="false">X273-Assumptions!$B$29</f>
        <v>325237.522250068</v>
      </c>
      <c r="P273" s="6" t="n">
        <f aca="false">Y273-Assumptions!$B$29</f>
        <v>315063.53553791</v>
      </c>
      <c r="Q273" s="6" t="n">
        <f aca="false">Z273-Assumptions!$B$29</f>
        <v>279743.426512051</v>
      </c>
      <c r="R273" s="6" t="n">
        <f aca="false">AA273-Assumptions!$B$29</f>
        <v>240701.21169334</v>
      </c>
      <c r="S273" s="6" t="n">
        <f aca="false">AB273-Assumptions!$B$29</f>
        <v>190853.667953866</v>
      </c>
      <c r="T273" s="6" t="n">
        <f aca="false">AC273-Assumptions!$B$29</f>
        <v>142585.473842776</v>
      </c>
      <c r="U273" s="6" t="n">
        <f aca="false">AD273-Assumptions!$B$29</f>
        <v>96201.2777302538</v>
      </c>
      <c r="V273" s="6" t="n">
        <f aca="false">AE273-Assumptions!$B$29</f>
        <v>55278.7707705293</v>
      </c>
      <c r="W273" s="6" t="n">
        <f aca="false">M273*(1+C273)</f>
        <v>416780.38212487</v>
      </c>
      <c r="X273" s="6" t="n">
        <f aca="false">N273*(1+D273)</f>
        <v>375237.522250068</v>
      </c>
      <c r="Y273" s="6" t="n">
        <f aca="false">O273*(1+E273)</f>
        <v>365063.53553791</v>
      </c>
      <c r="Z273" s="6" t="n">
        <f aca="false">P273*(1+F273)</f>
        <v>329743.426512051</v>
      </c>
      <c r="AA273" s="6" t="n">
        <f aca="false">Q273*(1+G273)</f>
        <v>290701.21169334</v>
      </c>
      <c r="AB273" s="6" t="n">
        <f aca="false">R273*(1+H273)</f>
        <v>240853.667953866</v>
      </c>
      <c r="AC273" s="6" t="n">
        <f aca="false">S273*(1+I273)</f>
        <v>192585.473842776</v>
      </c>
      <c r="AD273" s="6" t="n">
        <f aca="false">T273*(1+J273)</f>
        <v>146201.277730254</v>
      </c>
      <c r="AE273" s="6" t="n">
        <f aca="false">U273*(1+K273)</f>
        <v>105278.770770529</v>
      </c>
      <c r="AF273" s="6" t="n">
        <f aca="false">V273*(1+L273)</f>
        <v>56227.6010879025</v>
      </c>
      <c r="AG273" s="6" t="n">
        <f aca="false">MIN(M273:V273)</f>
        <v>55278.7707705293</v>
      </c>
      <c r="AH273" s="19" t="n">
        <f aca="false">IF(AG273&gt;=0,1,0)</f>
        <v>1</v>
      </c>
    </row>
    <row r="274" customFormat="false" ht="15" hidden="false" customHeight="false" outlineLevel="0" collapsed="false">
      <c r="A274" s="0" t="n">
        <f aca="false">ROW()-1</f>
        <v>273</v>
      </c>
      <c r="B274" s="6" t="n">
        <f aca="false">Assumptions!$B$35</f>
        <v>441263.996662504</v>
      </c>
      <c r="C274" s="8" t="n">
        <f aca="true">NORMINV(RAND(),Assumptions!$B$14,Assumptions!$B$15)</f>
        <v>0.0572598739965396</v>
      </c>
      <c r="D274" s="8" t="n">
        <f aca="true">NORMINV(RAND(),Assumptions!$B$14,Assumptions!$B$15)</f>
        <v>0.0309956204093753</v>
      </c>
      <c r="E274" s="8" t="n">
        <f aca="true">NORMINV(RAND(),Assumptions!$B$14,Assumptions!$B$15)</f>
        <v>0.00115958167646843</v>
      </c>
      <c r="F274" s="8" t="n">
        <f aca="true">NORMINV(RAND(),Assumptions!$B$14,Assumptions!$B$15)</f>
        <v>0.0302681042944002</v>
      </c>
      <c r="G274" s="8" t="n">
        <f aca="true">NORMINV(RAND(),Assumptions!$B$14,Assumptions!$B$15)</f>
        <v>0.0576440686734386</v>
      </c>
      <c r="H274" s="8" t="n">
        <f aca="true">NORMINV(RAND(),Assumptions!$B$14,Assumptions!$B$15)</f>
        <v>0.0123953552080181</v>
      </c>
      <c r="I274" s="8" t="n">
        <f aca="true">NORMINV(RAND(),Assumptions!$B$14,Assumptions!$B$15)</f>
        <v>0.0646420484324095</v>
      </c>
      <c r="J274" s="8" t="n">
        <f aca="true">NORMINV(RAND(),Assumptions!$B$14,Assumptions!$B$15)</f>
        <v>0.0324623367870863</v>
      </c>
      <c r="K274" s="8" t="n">
        <f aca="true">NORMINV(RAND(),Assumptions!$B$14,Assumptions!$B$15)</f>
        <v>0.0155932633505999</v>
      </c>
      <c r="L274" s="8" t="n">
        <f aca="true">NORMINV(RAND(),Assumptions!$B$14,Assumptions!$B$15)</f>
        <v>0.0659629384145294</v>
      </c>
      <c r="M274" s="6" t="n">
        <f aca="false">B274-Assumptions!$B$29</f>
        <v>391263.996662504</v>
      </c>
      <c r="N274" s="6" t="n">
        <f aca="false">W274-Assumptions!$B$29</f>
        <v>363667.723810781</v>
      </c>
      <c r="O274" s="6" t="n">
        <f aca="false">X274-Assumptions!$B$29</f>
        <v>324939.830533161</v>
      </c>
      <c r="P274" s="6" t="n">
        <f aca="false">Y274-Assumptions!$B$29</f>
        <v>275316.624806602</v>
      </c>
      <c r="Q274" s="6" t="n">
        <f aca="false">Z274-Assumptions!$B$29</f>
        <v>233649.937120231</v>
      </c>
      <c r="R274" s="6" t="n">
        <f aca="false">AA274-Assumptions!$B$29</f>
        <v>197118.470141134</v>
      </c>
      <c r="S274" s="6" t="n">
        <f aca="false">AB274-Assumptions!$B$29</f>
        <v>149561.823596595</v>
      </c>
      <c r="T274" s="6" t="n">
        <f aca="false">AC274-Assumptions!$B$29</f>
        <v>109229.806241165</v>
      </c>
      <c r="U274" s="6" t="n">
        <f aca="false">AD274-Assumptions!$B$29</f>
        <v>62775.660998554</v>
      </c>
      <c r="V274" s="6" t="n">
        <f aca="false">AE274-Assumptions!$B$29</f>
        <v>13754.5384125124</v>
      </c>
      <c r="W274" s="6" t="n">
        <f aca="false">M274*(1+C274)</f>
        <v>413667.723810781</v>
      </c>
      <c r="X274" s="6" t="n">
        <f aca="false">N274*(1+D274)</f>
        <v>374939.830533161</v>
      </c>
      <c r="Y274" s="6" t="n">
        <f aca="false">O274*(1+E274)</f>
        <v>325316.624806602</v>
      </c>
      <c r="Z274" s="6" t="n">
        <f aca="false">P274*(1+F274)</f>
        <v>283649.937120231</v>
      </c>
      <c r="AA274" s="6" t="n">
        <f aca="false">Q274*(1+G274)</f>
        <v>247118.470141134</v>
      </c>
      <c r="AB274" s="6" t="n">
        <f aca="false">R274*(1+H274)</f>
        <v>199561.823596595</v>
      </c>
      <c r="AC274" s="6" t="n">
        <f aca="false">S274*(1+I274)</f>
        <v>159229.806241165</v>
      </c>
      <c r="AD274" s="6" t="n">
        <f aca="false">T274*(1+J274)</f>
        <v>112775.660998554</v>
      </c>
      <c r="AE274" s="6" t="n">
        <f aca="false">U274*(1+K274)</f>
        <v>63754.5384125124</v>
      </c>
      <c r="AF274" s="6" t="n">
        <f aca="false">V274*(1+L274)</f>
        <v>14661.8281827373</v>
      </c>
      <c r="AG274" s="6" t="n">
        <f aca="false">MIN(M274:V274)</f>
        <v>13754.5384125124</v>
      </c>
      <c r="AH274" s="19" t="n">
        <f aca="false">IF(AG274&gt;=0,1,0)</f>
        <v>1</v>
      </c>
    </row>
    <row r="275" customFormat="false" ht="15" hidden="false" customHeight="false" outlineLevel="0" collapsed="false">
      <c r="A275" s="0" t="n">
        <f aca="false">ROW()-1</f>
        <v>274</v>
      </c>
      <c r="B275" s="6" t="n">
        <f aca="false">Assumptions!$B$35</f>
        <v>441263.996662504</v>
      </c>
      <c r="C275" s="8" t="n">
        <f aca="true">NORMINV(RAND(),Assumptions!$B$14,Assumptions!$B$15)</f>
        <v>0.0671478144761372</v>
      </c>
      <c r="D275" s="8" t="n">
        <f aca="true">NORMINV(RAND(),Assumptions!$B$14,Assumptions!$B$15)</f>
        <v>-0.000760856065587692</v>
      </c>
      <c r="E275" s="8" t="n">
        <f aca="true">NORMINV(RAND(),Assumptions!$B$14,Assumptions!$B$15)</f>
        <v>0.0790771776453083</v>
      </c>
      <c r="F275" s="8" t="n">
        <f aca="true">NORMINV(RAND(),Assumptions!$B$14,Assumptions!$B$15)</f>
        <v>0.0943135731960011</v>
      </c>
      <c r="G275" s="8" t="n">
        <f aca="true">NORMINV(RAND(),Assumptions!$B$14,Assumptions!$B$15)</f>
        <v>0.0624689366035228</v>
      </c>
      <c r="H275" s="8" t="n">
        <f aca="true">NORMINV(RAND(),Assumptions!$B$14,Assumptions!$B$15)</f>
        <v>0.0231379805198275</v>
      </c>
      <c r="I275" s="8" t="n">
        <f aca="true">NORMINV(RAND(),Assumptions!$B$14,Assumptions!$B$15)</f>
        <v>0.0458770618290373</v>
      </c>
      <c r="J275" s="8" t="n">
        <f aca="true">NORMINV(RAND(),Assumptions!$B$14,Assumptions!$B$15)</f>
        <v>0.0874461922084637</v>
      </c>
      <c r="K275" s="8" t="n">
        <f aca="true">NORMINV(RAND(),Assumptions!$B$14,Assumptions!$B$15)</f>
        <v>0.00787576070522433</v>
      </c>
      <c r="L275" s="8" t="n">
        <f aca="true">NORMINV(RAND(),Assumptions!$B$14,Assumptions!$B$15)</f>
        <v>0.000892274047273829</v>
      </c>
      <c r="M275" s="6" t="n">
        <f aca="false">B275-Assumptions!$B$29</f>
        <v>391263.996662504</v>
      </c>
      <c r="N275" s="6" t="n">
        <f aca="false">W275-Assumptions!$B$29</f>
        <v>367536.518921589</v>
      </c>
      <c r="O275" s="6" t="n">
        <f aca="false">X275-Assumptions!$B$29</f>
        <v>317256.876531843</v>
      </c>
      <c r="P275" s="6" t="n">
        <f aca="false">Y275-Assumptions!$B$29</f>
        <v>292344.654916547</v>
      </c>
      <c r="Q275" s="6" t="n">
        <f aca="false">Z275-Assumptions!$B$29</f>
        <v>269916.723926478</v>
      </c>
      <c r="R275" s="6" t="n">
        <f aca="false">AA275-Assumptions!$B$29</f>
        <v>236778.134641672</v>
      </c>
      <c r="S275" s="6" t="n">
        <f aca="false">AB275-Assumptions!$B$29</f>
        <v>192256.702508532</v>
      </c>
      <c r="T275" s="6" t="n">
        <f aca="false">AC275-Assumptions!$B$29</f>
        <v>151076.875136563</v>
      </c>
      <c r="U275" s="6" t="n">
        <f aca="false">AD275-Assumptions!$B$29</f>
        <v>114287.972598009</v>
      </c>
      <c r="V275" s="6" t="n">
        <f aca="false">AE275-Assumptions!$B$29</f>
        <v>65188.0773216761</v>
      </c>
      <c r="W275" s="6" t="n">
        <f aca="false">M275*(1+C275)</f>
        <v>417536.518921589</v>
      </c>
      <c r="X275" s="6" t="n">
        <f aca="false">N275*(1+D275)</f>
        <v>367256.876531843</v>
      </c>
      <c r="Y275" s="6" t="n">
        <f aca="false">O275*(1+E275)</f>
        <v>342344.654916547</v>
      </c>
      <c r="Z275" s="6" t="n">
        <f aca="false">P275*(1+F275)</f>
        <v>319916.723926478</v>
      </c>
      <c r="AA275" s="6" t="n">
        <f aca="false">Q275*(1+G275)</f>
        <v>286778.134641672</v>
      </c>
      <c r="AB275" s="6" t="n">
        <f aca="false">R275*(1+H275)</f>
        <v>242256.702508532</v>
      </c>
      <c r="AC275" s="6" t="n">
        <f aca="false">S275*(1+I275)</f>
        <v>201076.875136563</v>
      </c>
      <c r="AD275" s="6" t="n">
        <f aca="false">T275*(1+J275)</f>
        <v>164287.972598009</v>
      </c>
      <c r="AE275" s="6" t="n">
        <f aca="false">U275*(1+K275)</f>
        <v>115188.077321676</v>
      </c>
      <c r="AF275" s="6" t="n">
        <f aca="false">V275*(1+L275)</f>
        <v>65246.2429512619</v>
      </c>
      <c r="AG275" s="6" t="n">
        <f aca="false">MIN(M275:V275)</f>
        <v>65188.0773216761</v>
      </c>
      <c r="AH275" s="19" t="n">
        <f aca="false">IF(AG275&gt;=0,1,0)</f>
        <v>1</v>
      </c>
    </row>
    <row r="276" customFormat="false" ht="15" hidden="false" customHeight="false" outlineLevel="0" collapsed="false">
      <c r="A276" s="0" t="n">
        <f aca="false">ROW()-1</f>
        <v>275</v>
      </c>
      <c r="B276" s="6" t="n">
        <f aca="false">Assumptions!$B$35</f>
        <v>441263.996662504</v>
      </c>
      <c r="C276" s="8" t="n">
        <f aca="true">NORMINV(RAND(),Assumptions!$B$14,Assumptions!$B$15)</f>
        <v>0.0333556057269627</v>
      </c>
      <c r="D276" s="8" t="n">
        <f aca="true">NORMINV(RAND(),Assumptions!$B$14,Assumptions!$B$15)</f>
        <v>0.00438498521920558</v>
      </c>
      <c r="E276" s="8" t="n">
        <f aca="true">NORMINV(RAND(),Assumptions!$B$14,Assumptions!$B$15)</f>
        <v>0.120360562726078</v>
      </c>
      <c r="F276" s="8" t="n">
        <f aca="true">NORMINV(RAND(),Assumptions!$B$14,Assumptions!$B$15)</f>
        <v>0.0429795674208257</v>
      </c>
      <c r="G276" s="8" t="n">
        <f aca="true">NORMINV(RAND(),Assumptions!$B$14,Assumptions!$B$15)</f>
        <v>0.0813306850609898</v>
      </c>
      <c r="H276" s="8" t="n">
        <f aca="true">NORMINV(RAND(),Assumptions!$B$14,Assumptions!$B$15)</f>
        <v>0.0617103614616018</v>
      </c>
      <c r="I276" s="8" t="n">
        <f aca="true">NORMINV(RAND(),Assumptions!$B$14,Assumptions!$B$15)</f>
        <v>0.0523229507333895</v>
      </c>
      <c r="J276" s="8" t="n">
        <f aca="true">NORMINV(RAND(),Assumptions!$B$14,Assumptions!$B$15)</f>
        <v>0.0549697419113374</v>
      </c>
      <c r="K276" s="8" t="n">
        <f aca="true">NORMINV(RAND(),Assumptions!$B$14,Assumptions!$B$15)</f>
        <v>0.0911071134917434</v>
      </c>
      <c r="L276" s="8" t="n">
        <f aca="true">NORMINV(RAND(),Assumptions!$B$14,Assumptions!$B$15)</f>
        <v>0.113048361072847</v>
      </c>
      <c r="M276" s="6" t="n">
        <f aca="false">B276-Assumptions!$B$29</f>
        <v>391263.996662504</v>
      </c>
      <c r="N276" s="6" t="n">
        <f aca="false">W276-Assumptions!$B$29</f>
        <v>354314.844270334</v>
      </c>
      <c r="O276" s="6" t="n">
        <f aca="false">X276-Assumptions!$B$29</f>
        <v>305868.509625404</v>
      </c>
      <c r="P276" s="6" t="n">
        <f aca="false">Y276-Assumptions!$B$29</f>
        <v>292683.015564105</v>
      </c>
      <c r="Q276" s="6" t="n">
        <f aca="false">Z276-Assumptions!$B$29</f>
        <v>255262.404964473</v>
      </c>
      <c r="R276" s="6" t="n">
        <f aca="false">AA276-Assumptions!$B$29</f>
        <v>226023.071230549</v>
      </c>
      <c r="S276" s="6" t="n">
        <f aca="false">AB276-Assumptions!$B$29</f>
        <v>189971.036654848</v>
      </c>
      <c r="T276" s="6" t="n">
        <f aca="false">AC276-Assumptions!$B$29</f>
        <v>149910.88184651</v>
      </c>
      <c r="U276" s="6" t="n">
        <f aca="false">AD276-Assumptions!$B$29</f>
        <v>108151.444331314</v>
      </c>
      <c r="V276" s="6" t="n">
        <f aca="false">AE276-Assumptions!$B$29</f>
        <v>68004.8102443026</v>
      </c>
      <c r="W276" s="6" t="n">
        <f aca="false">M276*(1+C276)</f>
        <v>404314.844270334</v>
      </c>
      <c r="X276" s="6" t="n">
        <f aca="false">N276*(1+D276)</f>
        <v>355868.509625404</v>
      </c>
      <c r="Y276" s="6" t="n">
        <f aca="false">O276*(1+E276)</f>
        <v>342683.015564105</v>
      </c>
      <c r="Z276" s="6" t="n">
        <f aca="false">P276*(1+F276)</f>
        <v>305262.404964473</v>
      </c>
      <c r="AA276" s="6" t="n">
        <f aca="false">Q276*(1+G276)</f>
        <v>276023.071230549</v>
      </c>
      <c r="AB276" s="6" t="n">
        <f aca="false">R276*(1+H276)</f>
        <v>239971.036654848</v>
      </c>
      <c r="AC276" s="6" t="n">
        <f aca="false">S276*(1+I276)</f>
        <v>199910.88184651</v>
      </c>
      <c r="AD276" s="6" t="n">
        <f aca="false">T276*(1+J276)</f>
        <v>158151.444331314</v>
      </c>
      <c r="AE276" s="6" t="n">
        <f aca="false">U276*(1+K276)</f>
        <v>118004.810244303</v>
      </c>
      <c r="AF276" s="6" t="n">
        <f aca="false">V276*(1+L276)</f>
        <v>75692.642587491</v>
      </c>
      <c r="AG276" s="6" t="n">
        <f aca="false">MIN(M276:V276)</f>
        <v>68004.8102443026</v>
      </c>
      <c r="AH276" s="19" t="n">
        <f aca="false">IF(AG276&gt;=0,1,0)</f>
        <v>1</v>
      </c>
    </row>
    <row r="277" customFormat="false" ht="15" hidden="false" customHeight="false" outlineLevel="0" collapsed="false">
      <c r="A277" s="0" t="n">
        <f aca="false">ROW()-1</f>
        <v>276</v>
      </c>
      <c r="B277" s="6" t="n">
        <f aca="false">Assumptions!$B$35</f>
        <v>441263.996662504</v>
      </c>
      <c r="C277" s="8" t="n">
        <f aca="true">NORMINV(RAND(),Assumptions!$B$14,Assumptions!$B$15)</f>
        <v>0.0491433418567961</v>
      </c>
      <c r="D277" s="8" t="n">
        <f aca="true">NORMINV(RAND(),Assumptions!$B$14,Assumptions!$B$15)</f>
        <v>0.0327711690721007</v>
      </c>
      <c r="E277" s="8" t="n">
        <f aca="true">NORMINV(RAND(),Assumptions!$B$14,Assumptions!$B$15)</f>
        <v>0.0711209115775839</v>
      </c>
      <c r="F277" s="8" t="n">
        <f aca="true">NORMINV(RAND(),Assumptions!$B$14,Assumptions!$B$15)</f>
        <v>0.0525280667492888</v>
      </c>
      <c r="G277" s="8" t="n">
        <f aca="true">NORMINV(RAND(),Assumptions!$B$14,Assumptions!$B$15)</f>
        <v>-0.0183989704288523</v>
      </c>
      <c r="H277" s="8" t="n">
        <f aca="true">NORMINV(RAND(),Assumptions!$B$14,Assumptions!$B$15)</f>
        <v>0.0754394176490918</v>
      </c>
      <c r="I277" s="8" t="n">
        <f aca="true">NORMINV(RAND(),Assumptions!$B$14,Assumptions!$B$15)</f>
        <v>0.103204597700371</v>
      </c>
      <c r="J277" s="8" t="n">
        <f aca="true">NORMINV(RAND(),Assumptions!$B$14,Assumptions!$B$15)</f>
        <v>0.0649448232784718</v>
      </c>
      <c r="K277" s="8" t="n">
        <f aca="true">NORMINV(RAND(),Assumptions!$B$14,Assumptions!$B$15)</f>
        <v>-0.000192495486298724</v>
      </c>
      <c r="L277" s="8" t="n">
        <f aca="true">NORMINV(RAND(),Assumptions!$B$14,Assumptions!$B$15)</f>
        <v>0.0612319215609816</v>
      </c>
      <c r="M277" s="6" t="n">
        <f aca="false">B277-Assumptions!$B$29</f>
        <v>391263.996662504</v>
      </c>
      <c r="N277" s="6" t="n">
        <f aca="false">W277-Assumptions!$B$29</f>
        <v>360492.017006745</v>
      </c>
      <c r="O277" s="6" t="n">
        <f aca="false">X277-Assumptions!$B$29</f>
        <v>322305.761845216</v>
      </c>
      <c r="P277" s="6" t="n">
        <f aca="false">Y277-Assumptions!$B$29</f>
        <v>295228.441434355</v>
      </c>
      <c r="Q277" s="6" t="n">
        <f aca="false">Z277-Assumptions!$B$29</f>
        <v>260736.220712308</v>
      </c>
      <c r="R277" s="6" t="n">
        <f aca="false">AA277-Assumptions!$B$29</f>
        <v>205938.942697691</v>
      </c>
      <c r="S277" s="6" t="n">
        <f aca="false">AB277-Assumptions!$B$29</f>
        <v>171474.856606075</v>
      </c>
      <c r="T277" s="6" t="n">
        <f aca="false">AC277-Assumptions!$B$29</f>
        <v>139171.850197833</v>
      </c>
      <c r="U277" s="6" t="n">
        <f aca="false">AD277-Assumptions!$B$29</f>
        <v>98210.3414142697</v>
      </c>
      <c r="V277" s="6" t="n">
        <f aca="false">AE277-Assumptions!$B$29</f>
        <v>48191.4363668396</v>
      </c>
      <c r="W277" s="6" t="n">
        <f aca="false">M277*(1+C277)</f>
        <v>410492.017006745</v>
      </c>
      <c r="X277" s="6" t="n">
        <f aca="false">N277*(1+D277)</f>
        <v>372305.761845216</v>
      </c>
      <c r="Y277" s="6" t="n">
        <f aca="false">O277*(1+E277)</f>
        <v>345228.441434355</v>
      </c>
      <c r="Z277" s="6" t="n">
        <f aca="false">P277*(1+F277)</f>
        <v>310736.220712308</v>
      </c>
      <c r="AA277" s="6" t="n">
        <f aca="false">Q277*(1+G277)</f>
        <v>255938.942697691</v>
      </c>
      <c r="AB277" s="6" t="n">
        <f aca="false">R277*(1+H277)</f>
        <v>221474.856606075</v>
      </c>
      <c r="AC277" s="6" t="n">
        <f aca="false">S277*(1+I277)</f>
        <v>189171.850197833</v>
      </c>
      <c r="AD277" s="6" t="n">
        <f aca="false">T277*(1+J277)</f>
        <v>148210.34141427</v>
      </c>
      <c r="AE277" s="6" t="n">
        <f aca="false">U277*(1+K277)</f>
        <v>98191.4363668396</v>
      </c>
      <c r="AF277" s="6" t="n">
        <f aca="false">V277*(1+L277)</f>
        <v>51142.290618365</v>
      </c>
      <c r="AG277" s="6" t="n">
        <f aca="false">MIN(M277:V277)</f>
        <v>48191.4363668396</v>
      </c>
      <c r="AH277" s="19" t="n">
        <f aca="false">IF(AG277&gt;=0,1,0)</f>
        <v>1</v>
      </c>
    </row>
    <row r="278" customFormat="false" ht="15" hidden="false" customHeight="false" outlineLevel="0" collapsed="false">
      <c r="A278" s="0" t="n">
        <f aca="false">ROW()-1</f>
        <v>277</v>
      </c>
      <c r="B278" s="6" t="n">
        <f aca="false">Assumptions!$B$35</f>
        <v>441263.996662504</v>
      </c>
      <c r="C278" s="8" t="n">
        <f aca="true">NORMINV(RAND(),Assumptions!$B$14,Assumptions!$B$15)</f>
        <v>0.00465668548628122</v>
      </c>
      <c r="D278" s="8" t="n">
        <f aca="true">NORMINV(RAND(),Assumptions!$B$14,Assumptions!$B$15)</f>
        <v>0.0653626745632926</v>
      </c>
      <c r="E278" s="8" t="n">
        <f aca="true">NORMINV(RAND(),Assumptions!$B$14,Assumptions!$B$15)</f>
        <v>0.013062115342039</v>
      </c>
      <c r="F278" s="8" t="n">
        <f aca="true">NORMINV(RAND(),Assumptions!$B$14,Assumptions!$B$15)</f>
        <v>0.0178299846447344</v>
      </c>
      <c r="G278" s="8" t="n">
        <f aca="true">NORMINV(RAND(),Assumptions!$B$14,Assumptions!$B$15)</f>
        <v>0.0781196227271038</v>
      </c>
      <c r="H278" s="8" t="n">
        <f aca="true">NORMINV(RAND(),Assumptions!$B$14,Assumptions!$B$15)</f>
        <v>0.00572570478992985</v>
      </c>
      <c r="I278" s="8" t="n">
        <f aca="true">NORMINV(RAND(),Assumptions!$B$14,Assumptions!$B$15)</f>
        <v>0.0559438884031347</v>
      </c>
      <c r="J278" s="8" t="n">
        <f aca="true">NORMINV(RAND(),Assumptions!$B$14,Assumptions!$B$15)</f>
        <v>0.0475854768326763</v>
      </c>
      <c r="K278" s="8" t="n">
        <f aca="true">NORMINV(RAND(),Assumptions!$B$14,Assumptions!$B$15)</f>
        <v>0.0455421659040822</v>
      </c>
      <c r="L278" s="8" t="n">
        <f aca="true">NORMINV(RAND(),Assumptions!$B$14,Assumptions!$B$15)</f>
        <v>0.0530556438175976</v>
      </c>
      <c r="M278" s="6" t="n">
        <f aca="false">B278-Assumptions!$B$29</f>
        <v>391263.996662504</v>
      </c>
      <c r="N278" s="6" t="n">
        <f aca="false">W278-Assumptions!$B$29</f>
        <v>343085.990037066</v>
      </c>
      <c r="O278" s="6" t="n">
        <f aca="false">X278-Assumptions!$B$29</f>
        <v>315511.007951084</v>
      </c>
      <c r="P278" s="6" t="n">
        <f aca="false">Y278-Assumptions!$B$29</f>
        <v>269632.249128624</v>
      </c>
      <c r="Q278" s="6" t="n">
        <f aca="false">Z278-Assumptions!$B$29</f>
        <v>224439.787990313</v>
      </c>
      <c r="R278" s="6" t="n">
        <f aca="false">AA278-Assumptions!$B$29</f>
        <v>191972.939553067</v>
      </c>
      <c r="S278" s="6" t="n">
        <f aca="false">AB278-Assumptions!$B$29</f>
        <v>143072.119932603</v>
      </c>
      <c r="T278" s="6" t="n">
        <f aca="false">AC278-Assumptions!$B$29</f>
        <v>101076.130643712</v>
      </c>
      <c r="U278" s="6" t="n">
        <f aca="false">AD278-Assumptions!$B$29</f>
        <v>55885.8865167953</v>
      </c>
      <c r="V278" s="6" t="n">
        <f aca="false">AE278-Assumptions!$B$29</f>
        <v>8431.05083223994</v>
      </c>
      <c r="W278" s="6" t="n">
        <f aca="false">M278*(1+C278)</f>
        <v>393085.990037066</v>
      </c>
      <c r="X278" s="6" t="n">
        <f aca="false">N278*(1+D278)</f>
        <v>365511.007951084</v>
      </c>
      <c r="Y278" s="6" t="n">
        <f aca="false">O278*(1+E278)</f>
        <v>319632.249128624</v>
      </c>
      <c r="Z278" s="6" t="n">
        <f aca="false">P278*(1+F278)</f>
        <v>274439.787990313</v>
      </c>
      <c r="AA278" s="6" t="n">
        <f aca="false">Q278*(1+G278)</f>
        <v>241972.939553067</v>
      </c>
      <c r="AB278" s="6" t="n">
        <f aca="false">R278*(1+H278)</f>
        <v>193072.119932603</v>
      </c>
      <c r="AC278" s="6" t="n">
        <f aca="false">S278*(1+I278)</f>
        <v>151076.130643712</v>
      </c>
      <c r="AD278" s="6" t="n">
        <f aca="false">T278*(1+J278)</f>
        <v>105885.886516795</v>
      </c>
      <c r="AE278" s="6" t="n">
        <f aca="false">U278*(1+K278)</f>
        <v>58431.0508322399</v>
      </c>
      <c r="AF278" s="6" t="n">
        <f aca="false">V278*(1+L278)</f>
        <v>8878.36566220332</v>
      </c>
      <c r="AG278" s="6" t="n">
        <f aca="false">MIN(M278:V278)</f>
        <v>8431.05083223994</v>
      </c>
      <c r="AH278" s="19" t="n">
        <f aca="false">IF(AG278&gt;=0,1,0)</f>
        <v>1</v>
      </c>
    </row>
    <row r="279" customFormat="false" ht="15" hidden="false" customHeight="false" outlineLevel="0" collapsed="false">
      <c r="A279" s="0" t="n">
        <f aca="false">ROW()-1</f>
        <v>278</v>
      </c>
      <c r="B279" s="6" t="n">
        <f aca="false">Assumptions!$B$35</f>
        <v>441263.996662504</v>
      </c>
      <c r="C279" s="8" t="n">
        <f aca="true">NORMINV(RAND(),Assumptions!$B$14,Assumptions!$B$15)</f>
        <v>0.0660844941084953</v>
      </c>
      <c r="D279" s="8" t="n">
        <f aca="true">NORMINV(RAND(),Assumptions!$B$14,Assumptions!$B$15)</f>
        <v>0.0242819681833734</v>
      </c>
      <c r="E279" s="8" t="n">
        <f aca="true">NORMINV(RAND(),Assumptions!$B$14,Assumptions!$B$15)</f>
        <v>0.0437261121687272</v>
      </c>
      <c r="F279" s="8" t="n">
        <f aca="true">NORMINV(RAND(),Assumptions!$B$14,Assumptions!$B$15)</f>
        <v>0.0134124657053462</v>
      </c>
      <c r="G279" s="8" t="n">
        <f aca="true">NORMINV(RAND(),Assumptions!$B$14,Assumptions!$B$15)</f>
        <v>0.091657597965368</v>
      </c>
      <c r="H279" s="8" t="n">
        <f aca="true">NORMINV(RAND(),Assumptions!$B$14,Assumptions!$B$15)</f>
        <v>0.0728754815734508</v>
      </c>
      <c r="I279" s="8" t="n">
        <f aca="true">NORMINV(RAND(),Assumptions!$B$14,Assumptions!$B$15)</f>
        <v>0.0410115097851181</v>
      </c>
      <c r="J279" s="8" t="n">
        <f aca="true">NORMINV(RAND(),Assumptions!$B$14,Assumptions!$B$15)</f>
        <v>0.0527304631198755</v>
      </c>
      <c r="K279" s="8" t="n">
        <f aca="true">NORMINV(RAND(),Assumptions!$B$14,Assumptions!$B$15)</f>
        <v>0.041363431532301</v>
      </c>
      <c r="L279" s="8" t="n">
        <f aca="true">NORMINV(RAND(),Assumptions!$B$14,Assumptions!$B$15)</f>
        <v>0.0553080887381883</v>
      </c>
      <c r="M279" s="6" t="n">
        <f aca="false">B279-Assumptions!$B$29</f>
        <v>391263.996662504</v>
      </c>
      <c r="N279" s="6" t="n">
        <f aca="false">W279-Assumptions!$B$29</f>
        <v>367120.479944813</v>
      </c>
      <c r="O279" s="6" t="n">
        <f aca="false">X279-Assumptions!$B$29</f>
        <v>326034.887758298</v>
      </c>
      <c r="P279" s="6" t="n">
        <f aca="false">Y279-Assumptions!$B$29</f>
        <v>290291.125831336</v>
      </c>
      <c r="Q279" s="6" t="n">
        <f aca="false">Z279-Assumptions!$B$29</f>
        <v>244184.645601115</v>
      </c>
      <c r="R279" s="6" t="n">
        <f aca="false">AA279-Assumptions!$B$29</f>
        <v>216566.023676938</v>
      </c>
      <c r="S279" s="6" t="n">
        <f aca="false">AB279-Assumptions!$B$29</f>
        <v>182348.376944842</v>
      </c>
      <c r="T279" s="6" t="n">
        <f aca="false">AC279-Assumptions!$B$29</f>
        <v>139826.759190215</v>
      </c>
      <c r="U279" s="6" t="n">
        <f aca="false">AD279-Assumptions!$B$29</f>
        <v>97199.8889588668</v>
      </c>
      <c r="V279" s="6" t="n">
        <f aca="false">AE279-Assumptions!$B$29</f>
        <v>51220.4099107642</v>
      </c>
      <c r="W279" s="6" t="n">
        <f aca="false">M279*(1+C279)</f>
        <v>417120.479944813</v>
      </c>
      <c r="X279" s="6" t="n">
        <f aca="false">N279*(1+D279)</f>
        <v>376034.887758298</v>
      </c>
      <c r="Y279" s="6" t="n">
        <f aca="false">O279*(1+E279)</f>
        <v>340291.125831336</v>
      </c>
      <c r="Z279" s="6" t="n">
        <f aca="false">P279*(1+F279)</f>
        <v>294184.645601115</v>
      </c>
      <c r="AA279" s="6" t="n">
        <f aca="false">Q279*(1+G279)</f>
        <v>266566.023676938</v>
      </c>
      <c r="AB279" s="6" t="n">
        <f aca="false">R279*(1+H279)</f>
        <v>232348.376944842</v>
      </c>
      <c r="AC279" s="6" t="n">
        <f aca="false">S279*(1+I279)</f>
        <v>189826.759190215</v>
      </c>
      <c r="AD279" s="6" t="n">
        <f aca="false">T279*(1+J279)</f>
        <v>147199.888958867</v>
      </c>
      <c r="AE279" s="6" t="n">
        <f aca="false">U279*(1+K279)</f>
        <v>101220.409910764</v>
      </c>
      <c r="AF279" s="6" t="n">
        <f aca="false">V279*(1+L279)</f>
        <v>54053.3128873151</v>
      </c>
      <c r="AG279" s="6" t="n">
        <f aca="false">MIN(M279:V279)</f>
        <v>51220.4099107642</v>
      </c>
      <c r="AH279" s="19" t="n">
        <f aca="false">IF(AG279&gt;=0,1,0)</f>
        <v>1</v>
      </c>
    </row>
    <row r="280" customFormat="false" ht="15" hidden="false" customHeight="false" outlineLevel="0" collapsed="false">
      <c r="A280" s="0" t="n">
        <f aca="false">ROW()-1</f>
        <v>279</v>
      </c>
      <c r="B280" s="6" t="n">
        <f aca="false">Assumptions!$B$35</f>
        <v>441263.996662504</v>
      </c>
      <c r="C280" s="8" t="n">
        <f aca="true">NORMINV(RAND(),Assumptions!$B$14,Assumptions!$B$15)</f>
        <v>0.0484841366558956</v>
      </c>
      <c r="D280" s="8" t="n">
        <f aca="true">NORMINV(RAND(),Assumptions!$B$14,Assumptions!$B$15)</f>
        <v>0.129556304284262</v>
      </c>
      <c r="E280" s="8" t="n">
        <f aca="true">NORMINV(RAND(),Assumptions!$B$14,Assumptions!$B$15)</f>
        <v>0.0744904375167554</v>
      </c>
      <c r="F280" s="8" t="n">
        <f aca="true">NORMINV(RAND(),Assumptions!$B$14,Assumptions!$B$15)</f>
        <v>0.0492838530242929</v>
      </c>
      <c r="G280" s="8" t="n">
        <f aca="true">NORMINV(RAND(),Assumptions!$B$14,Assumptions!$B$15)</f>
        <v>0.0182773347306867</v>
      </c>
      <c r="H280" s="8" t="n">
        <f aca="true">NORMINV(RAND(),Assumptions!$B$14,Assumptions!$B$15)</f>
        <v>0.0321404078244384</v>
      </c>
      <c r="I280" s="8" t="n">
        <f aca="true">NORMINV(RAND(),Assumptions!$B$14,Assumptions!$B$15)</f>
        <v>0.0326596185483607</v>
      </c>
      <c r="J280" s="8" t="n">
        <f aca="true">NORMINV(RAND(),Assumptions!$B$14,Assumptions!$B$15)</f>
        <v>0.0650136351860636</v>
      </c>
      <c r="K280" s="8" t="n">
        <f aca="true">NORMINV(RAND(),Assumptions!$B$14,Assumptions!$B$15)</f>
        <v>0.0632993322956615</v>
      </c>
      <c r="L280" s="8" t="n">
        <f aca="true">NORMINV(RAND(),Assumptions!$B$14,Assumptions!$B$15)</f>
        <v>0.073494847715436</v>
      </c>
      <c r="M280" s="6" t="n">
        <f aca="false">B280-Assumptions!$B$29</f>
        <v>391263.996662504</v>
      </c>
      <c r="N280" s="6" t="n">
        <f aca="false">W280-Assumptions!$B$29</f>
        <v>360234.09374522</v>
      </c>
      <c r="O280" s="6" t="n">
        <f aca="false">X280-Assumptions!$B$29</f>
        <v>356904.691608041</v>
      </c>
      <c r="P280" s="6" t="n">
        <f aca="false">Y280-Assumptions!$B$29</f>
        <v>333490.678237707</v>
      </c>
      <c r="Q280" s="6" t="n">
        <f aca="false">Z280-Assumptions!$B$29</f>
        <v>299926.383808946</v>
      </c>
      <c r="R280" s="6" t="n">
        <f aca="false">AA280-Assumptions!$B$29</f>
        <v>255408.238720387</v>
      </c>
      <c r="S280" s="6" t="n">
        <f aca="false">AB280-Assumptions!$B$29</f>
        <v>213617.163674581</v>
      </c>
      <c r="T280" s="6" t="n">
        <f aca="false">AC280-Assumptions!$B$29</f>
        <v>170593.818755576</v>
      </c>
      <c r="U280" s="6" t="n">
        <f aca="false">AD280-Assumptions!$B$29</f>
        <v>131684.743053148</v>
      </c>
      <c r="V280" s="6" t="n">
        <f aca="false">AE280-Assumptions!$B$29</f>
        <v>90020.2993619382</v>
      </c>
      <c r="W280" s="6" t="n">
        <f aca="false">M280*(1+C280)</f>
        <v>410234.09374522</v>
      </c>
      <c r="X280" s="6" t="n">
        <f aca="false">N280*(1+D280)</f>
        <v>406904.691608041</v>
      </c>
      <c r="Y280" s="6" t="n">
        <f aca="false">O280*(1+E280)</f>
        <v>383490.678237707</v>
      </c>
      <c r="Z280" s="6" t="n">
        <f aca="false">P280*(1+F280)</f>
        <v>349926.383808946</v>
      </c>
      <c r="AA280" s="6" t="n">
        <f aca="false">Q280*(1+G280)</f>
        <v>305408.238720387</v>
      </c>
      <c r="AB280" s="6" t="n">
        <f aca="false">R280*(1+H280)</f>
        <v>263617.163674581</v>
      </c>
      <c r="AC280" s="6" t="n">
        <f aca="false">S280*(1+I280)</f>
        <v>220593.818755576</v>
      </c>
      <c r="AD280" s="6" t="n">
        <f aca="false">T280*(1+J280)</f>
        <v>181684.743053148</v>
      </c>
      <c r="AE280" s="6" t="n">
        <f aca="false">U280*(1+K280)</f>
        <v>140020.299361938</v>
      </c>
      <c r="AF280" s="6" t="n">
        <f aca="false">V280*(1+L280)</f>
        <v>96636.3275548419</v>
      </c>
      <c r="AG280" s="6" t="n">
        <f aca="false">MIN(M280:V280)</f>
        <v>90020.2993619382</v>
      </c>
      <c r="AH280" s="19" t="n">
        <f aca="false">IF(AG280&gt;=0,1,0)</f>
        <v>1</v>
      </c>
    </row>
    <row r="281" customFormat="false" ht="15" hidden="false" customHeight="false" outlineLevel="0" collapsed="false">
      <c r="A281" s="0" t="n">
        <f aca="false">ROW()-1</f>
        <v>280</v>
      </c>
      <c r="B281" s="6" t="n">
        <f aca="false">Assumptions!$B$35</f>
        <v>441263.996662504</v>
      </c>
      <c r="C281" s="8" t="n">
        <f aca="true">NORMINV(RAND(),Assumptions!$B$14,Assumptions!$B$15)</f>
        <v>0.066429206593207</v>
      </c>
      <c r="D281" s="8" t="n">
        <f aca="true">NORMINV(RAND(),Assumptions!$B$14,Assumptions!$B$15)</f>
        <v>0.0293906246991738</v>
      </c>
      <c r="E281" s="8" t="n">
        <f aca="true">NORMINV(RAND(),Assumptions!$B$14,Assumptions!$B$15)</f>
        <v>0.0359991040238423</v>
      </c>
      <c r="F281" s="8" t="n">
        <f aca="true">NORMINV(RAND(),Assumptions!$B$14,Assumptions!$B$15)</f>
        <v>0.0242806328840104</v>
      </c>
      <c r="G281" s="8" t="n">
        <f aca="true">NORMINV(RAND(),Assumptions!$B$14,Assumptions!$B$15)</f>
        <v>0.0722141547618032</v>
      </c>
      <c r="H281" s="8" t="n">
        <f aca="true">NORMINV(RAND(),Assumptions!$B$14,Assumptions!$B$15)</f>
        <v>0.0629405695719009</v>
      </c>
      <c r="I281" s="8" t="n">
        <f aca="true">NORMINV(RAND(),Assumptions!$B$14,Assumptions!$B$15)</f>
        <v>0.0452599489221754</v>
      </c>
      <c r="J281" s="8" t="n">
        <f aca="true">NORMINV(RAND(),Assumptions!$B$14,Assumptions!$B$15)</f>
        <v>0.0778961141614364</v>
      </c>
      <c r="K281" s="8" t="n">
        <f aca="true">NORMINV(RAND(),Assumptions!$B$14,Assumptions!$B$15)</f>
        <v>0.0624496079430896</v>
      </c>
      <c r="L281" s="8" t="n">
        <f aca="true">NORMINV(RAND(),Assumptions!$B$14,Assumptions!$B$15)</f>
        <v>0.05974516601645</v>
      </c>
      <c r="M281" s="6" t="n">
        <f aca="false">B281-Assumptions!$B$29</f>
        <v>391263.996662504</v>
      </c>
      <c r="N281" s="6" t="n">
        <f aca="false">W281-Assumptions!$B$29</f>
        <v>367255.353529281</v>
      </c>
      <c r="O281" s="6" t="n">
        <f aca="false">X281-Assumptions!$B$29</f>
        <v>328049.217793622</v>
      </c>
      <c r="P281" s="6" t="n">
        <f aca="false">Y281-Assumptions!$B$29</f>
        <v>289858.695709915</v>
      </c>
      <c r="Q281" s="6" t="n">
        <f aca="false">Z281-Assumptions!$B$29</f>
        <v>246896.648288685</v>
      </c>
      <c r="R281" s="6" t="n">
        <f aca="false">AA281-Assumptions!$B$29</f>
        <v>214726.081058375</v>
      </c>
      <c r="S281" s="6" t="n">
        <f aca="false">AB281-Assumptions!$B$29</f>
        <v>178241.062902131</v>
      </c>
      <c r="T281" s="6" t="n">
        <f aca="false">AC281-Assumptions!$B$29</f>
        <v>136308.244304916</v>
      </c>
      <c r="U281" s="6" t="n">
        <f aca="false">AD281-Assumptions!$B$29</f>
        <v>96926.1268644368</v>
      </c>
      <c r="V281" s="6" t="n">
        <f aca="false">AE281-Assumptions!$B$29</f>
        <v>52979.1254865631</v>
      </c>
      <c r="W281" s="6" t="n">
        <f aca="false">M281*(1+C281)</f>
        <v>417255.353529281</v>
      </c>
      <c r="X281" s="6" t="n">
        <f aca="false">N281*(1+D281)</f>
        <v>378049.217793622</v>
      </c>
      <c r="Y281" s="6" t="n">
        <f aca="false">O281*(1+E281)</f>
        <v>339858.695709915</v>
      </c>
      <c r="Z281" s="6" t="n">
        <f aca="false">P281*(1+F281)</f>
        <v>296896.648288686</v>
      </c>
      <c r="AA281" s="6" t="n">
        <f aca="false">Q281*(1+G281)</f>
        <v>264726.081058375</v>
      </c>
      <c r="AB281" s="6" t="n">
        <f aca="false">R281*(1+H281)</f>
        <v>228241.062902131</v>
      </c>
      <c r="AC281" s="6" t="n">
        <f aca="false">S281*(1+I281)</f>
        <v>186308.244304916</v>
      </c>
      <c r="AD281" s="6" t="n">
        <f aca="false">T281*(1+J281)</f>
        <v>146926.126864437</v>
      </c>
      <c r="AE281" s="6" t="n">
        <f aca="false">U281*(1+K281)</f>
        <v>102979.125486563</v>
      </c>
      <c r="AF281" s="6" t="n">
        <f aca="false">V281*(1+L281)</f>
        <v>56144.3721341641</v>
      </c>
      <c r="AG281" s="6" t="n">
        <f aca="false">MIN(M281:V281)</f>
        <v>52979.1254865631</v>
      </c>
      <c r="AH281" s="19" t="n">
        <f aca="false">IF(AG281&gt;=0,1,0)</f>
        <v>1</v>
      </c>
    </row>
    <row r="282" customFormat="false" ht="15" hidden="false" customHeight="false" outlineLevel="0" collapsed="false">
      <c r="A282" s="0" t="n">
        <f aca="false">ROW()-1</f>
        <v>281</v>
      </c>
      <c r="B282" s="6" t="n">
        <f aca="false">Assumptions!$B$35</f>
        <v>441263.996662504</v>
      </c>
      <c r="C282" s="8" t="n">
        <f aca="true">NORMINV(RAND(),Assumptions!$B$14,Assumptions!$B$15)</f>
        <v>0.0961152481183641</v>
      </c>
      <c r="D282" s="8" t="n">
        <f aca="true">NORMINV(RAND(),Assumptions!$B$14,Assumptions!$B$15)</f>
        <v>0.0614625292309132</v>
      </c>
      <c r="E282" s="8" t="n">
        <f aca="true">NORMINV(RAND(),Assumptions!$B$14,Assumptions!$B$15)</f>
        <v>0.033856072760292</v>
      </c>
      <c r="F282" s="8" t="n">
        <f aca="true">NORMINV(RAND(),Assumptions!$B$14,Assumptions!$B$15)</f>
        <v>0.000455167000827053</v>
      </c>
      <c r="G282" s="8" t="n">
        <f aca="true">NORMINV(RAND(),Assumptions!$B$14,Assumptions!$B$15)</f>
        <v>0.081070834689914</v>
      </c>
      <c r="H282" s="8" t="n">
        <f aca="true">NORMINV(RAND(),Assumptions!$B$14,Assumptions!$B$15)</f>
        <v>0.0729699345968632</v>
      </c>
      <c r="I282" s="8" t="n">
        <f aca="true">NORMINV(RAND(),Assumptions!$B$14,Assumptions!$B$15)</f>
        <v>0.0396091751007757</v>
      </c>
      <c r="J282" s="8" t="n">
        <f aca="true">NORMINV(RAND(),Assumptions!$B$14,Assumptions!$B$15)</f>
        <v>0.0360172662672924</v>
      </c>
      <c r="K282" s="8" t="n">
        <f aca="true">NORMINV(RAND(),Assumptions!$B$14,Assumptions!$B$15)</f>
        <v>0.0140641488994511</v>
      </c>
      <c r="L282" s="8" t="n">
        <f aca="true">NORMINV(RAND(),Assumptions!$B$14,Assumptions!$B$15)</f>
        <v>0.0490443259915382</v>
      </c>
      <c r="M282" s="6" t="n">
        <f aca="false">B282-Assumptions!$B$29</f>
        <v>391263.996662504</v>
      </c>
      <c r="N282" s="6" t="n">
        <f aca="false">W282-Assumptions!$B$29</f>
        <v>378870.432781503</v>
      </c>
      <c r="O282" s="6" t="n">
        <f aca="false">X282-Assumptions!$B$29</f>
        <v>352156.767831065</v>
      </c>
      <c r="P282" s="6" t="n">
        <f aca="false">Y282-Assumptions!$B$29</f>
        <v>314079.412985782</v>
      </c>
      <c r="Q282" s="6" t="n">
        <f aca="false">Z282-Assumptions!$B$29</f>
        <v>264222.371570213</v>
      </c>
      <c r="R282" s="6" t="n">
        <f aca="false">AA282-Assumptions!$B$29</f>
        <v>235643.099777158</v>
      </c>
      <c r="S282" s="6" t="n">
        <f aca="false">AB282-Assumptions!$B$29</f>
        <v>202837.9613561</v>
      </c>
      <c r="T282" s="6" t="n">
        <f aca="false">AC282-Assumptions!$B$29</f>
        <v>160872.205684538</v>
      </c>
      <c r="U282" s="6" t="n">
        <f aca="false">AD282-Assumptions!$B$29</f>
        <v>116666.382751685</v>
      </c>
      <c r="V282" s="6" t="n">
        <f aca="false">AE282-Assumptions!$B$29</f>
        <v>68307.1961302646</v>
      </c>
      <c r="W282" s="6" t="n">
        <f aca="false">M282*(1+C282)</f>
        <v>428870.432781503</v>
      </c>
      <c r="X282" s="6" t="n">
        <f aca="false">N282*(1+D282)</f>
        <v>402156.767831065</v>
      </c>
      <c r="Y282" s="6" t="n">
        <f aca="false">O282*(1+E282)</f>
        <v>364079.412985782</v>
      </c>
      <c r="Z282" s="6" t="n">
        <f aca="false">P282*(1+F282)</f>
        <v>314222.371570213</v>
      </c>
      <c r="AA282" s="6" t="n">
        <f aca="false">Q282*(1+G282)</f>
        <v>285643.099777158</v>
      </c>
      <c r="AB282" s="6" t="n">
        <f aca="false">R282*(1+H282)</f>
        <v>252837.9613561</v>
      </c>
      <c r="AC282" s="6" t="n">
        <f aca="false">S282*(1+I282)</f>
        <v>210872.205684538</v>
      </c>
      <c r="AD282" s="6" t="n">
        <f aca="false">T282*(1+J282)</f>
        <v>166666.382751685</v>
      </c>
      <c r="AE282" s="6" t="n">
        <f aca="false">U282*(1+K282)</f>
        <v>118307.196130265</v>
      </c>
      <c r="AF282" s="6" t="n">
        <f aca="false">V282*(1+L282)</f>
        <v>71657.2765248452</v>
      </c>
      <c r="AG282" s="6" t="n">
        <f aca="false">MIN(M282:V282)</f>
        <v>68307.1961302646</v>
      </c>
      <c r="AH282" s="19" t="n">
        <f aca="false">IF(AG282&gt;=0,1,0)</f>
        <v>1</v>
      </c>
    </row>
    <row r="283" customFormat="false" ht="15" hidden="false" customHeight="false" outlineLevel="0" collapsed="false">
      <c r="A283" s="0" t="n">
        <f aca="false">ROW()-1</f>
        <v>282</v>
      </c>
      <c r="B283" s="6" t="n">
        <f aca="false">Assumptions!$B$35</f>
        <v>441263.996662504</v>
      </c>
      <c r="C283" s="8" t="n">
        <f aca="true">NORMINV(RAND(),Assumptions!$B$14,Assumptions!$B$15)</f>
        <v>0.0160502442812067</v>
      </c>
      <c r="D283" s="8" t="n">
        <f aca="true">NORMINV(RAND(),Assumptions!$B$14,Assumptions!$B$15)</f>
        <v>0.0918267850469023</v>
      </c>
      <c r="E283" s="8" t="n">
        <f aca="true">NORMINV(RAND(),Assumptions!$B$14,Assumptions!$B$15)</f>
        <v>0.0155229406593744</v>
      </c>
      <c r="F283" s="8" t="n">
        <f aca="true">NORMINV(RAND(),Assumptions!$B$14,Assumptions!$B$15)</f>
        <v>0.0708998472402596</v>
      </c>
      <c r="G283" s="8" t="n">
        <f aca="true">NORMINV(RAND(),Assumptions!$B$14,Assumptions!$B$15)</f>
        <v>0.0680218908021721</v>
      </c>
      <c r="H283" s="8" t="n">
        <f aca="true">NORMINV(RAND(),Assumptions!$B$14,Assumptions!$B$15)</f>
        <v>0.0624771732592477</v>
      </c>
      <c r="I283" s="8" t="n">
        <f aca="true">NORMINV(RAND(),Assumptions!$B$14,Assumptions!$B$15)</f>
        <v>0.0755690722122118</v>
      </c>
      <c r="J283" s="8" t="n">
        <f aca="true">NORMINV(RAND(),Assumptions!$B$14,Assumptions!$B$15)</f>
        <v>0.037534963360437</v>
      </c>
      <c r="K283" s="8" t="n">
        <f aca="true">NORMINV(RAND(),Assumptions!$B$14,Assumptions!$B$15)</f>
        <v>0.0699314605408427</v>
      </c>
      <c r="L283" s="8" t="n">
        <f aca="true">NORMINV(RAND(),Assumptions!$B$14,Assumptions!$B$15)</f>
        <v>0.0312099450573131</v>
      </c>
      <c r="M283" s="6" t="n">
        <f aca="false">B283-Assumptions!$B$29</f>
        <v>391263.996662504</v>
      </c>
      <c r="N283" s="6" t="n">
        <f aca="false">W283-Assumptions!$B$29</f>
        <v>347543.879387378</v>
      </c>
      <c r="O283" s="6" t="n">
        <f aca="false">X283-Assumptions!$B$29</f>
        <v>329457.716494249</v>
      </c>
      <c r="P283" s="6" t="n">
        <f aca="false">Y283-Assumptions!$B$29</f>
        <v>284571.869077162</v>
      </c>
      <c r="Q283" s="6" t="n">
        <f aca="false">Z283-Assumptions!$B$29</f>
        <v>254747.971123608</v>
      </c>
      <c r="R283" s="6" t="n">
        <f aca="false">AA283-Assumptions!$B$29</f>
        <v>222076.409797453</v>
      </c>
      <c r="S283" s="6" t="n">
        <f aca="false">AB283-Assumptions!$B$29</f>
        <v>185951.116129161</v>
      </c>
      <c r="T283" s="6" t="n">
        <f aca="false">AC283-Assumptions!$B$29</f>
        <v>150003.269451866</v>
      </c>
      <c r="U283" s="6" t="n">
        <f aca="false">AD283-Assumptions!$B$29</f>
        <v>105633.636674688</v>
      </c>
      <c r="V283" s="6" t="n">
        <f aca="false">AE283-Assumptions!$B$29</f>
        <v>63020.7511695897</v>
      </c>
      <c r="W283" s="6" t="n">
        <f aca="false">M283*(1+C283)</f>
        <v>397543.879387378</v>
      </c>
      <c r="X283" s="6" t="n">
        <f aca="false">N283*(1+D283)</f>
        <v>379457.716494249</v>
      </c>
      <c r="Y283" s="6" t="n">
        <f aca="false">O283*(1+E283)</f>
        <v>334571.869077162</v>
      </c>
      <c r="Z283" s="6" t="n">
        <f aca="false">P283*(1+F283)</f>
        <v>304747.971123608</v>
      </c>
      <c r="AA283" s="6" t="n">
        <f aca="false">Q283*(1+G283)</f>
        <v>272076.409797453</v>
      </c>
      <c r="AB283" s="6" t="n">
        <f aca="false">R283*(1+H283)</f>
        <v>235951.116129161</v>
      </c>
      <c r="AC283" s="6" t="n">
        <f aca="false">S283*(1+I283)</f>
        <v>200003.269451866</v>
      </c>
      <c r="AD283" s="6" t="n">
        <f aca="false">T283*(1+J283)</f>
        <v>155633.636674688</v>
      </c>
      <c r="AE283" s="6" t="n">
        <f aca="false">U283*(1+K283)</f>
        <v>113020.75116959</v>
      </c>
      <c r="AF283" s="6" t="n">
        <f aca="false">V283*(1+L283)</f>
        <v>64987.6253510632</v>
      </c>
      <c r="AG283" s="6" t="n">
        <f aca="false">MIN(M283:V283)</f>
        <v>63020.7511695897</v>
      </c>
      <c r="AH283" s="19" t="n">
        <f aca="false">IF(AG283&gt;=0,1,0)</f>
        <v>1</v>
      </c>
    </row>
    <row r="284" customFormat="false" ht="15" hidden="false" customHeight="false" outlineLevel="0" collapsed="false">
      <c r="A284" s="0" t="n">
        <f aca="false">ROW()-1</f>
        <v>283</v>
      </c>
      <c r="B284" s="6" t="n">
        <f aca="false">Assumptions!$B$35</f>
        <v>441263.996662504</v>
      </c>
      <c r="C284" s="8" t="n">
        <f aca="true">NORMINV(RAND(),Assumptions!$B$14,Assumptions!$B$15)</f>
        <v>0.0500665005032384</v>
      </c>
      <c r="D284" s="8" t="n">
        <f aca="true">NORMINV(RAND(),Assumptions!$B$14,Assumptions!$B$15)</f>
        <v>0.0721548462539517</v>
      </c>
      <c r="E284" s="8" t="n">
        <f aca="true">NORMINV(RAND(),Assumptions!$B$14,Assumptions!$B$15)</f>
        <v>0.0175930748061965</v>
      </c>
      <c r="F284" s="8" t="n">
        <f aca="true">NORMINV(RAND(),Assumptions!$B$14,Assumptions!$B$15)</f>
        <v>-0.0113666466227381</v>
      </c>
      <c r="G284" s="8" t="n">
        <f aca="true">NORMINV(RAND(),Assumptions!$B$14,Assumptions!$B$15)</f>
        <v>0.0355499951081736</v>
      </c>
      <c r="H284" s="8" t="n">
        <f aca="true">NORMINV(RAND(),Assumptions!$B$14,Assumptions!$B$15)</f>
        <v>0.0473653907381342</v>
      </c>
      <c r="I284" s="8" t="n">
        <f aca="true">NORMINV(RAND(),Assumptions!$B$14,Assumptions!$B$15)</f>
        <v>0.0437865487025865</v>
      </c>
      <c r="J284" s="8" t="n">
        <f aca="true">NORMINV(RAND(),Assumptions!$B$14,Assumptions!$B$15)</f>
        <v>0.0338086435583361</v>
      </c>
      <c r="K284" s="8" t="n">
        <f aca="true">NORMINV(RAND(),Assumptions!$B$14,Assumptions!$B$15)</f>
        <v>0.0422889552496425</v>
      </c>
      <c r="L284" s="8" t="n">
        <f aca="true">NORMINV(RAND(),Assumptions!$B$14,Assumptions!$B$15)</f>
        <v>0.0407056442334672</v>
      </c>
      <c r="M284" s="6" t="n">
        <f aca="false">B284-Assumptions!$B$29</f>
        <v>391263.996662504</v>
      </c>
      <c r="N284" s="6" t="n">
        <f aca="false">W284-Assumptions!$B$29</f>
        <v>360853.215748306</v>
      </c>
      <c r="O284" s="6" t="n">
        <f aca="false">X284-Assumptions!$B$29</f>
        <v>336890.524050869</v>
      </c>
      <c r="P284" s="6" t="n">
        <f aca="false">Y284-Assumptions!$B$29</f>
        <v>292817.464241995</v>
      </c>
      <c r="Q284" s="6" t="n">
        <f aca="false">Z284-Assumptions!$B$29</f>
        <v>239489.111600989</v>
      </c>
      <c r="R284" s="6" t="n">
        <f aca="false">AA284-Assumptions!$B$29</f>
        <v>198002.948346866</v>
      </c>
      <c r="S284" s="6" t="n">
        <f aca="false">AB284-Assumptions!$B$29</f>
        <v>157381.435362617</v>
      </c>
      <c r="T284" s="6" t="n">
        <f aca="false">AC284-Assumptions!$B$29</f>
        <v>114272.625247006</v>
      </c>
      <c r="U284" s="6" t="n">
        <f aca="false">AD284-Assumptions!$B$29</f>
        <v>68136.0277024569</v>
      </c>
      <c r="V284" s="6" t="n">
        <f aca="false">AE284-Assumptions!$B$29</f>
        <v>21017.4291288545</v>
      </c>
      <c r="W284" s="6" t="n">
        <f aca="false">M284*(1+C284)</f>
        <v>410853.215748306</v>
      </c>
      <c r="X284" s="6" t="n">
        <f aca="false">N284*(1+D284)</f>
        <v>386890.524050869</v>
      </c>
      <c r="Y284" s="6" t="n">
        <f aca="false">O284*(1+E284)</f>
        <v>342817.464241995</v>
      </c>
      <c r="Z284" s="6" t="n">
        <f aca="false">P284*(1+F284)</f>
        <v>289489.11160099</v>
      </c>
      <c r="AA284" s="6" t="n">
        <f aca="false">Q284*(1+G284)</f>
        <v>248002.948346866</v>
      </c>
      <c r="AB284" s="6" t="n">
        <f aca="false">R284*(1+H284)</f>
        <v>207381.435362617</v>
      </c>
      <c r="AC284" s="6" t="n">
        <f aca="false">S284*(1+I284)</f>
        <v>164272.625247006</v>
      </c>
      <c r="AD284" s="6" t="n">
        <f aca="false">T284*(1+J284)</f>
        <v>118136.027702457</v>
      </c>
      <c r="AE284" s="6" t="n">
        <f aca="false">U284*(1+K284)</f>
        <v>71017.4291288545</v>
      </c>
      <c r="AF284" s="6" t="n">
        <f aca="false">V284*(1+L284)</f>
        <v>21872.9571216758</v>
      </c>
      <c r="AG284" s="6" t="n">
        <f aca="false">MIN(M284:V284)</f>
        <v>21017.4291288545</v>
      </c>
      <c r="AH284" s="19" t="n">
        <f aca="false">IF(AG284&gt;=0,1,0)</f>
        <v>1</v>
      </c>
    </row>
    <row r="285" customFormat="false" ht="15" hidden="false" customHeight="false" outlineLevel="0" collapsed="false">
      <c r="A285" s="0" t="n">
        <f aca="false">ROW()-1</f>
        <v>284</v>
      </c>
      <c r="B285" s="6" t="n">
        <f aca="false">Assumptions!$B$35</f>
        <v>441263.996662504</v>
      </c>
      <c r="C285" s="8" t="n">
        <f aca="true">NORMINV(RAND(),Assumptions!$B$14,Assumptions!$B$15)</f>
        <v>0.00683849794275604</v>
      </c>
      <c r="D285" s="8" t="n">
        <f aca="true">NORMINV(RAND(),Assumptions!$B$14,Assumptions!$B$15)</f>
        <v>-0.0204040988444034</v>
      </c>
      <c r="E285" s="8" t="n">
        <f aca="true">NORMINV(RAND(),Assumptions!$B$14,Assumptions!$B$15)</f>
        <v>0.026850020030888</v>
      </c>
      <c r="F285" s="8" t="n">
        <f aca="true">NORMINV(RAND(),Assumptions!$B$14,Assumptions!$B$15)</f>
        <v>0.0186633176412831</v>
      </c>
      <c r="G285" s="8" t="n">
        <f aca="true">NORMINV(RAND(),Assumptions!$B$14,Assumptions!$B$15)</f>
        <v>0.0753528709345325</v>
      </c>
      <c r="H285" s="8" t="n">
        <f aca="true">NORMINV(RAND(),Assumptions!$B$14,Assumptions!$B$15)</f>
        <v>0.0214383014657435</v>
      </c>
      <c r="I285" s="8" t="n">
        <f aca="true">NORMINV(RAND(),Assumptions!$B$14,Assumptions!$B$15)</f>
        <v>0.0912071378886621</v>
      </c>
      <c r="J285" s="8" t="n">
        <f aca="true">NORMINV(RAND(),Assumptions!$B$14,Assumptions!$B$15)</f>
        <v>0.099611111205623</v>
      </c>
      <c r="K285" s="8" t="n">
        <f aca="true">NORMINV(RAND(),Assumptions!$B$14,Assumptions!$B$15)</f>
        <v>0.0401649843864211</v>
      </c>
      <c r="L285" s="8" t="n">
        <f aca="true">NORMINV(RAND(),Assumptions!$B$14,Assumptions!$B$15)</f>
        <v>0.0557869391499008</v>
      </c>
      <c r="M285" s="6" t="n">
        <f aca="false">B285-Assumptions!$B$29</f>
        <v>391263.996662504</v>
      </c>
      <c r="N285" s="6" t="n">
        <f aca="false">W285-Assumptions!$B$29</f>
        <v>343939.654698755</v>
      </c>
      <c r="O285" s="6" t="n">
        <f aca="false">X285-Assumptions!$B$29</f>
        <v>286921.875987771</v>
      </c>
      <c r="P285" s="6" t="n">
        <f aca="false">Y285-Assumptions!$B$29</f>
        <v>244625.734105343</v>
      </c>
      <c r="Q285" s="6" t="n">
        <f aca="false">Z285-Assumptions!$B$29</f>
        <v>199191.261884183</v>
      </c>
      <c r="R285" s="6" t="n">
        <f aca="false">AA285-Assumptions!$B$29</f>
        <v>164200.895332228</v>
      </c>
      <c r="S285" s="6" t="n">
        <f aca="false">AB285-Assumptions!$B$29</f>
        <v>117721.083627306</v>
      </c>
      <c r="T285" s="6" t="n">
        <f aca="false">AC285-Assumptions!$B$29</f>
        <v>78458.086734104</v>
      </c>
      <c r="U285" s="6" t="n">
        <f aca="false">AD285-Assumptions!$B$29</f>
        <v>36273.3839367553</v>
      </c>
      <c r="V285" s="6" t="n">
        <f aca="false">AE285-Assumptions!$B$29</f>
        <v>-12269.6961637823</v>
      </c>
      <c r="W285" s="6" t="n">
        <f aca="false">M285*(1+C285)</f>
        <v>393939.654698755</v>
      </c>
      <c r="X285" s="6" t="n">
        <f aca="false">N285*(1+D285)</f>
        <v>336921.875987771</v>
      </c>
      <c r="Y285" s="6" t="n">
        <f aca="false">O285*(1+E285)</f>
        <v>294625.734105343</v>
      </c>
      <c r="Z285" s="6" t="n">
        <f aca="false">P285*(1+F285)</f>
        <v>249191.261884183</v>
      </c>
      <c r="AA285" s="6" t="n">
        <f aca="false">Q285*(1+G285)</f>
        <v>214200.895332228</v>
      </c>
      <c r="AB285" s="6" t="n">
        <f aca="false">R285*(1+H285)</f>
        <v>167721.083627306</v>
      </c>
      <c r="AC285" s="6" t="n">
        <f aca="false">S285*(1+I285)</f>
        <v>128458.086734104</v>
      </c>
      <c r="AD285" s="6" t="n">
        <f aca="false">T285*(1+J285)</f>
        <v>86273.3839367553</v>
      </c>
      <c r="AE285" s="6" t="n">
        <f aca="false">U285*(1+K285)</f>
        <v>37730.3038362177</v>
      </c>
      <c r="AF285" s="6" t="n">
        <f aca="false">V285*(1+L285)</f>
        <v>-12954.184957059</v>
      </c>
      <c r="AG285" s="6" t="n">
        <f aca="false">MIN(M285:V285)</f>
        <v>-12269.6961637823</v>
      </c>
      <c r="AH285" s="19" t="n">
        <f aca="false">IF(AG285&gt;=0,1,0)</f>
        <v>0</v>
      </c>
    </row>
    <row r="286" customFormat="false" ht="15" hidden="false" customHeight="false" outlineLevel="0" collapsed="false">
      <c r="A286" s="0" t="n">
        <f aca="false">ROW()-1</f>
        <v>285</v>
      </c>
      <c r="B286" s="6" t="n">
        <f aca="false">Assumptions!$B$35</f>
        <v>441263.996662504</v>
      </c>
      <c r="C286" s="8" t="n">
        <f aca="true">NORMINV(RAND(),Assumptions!$B$14,Assumptions!$B$15)</f>
        <v>0.0763648036198863</v>
      </c>
      <c r="D286" s="8" t="n">
        <f aca="true">NORMINV(RAND(),Assumptions!$B$14,Assumptions!$B$15)</f>
        <v>0.0301211845029342</v>
      </c>
      <c r="E286" s="8" t="n">
        <f aca="true">NORMINV(RAND(),Assumptions!$B$14,Assumptions!$B$15)</f>
        <v>0.069752692924363</v>
      </c>
      <c r="F286" s="8" t="n">
        <f aca="true">NORMINV(RAND(),Assumptions!$B$14,Assumptions!$B$15)</f>
        <v>0.0773402415141498</v>
      </c>
      <c r="G286" s="8" t="n">
        <f aca="true">NORMINV(RAND(),Assumptions!$B$14,Assumptions!$B$15)</f>
        <v>0.0575773930476006</v>
      </c>
      <c r="H286" s="8" t="n">
        <f aca="true">NORMINV(RAND(),Assumptions!$B$14,Assumptions!$B$15)</f>
        <v>0.0294654713808997</v>
      </c>
      <c r="I286" s="8" t="n">
        <f aca="true">NORMINV(RAND(),Assumptions!$B$14,Assumptions!$B$15)</f>
        <v>0.0662844247488147</v>
      </c>
      <c r="J286" s="8" t="n">
        <f aca="true">NORMINV(RAND(),Assumptions!$B$14,Assumptions!$B$15)</f>
        <v>0.0332896299167016</v>
      </c>
      <c r="K286" s="8" t="n">
        <f aca="true">NORMINV(RAND(),Assumptions!$B$14,Assumptions!$B$15)</f>
        <v>0.0718146050758564</v>
      </c>
      <c r="L286" s="8" t="n">
        <f aca="true">NORMINV(RAND(),Assumptions!$B$14,Assumptions!$B$15)</f>
        <v>0.100160693070126</v>
      </c>
      <c r="M286" s="6" t="n">
        <f aca="false">B286-Assumptions!$B$29</f>
        <v>391263.996662504</v>
      </c>
      <c r="N286" s="6" t="n">
        <f aca="false">W286-Assumptions!$B$29</f>
        <v>371142.794931167</v>
      </c>
      <c r="O286" s="6" t="n">
        <f aca="false">X286-Assumptions!$B$29</f>
        <v>332322.055534224</v>
      </c>
      <c r="P286" s="6" t="n">
        <f aca="false">Y286-Assumptions!$B$29</f>
        <v>305502.413825896</v>
      </c>
      <c r="Q286" s="6" t="n">
        <f aca="false">Z286-Assumptions!$B$29</f>
        <v>279130.044294346</v>
      </c>
      <c r="R286" s="6" t="n">
        <f aca="false">AA286-Assumptions!$B$29</f>
        <v>245201.624566076</v>
      </c>
      <c r="S286" s="6" t="n">
        <f aca="false">AB286-Assumptions!$B$29</f>
        <v>202426.606017278</v>
      </c>
      <c r="T286" s="6" t="n">
        <f aca="false">AC286-Assumptions!$B$29</f>
        <v>165844.337150988</v>
      </c>
      <c r="U286" s="6" t="n">
        <f aca="false">AD286-Assumptions!$B$29</f>
        <v>121365.233758525</v>
      </c>
      <c r="V286" s="6" t="n">
        <f aca="false">AE286-Assumptions!$B$29</f>
        <v>80081.0300908325</v>
      </c>
      <c r="W286" s="6" t="n">
        <f aca="false">M286*(1+C286)</f>
        <v>421142.794931167</v>
      </c>
      <c r="X286" s="6" t="n">
        <f aca="false">N286*(1+D286)</f>
        <v>382322.055534224</v>
      </c>
      <c r="Y286" s="6" t="n">
        <f aca="false">O286*(1+E286)</f>
        <v>355502.413825896</v>
      </c>
      <c r="Z286" s="6" t="n">
        <f aca="false">P286*(1+F286)</f>
        <v>329130.044294346</v>
      </c>
      <c r="AA286" s="6" t="n">
        <f aca="false">Q286*(1+G286)</f>
        <v>295201.624566076</v>
      </c>
      <c r="AB286" s="6" t="n">
        <f aca="false">R286*(1+H286)</f>
        <v>252426.606017278</v>
      </c>
      <c r="AC286" s="6" t="n">
        <f aca="false">S286*(1+I286)</f>
        <v>215844.337150988</v>
      </c>
      <c r="AD286" s="6" t="n">
        <f aca="false">T286*(1+J286)</f>
        <v>171365.233758525</v>
      </c>
      <c r="AE286" s="6" t="n">
        <f aca="false">U286*(1+K286)</f>
        <v>130081.030090832</v>
      </c>
      <c r="AF286" s="6" t="n">
        <f aca="false">V286*(1+L286)</f>
        <v>88102.0015664999</v>
      </c>
      <c r="AG286" s="6" t="n">
        <f aca="false">MIN(M286:V286)</f>
        <v>80081.0300908325</v>
      </c>
      <c r="AH286" s="19" t="n">
        <f aca="false">IF(AG286&gt;=0,1,0)</f>
        <v>1</v>
      </c>
    </row>
    <row r="287" customFormat="false" ht="15" hidden="false" customHeight="false" outlineLevel="0" collapsed="false">
      <c r="A287" s="0" t="n">
        <f aca="false">ROW()-1</f>
        <v>286</v>
      </c>
      <c r="B287" s="6" t="n">
        <f aca="false">Assumptions!$B$35</f>
        <v>441263.996662504</v>
      </c>
      <c r="C287" s="8" t="n">
        <f aca="true">NORMINV(RAND(),Assumptions!$B$14,Assumptions!$B$15)</f>
        <v>0.0258777462639765</v>
      </c>
      <c r="D287" s="8" t="n">
        <f aca="true">NORMINV(RAND(),Assumptions!$B$14,Assumptions!$B$15)</f>
        <v>0.0329042499727165</v>
      </c>
      <c r="E287" s="8" t="n">
        <f aca="true">NORMINV(RAND(),Assumptions!$B$14,Assumptions!$B$15)</f>
        <v>0.0429247665240528</v>
      </c>
      <c r="F287" s="8" t="n">
        <f aca="true">NORMINV(RAND(),Assumptions!$B$14,Assumptions!$B$15)</f>
        <v>0.0914879097681874</v>
      </c>
      <c r="G287" s="8" t="n">
        <f aca="true">NORMINV(RAND(),Assumptions!$B$14,Assumptions!$B$15)</f>
        <v>-0.000879987786803996</v>
      </c>
      <c r="H287" s="8" t="n">
        <f aca="true">NORMINV(RAND(),Assumptions!$B$14,Assumptions!$B$15)</f>
        <v>0.0575889343562604</v>
      </c>
      <c r="I287" s="8" t="n">
        <f aca="true">NORMINV(RAND(),Assumptions!$B$14,Assumptions!$B$15)</f>
        <v>0.0621913213244657</v>
      </c>
      <c r="J287" s="8" t="n">
        <f aca="true">NORMINV(RAND(),Assumptions!$B$14,Assumptions!$B$15)</f>
        <v>0.0415048356639297</v>
      </c>
      <c r="K287" s="8" t="n">
        <f aca="true">NORMINV(RAND(),Assumptions!$B$14,Assumptions!$B$15)</f>
        <v>0.0947593765006775</v>
      </c>
      <c r="L287" s="8" t="n">
        <f aca="true">NORMINV(RAND(),Assumptions!$B$14,Assumptions!$B$15)</f>
        <v>0.0811336628568647</v>
      </c>
      <c r="M287" s="6" t="n">
        <f aca="false">B287-Assumptions!$B$29</f>
        <v>391263.996662504</v>
      </c>
      <c r="N287" s="6" t="n">
        <f aca="false">W287-Assumptions!$B$29</f>
        <v>351389.027090365</v>
      </c>
      <c r="O287" s="6" t="n">
        <f aca="false">X287-Assumptions!$B$29</f>
        <v>312951.219475416</v>
      </c>
      <c r="P287" s="6" t="n">
        <f aca="false">Y287-Assumptions!$B$29</f>
        <v>276384.577504816</v>
      </c>
      <c r="Q287" s="6" t="n">
        <f aca="false">Z287-Assumptions!$B$29</f>
        <v>251670.424792895</v>
      </c>
      <c r="R287" s="6" t="n">
        <f aca="false">AA287-Assumptions!$B$29</f>
        <v>201448.957892778</v>
      </c>
      <c r="S287" s="6" t="n">
        <f aca="false">AB287-Assumptions!$B$29</f>
        <v>163050.188705002</v>
      </c>
      <c r="T287" s="6" t="n">
        <f aca="false">AC287-Assumptions!$B$29</f>
        <v>123190.49538277</v>
      </c>
      <c r="U287" s="6" t="n">
        <f aca="false">AD287-Assumptions!$B$29</f>
        <v>78303.4966489895</v>
      </c>
      <c r="V287" s="6" t="n">
        <f aca="false">AE287-Assumptions!$B$29</f>
        <v>35723.4871692706</v>
      </c>
      <c r="W287" s="6" t="n">
        <f aca="false">M287*(1+C287)</f>
        <v>401389.027090365</v>
      </c>
      <c r="X287" s="6" t="n">
        <f aca="false">N287*(1+D287)</f>
        <v>362951.219475416</v>
      </c>
      <c r="Y287" s="6" t="n">
        <f aca="false">O287*(1+E287)</f>
        <v>326384.577504816</v>
      </c>
      <c r="Z287" s="6" t="n">
        <f aca="false">P287*(1+F287)</f>
        <v>301670.424792895</v>
      </c>
      <c r="AA287" s="6" t="n">
        <f aca="false">Q287*(1+G287)</f>
        <v>251448.957892778</v>
      </c>
      <c r="AB287" s="6" t="n">
        <f aca="false">R287*(1+H287)</f>
        <v>213050.188705002</v>
      </c>
      <c r="AC287" s="6" t="n">
        <f aca="false">S287*(1+I287)</f>
        <v>173190.49538277</v>
      </c>
      <c r="AD287" s="6" t="n">
        <f aca="false">T287*(1+J287)</f>
        <v>128303.496648989</v>
      </c>
      <c r="AE287" s="6" t="n">
        <f aca="false">U287*(1+K287)</f>
        <v>85723.4871692706</v>
      </c>
      <c r="AF287" s="6" t="n">
        <f aca="false">V287*(1+L287)</f>
        <v>38621.8645333338</v>
      </c>
      <c r="AG287" s="6" t="n">
        <f aca="false">MIN(M287:V287)</f>
        <v>35723.4871692706</v>
      </c>
      <c r="AH287" s="19" t="n">
        <f aca="false">IF(AG287&gt;=0,1,0)</f>
        <v>1</v>
      </c>
    </row>
    <row r="288" customFormat="false" ht="15" hidden="false" customHeight="false" outlineLevel="0" collapsed="false">
      <c r="A288" s="0" t="n">
        <f aca="false">ROW()-1</f>
        <v>287</v>
      </c>
      <c r="B288" s="6" t="n">
        <f aca="false">Assumptions!$B$35</f>
        <v>441263.996662504</v>
      </c>
      <c r="C288" s="8" t="n">
        <f aca="true">NORMINV(RAND(),Assumptions!$B$14,Assumptions!$B$15)</f>
        <v>0.0636156864287547</v>
      </c>
      <c r="D288" s="8" t="n">
        <f aca="true">NORMINV(RAND(),Assumptions!$B$14,Assumptions!$B$15)</f>
        <v>0.03641485303823</v>
      </c>
      <c r="E288" s="8" t="n">
        <f aca="true">NORMINV(RAND(),Assumptions!$B$14,Assumptions!$B$15)</f>
        <v>0.0558087291404121</v>
      </c>
      <c r="F288" s="8" t="n">
        <f aca="true">NORMINV(RAND(),Assumptions!$B$14,Assumptions!$B$15)</f>
        <v>0.0646710426415268</v>
      </c>
      <c r="G288" s="8" t="n">
        <f aca="true">NORMINV(RAND(),Assumptions!$B$14,Assumptions!$B$15)</f>
        <v>0.0390269912039952</v>
      </c>
      <c r="H288" s="8" t="n">
        <f aca="true">NORMINV(RAND(),Assumptions!$B$14,Assumptions!$B$15)</f>
        <v>0.0150502072745357</v>
      </c>
      <c r="I288" s="8" t="n">
        <f aca="true">NORMINV(RAND(),Assumptions!$B$14,Assumptions!$B$15)</f>
        <v>0.0767425051081753</v>
      </c>
      <c r="J288" s="8" t="n">
        <f aca="true">NORMINV(RAND(),Assumptions!$B$14,Assumptions!$B$15)</f>
        <v>0.0586902899319381</v>
      </c>
      <c r="K288" s="8" t="n">
        <f aca="true">NORMINV(RAND(),Assumptions!$B$14,Assumptions!$B$15)</f>
        <v>0.0679014006915746</v>
      </c>
      <c r="L288" s="8" t="n">
        <f aca="true">NORMINV(RAND(),Assumptions!$B$14,Assumptions!$B$15)</f>
        <v>0.0483102572975192</v>
      </c>
      <c r="M288" s="6" t="n">
        <f aca="false">B288-Assumptions!$B$29</f>
        <v>391263.996662504</v>
      </c>
      <c r="N288" s="6" t="n">
        <f aca="false">W288-Assumptions!$B$29</f>
        <v>366154.524385047</v>
      </c>
      <c r="O288" s="6" t="n">
        <f aca="false">X288-Assumptions!$B$29</f>
        <v>329487.987579811</v>
      </c>
      <c r="P288" s="6" t="n">
        <f aca="false">Y288-Assumptions!$B$29</f>
        <v>297876.293433672</v>
      </c>
      <c r="Q288" s="6" t="n">
        <f aca="false">Z288-Assumptions!$B$29</f>
        <v>267140.263908221</v>
      </c>
      <c r="R288" s="6" t="n">
        <f aca="false">AA288-Assumptions!$B$29</f>
        <v>227565.944638</v>
      </c>
      <c r="S288" s="6" t="n">
        <f aca="false">AB288-Assumptions!$B$29</f>
        <v>180990.859273428</v>
      </c>
      <c r="T288" s="6" t="n">
        <f aca="false">AC288-Assumptions!$B$29</f>
        <v>144880.551215752</v>
      </c>
      <c r="U288" s="6" t="n">
        <f aca="false">AD288-Assumptions!$B$29</f>
        <v>103383.632772103</v>
      </c>
      <c r="V288" s="6" t="n">
        <f aca="false">AE288-Assumptions!$B$29</f>
        <v>60403.5262459125</v>
      </c>
      <c r="W288" s="6" t="n">
        <f aca="false">M288*(1+C288)</f>
        <v>416154.524385047</v>
      </c>
      <c r="X288" s="6" t="n">
        <f aca="false">N288*(1+D288)</f>
        <v>379487.987579811</v>
      </c>
      <c r="Y288" s="6" t="n">
        <f aca="false">O288*(1+E288)</f>
        <v>347876.293433672</v>
      </c>
      <c r="Z288" s="6" t="n">
        <f aca="false">P288*(1+F288)</f>
        <v>317140.263908221</v>
      </c>
      <c r="AA288" s="6" t="n">
        <f aca="false">Q288*(1+G288)</f>
        <v>277565.944638</v>
      </c>
      <c r="AB288" s="6" t="n">
        <f aca="false">R288*(1+H288)</f>
        <v>230990.859273428</v>
      </c>
      <c r="AC288" s="6" t="n">
        <f aca="false">S288*(1+I288)</f>
        <v>194880.551215752</v>
      </c>
      <c r="AD288" s="6" t="n">
        <f aca="false">T288*(1+J288)</f>
        <v>153383.632772103</v>
      </c>
      <c r="AE288" s="6" t="n">
        <f aca="false">U288*(1+K288)</f>
        <v>110403.526245912</v>
      </c>
      <c r="AF288" s="6" t="n">
        <f aca="false">V288*(1+L288)</f>
        <v>63321.63614053</v>
      </c>
      <c r="AG288" s="6" t="n">
        <f aca="false">MIN(M288:V288)</f>
        <v>60403.5262459125</v>
      </c>
      <c r="AH288" s="19" t="n">
        <f aca="false">IF(AG288&gt;=0,1,0)</f>
        <v>1</v>
      </c>
    </row>
    <row r="289" customFormat="false" ht="15" hidden="false" customHeight="false" outlineLevel="0" collapsed="false">
      <c r="A289" s="0" t="n">
        <f aca="false">ROW()-1</f>
        <v>288</v>
      </c>
      <c r="B289" s="6" t="n">
        <f aca="false">Assumptions!$B$35</f>
        <v>441263.996662504</v>
      </c>
      <c r="C289" s="8" t="n">
        <f aca="true">NORMINV(RAND(),Assumptions!$B$14,Assumptions!$B$15)</f>
        <v>0.0106299820712051</v>
      </c>
      <c r="D289" s="8" t="n">
        <f aca="true">NORMINV(RAND(),Assumptions!$B$14,Assumptions!$B$15)</f>
        <v>0.0371314003184418</v>
      </c>
      <c r="E289" s="8" t="n">
        <f aca="true">NORMINV(RAND(),Assumptions!$B$14,Assumptions!$B$15)</f>
        <v>0.0267747977435196</v>
      </c>
      <c r="F289" s="8" t="n">
        <f aca="true">NORMINV(RAND(),Assumptions!$B$14,Assumptions!$B$15)</f>
        <v>0.042958239690023</v>
      </c>
      <c r="G289" s="8" t="n">
        <f aca="true">NORMINV(RAND(),Assumptions!$B$14,Assumptions!$B$15)</f>
        <v>0.00779111204539684</v>
      </c>
      <c r="H289" s="8" t="n">
        <f aca="true">NORMINV(RAND(),Assumptions!$B$14,Assumptions!$B$15)</f>
        <v>0.0427647654751119</v>
      </c>
      <c r="I289" s="8" t="n">
        <f aca="true">NORMINV(RAND(),Assumptions!$B$14,Assumptions!$B$15)</f>
        <v>0.0616833120013917</v>
      </c>
      <c r="J289" s="8" t="n">
        <f aca="true">NORMINV(RAND(),Assumptions!$B$14,Assumptions!$B$15)</f>
        <v>0.0148728603517966</v>
      </c>
      <c r="K289" s="8" t="n">
        <f aca="true">NORMINV(RAND(),Assumptions!$B$14,Assumptions!$B$15)</f>
        <v>0.0222616918091597</v>
      </c>
      <c r="L289" s="8" t="n">
        <f aca="true">NORMINV(RAND(),Assumptions!$B$14,Assumptions!$B$15)</f>
        <v>0.0923377698074463</v>
      </c>
      <c r="M289" s="6" t="n">
        <f aca="false">B289-Assumptions!$B$29</f>
        <v>391263.996662504</v>
      </c>
      <c r="N289" s="6" t="n">
        <f aca="false">W289-Assumptions!$B$29</f>
        <v>345423.125932134</v>
      </c>
      <c r="O289" s="6" t="n">
        <f aca="false">X289-Assumptions!$B$29</f>
        <v>308249.170300368</v>
      </c>
      <c r="P289" s="6" t="n">
        <f aca="false">Y289-Assumptions!$B$29</f>
        <v>266502.479489768</v>
      </c>
      <c r="Q289" s="6" t="n">
        <f aca="false">Z289-Assumptions!$B$29</f>
        <v>227950.956881674</v>
      </c>
      <c r="R289" s="6" t="n">
        <f aca="false">AA289-Assumptions!$B$29</f>
        <v>179726.948327595</v>
      </c>
      <c r="S289" s="6" t="n">
        <f aca="false">AB289-Assumptions!$B$29</f>
        <v>137412.929122382</v>
      </c>
      <c r="T289" s="6" t="n">
        <f aca="false">AC289-Assumptions!$B$29</f>
        <v>95889.0137024632</v>
      </c>
      <c r="U289" s="6" t="n">
        <f aca="false">AD289-Assumptions!$B$29</f>
        <v>47315.1576125314</v>
      </c>
      <c r="V289" s="6" t="n">
        <f aca="false">AE289-Assumptions!$B$29</f>
        <v>-1631.52693079657</v>
      </c>
      <c r="W289" s="6" t="n">
        <f aca="false">M289*(1+C289)</f>
        <v>395423.125932134</v>
      </c>
      <c r="X289" s="6" t="n">
        <f aca="false">N289*(1+D289)</f>
        <v>358249.170300368</v>
      </c>
      <c r="Y289" s="6" t="n">
        <f aca="false">O289*(1+E289)</f>
        <v>316502.479489768</v>
      </c>
      <c r="Z289" s="6" t="n">
        <f aca="false">P289*(1+F289)</f>
        <v>277950.956881675</v>
      </c>
      <c r="AA289" s="6" t="n">
        <f aca="false">Q289*(1+G289)</f>
        <v>229726.948327595</v>
      </c>
      <c r="AB289" s="6" t="n">
        <f aca="false">R289*(1+H289)</f>
        <v>187412.929122382</v>
      </c>
      <c r="AC289" s="6" t="n">
        <f aca="false">S289*(1+I289)</f>
        <v>145889.013702463</v>
      </c>
      <c r="AD289" s="6" t="n">
        <f aca="false">T289*(1+J289)</f>
        <v>97315.1576125314</v>
      </c>
      <c r="AE289" s="6" t="n">
        <f aca="false">U289*(1+K289)</f>
        <v>48368.4730692034</v>
      </c>
      <c r="AF289" s="6" t="n">
        <f aca="false">V289*(1+L289)</f>
        <v>-1782.17848896712</v>
      </c>
      <c r="AG289" s="6" t="n">
        <f aca="false">MIN(M289:V289)</f>
        <v>-1631.52693079657</v>
      </c>
      <c r="AH289" s="19" t="n">
        <f aca="false">IF(AG289&gt;=0,1,0)</f>
        <v>0</v>
      </c>
    </row>
    <row r="290" customFormat="false" ht="15" hidden="false" customHeight="false" outlineLevel="0" collapsed="false">
      <c r="A290" s="0" t="n">
        <f aca="false">ROW()-1</f>
        <v>289</v>
      </c>
      <c r="B290" s="6" t="n">
        <f aca="false">Assumptions!$B$35</f>
        <v>441263.996662504</v>
      </c>
      <c r="C290" s="8" t="n">
        <f aca="true">NORMINV(RAND(),Assumptions!$B$14,Assumptions!$B$15)</f>
        <v>0.0606808688190651</v>
      </c>
      <c r="D290" s="8" t="n">
        <f aca="true">NORMINV(RAND(),Assumptions!$B$14,Assumptions!$B$15)</f>
        <v>0.0576411623603908</v>
      </c>
      <c r="E290" s="8" t="n">
        <f aca="true">NORMINV(RAND(),Assumptions!$B$14,Assumptions!$B$15)</f>
        <v>0.072612755945879</v>
      </c>
      <c r="F290" s="8" t="n">
        <f aca="true">NORMINV(RAND(),Assumptions!$B$14,Assumptions!$B$15)</f>
        <v>0.0744772333846623</v>
      </c>
      <c r="G290" s="8" t="n">
        <f aca="true">NORMINV(RAND(),Assumptions!$B$14,Assumptions!$B$15)</f>
        <v>0.0203627407673792</v>
      </c>
      <c r="H290" s="8" t="n">
        <f aca="true">NORMINV(RAND(),Assumptions!$B$14,Assumptions!$B$15)</f>
        <v>0.105960612236045</v>
      </c>
      <c r="I290" s="8" t="n">
        <f aca="true">NORMINV(RAND(),Assumptions!$B$14,Assumptions!$B$15)</f>
        <v>0.045019002828188</v>
      </c>
      <c r="J290" s="8" t="n">
        <f aca="true">NORMINV(RAND(),Assumptions!$B$14,Assumptions!$B$15)</f>
        <v>0.0271681277602165</v>
      </c>
      <c r="K290" s="8" t="n">
        <f aca="true">NORMINV(RAND(),Assumptions!$B$14,Assumptions!$B$15)</f>
        <v>0.0619982755993831</v>
      </c>
      <c r="L290" s="8" t="n">
        <f aca="true">NORMINV(RAND(),Assumptions!$B$14,Assumptions!$B$15)</f>
        <v>0.0577694281522774</v>
      </c>
      <c r="M290" s="6" t="n">
        <f aca="false">B290-Assumptions!$B$29</f>
        <v>391263.996662504</v>
      </c>
      <c r="N290" s="6" t="n">
        <f aca="false">W290-Assumptions!$B$29</f>
        <v>365006.235917604</v>
      </c>
      <c r="O290" s="6" t="n">
        <f aca="false">X290-Assumptions!$B$29</f>
        <v>336045.619624686</v>
      </c>
      <c r="P290" s="6" t="n">
        <f aca="false">Y290-Assumptions!$B$29</f>
        <v>310446.818189175</v>
      </c>
      <c r="Q290" s="6" t="n">
        <f aca="false">Z290-Assumptions!$B$29</f>
        <v>283568.038320976</v>
      </c>
      <c r="R290" s="6" t="n">
        <f aca="false">AA290-Assumptions!$B$29</f>
        <v>239342.26077522</v>
      </c>
      <c r="S290" s="6" t="n">
        <f aca="false">AB290-Assumptions!$B$29</f>
        <v>214703.113260922</v>
      </c>
      <c r="T290" s="6" t="n">
        <f aca="false">AC290-Assumptions!$B$29</f>
        <v>174368.833324036</v>
      </c>
      <c r="U290" s="6" t="n">
        <f aca="false">AD290-Assumptions!$B$29</f>
        <v>129106.108065183</v>
      </c>
      <c r="V290" s="6" t="n">
        <f aca="false">AE290-Assumptions!$B$29</f>
        <v>87110.4641345721</v>
      </c>
      <c r="W290" s="6" t="n">
        <f aca="false">M290*(1+C290)</f>
        <v>415006.235917604</v>
      </c>
      <c r="X290" s="6" t="n">
        <f aca="false">N290*(1+D290)</f>
        <v>386045.619624686</v>
      </c>
      <c r="Y290" s="6" t="n">
        <f aca="false">O290*(1+E290)</f>
        <v>360446.818189175</v>
      </c>
      <c r="Z290" s="6" t="n">
        <f aca="false">P290*(1+F290)</f>
        <v>333568.038320976</v>
      </c>
      <c r="AA290" s="6" t="n">
        <f aca="false">Q290*(1+G290)</f>
        <v>289342.26077522</v>
      </c>
      <c r="AB290" s="6" t="n">
        <f aca="false">R290*(1+H290)</f>
        <v>264703.113260922</v>
      </c>
      <c r="AC290" s="6" t="n">
        <f aca="false">S290*(1+I290)</f>
        <v>224368.833324036</v>
      </c>
      <c r="AD290" s="6" t="n">
        <f aca="false">T290*(1+J290)</f>
        <v>179106.108065183</v>
      </c>
      <c r="AE290" s="6" t="n">
        <f aca="false">U290*(1+K290)</f>
        <v>137110.464134572</v>
      </c>
      <c r="AF290" s="6" t="n">
        <f aca="false">V290*(1+L290)</f>
        <v>92142.7858337058</v>
      </c>
      <c r="AG290" s="6" t="n">
        <f aca="false">MIN(M290:V290)</f>
        <v>87110.4641345721</v>
      </c>
      <c r="AH290" s="19" t="n">
        <f aca="false">IF(AG290&gt;=0,1,0)</f>
        <v>1</v>
      </c>
    </row>
    <row r="291" customFormat="false" ht="15" hidden="false" customHeight="false" outlineLevel="0" collapsed="false">
      <c r="A291" s="0" t="n">
        <f aca="false">ROW()-1</f>
        <v>290</v>
      </c>
      <c r="B291" s="6" t="n">
        <f aca="false">Assumptions!$B$35</f>
        <v>441263.996662504</v>
      </c>
      <c r="C291" s="8" t="n">
        <f aca="true">NORMINV(RAND(),Assumptions!$B$14,Assumptions!$B$15)</f>
        <v>0.0515600342666128</v>
      </c>
      <c r="D291" s="8" t="n">
        <f aca="true">NORMINV(RAND(),Assumptions!$B$14,Assumptions!$B$15)</f>
        <v>0.0130754563058863</v>
      </c>
      <c r="E291" s="8" t="n">
        <f aca="true">NORMINV(RAND(),Assumptions!$B$14,Assumptions!$B$15)</f>
        <v>0.0590805875508713</v>
      </c>
      <c r="F291" s="8" t="n">
        <f aca="true">NORMINV(RAND(),Assumptions!$B$14,Assumptions!$B$15)</f>
        <v>0.0282711092348337</v>
      </c>
      <c r="G291" s="8" t="n">
        <f aca="true">NORMINV(RAND(),Assumptions!$B$14,Assumptions!$B$15)</f>
        <v>0.0346477628648083</v>
      </c>
      <c r="H291" s="8" t="n">
        <f aca="true">NORMINV(RAND(),Assumptions!$B$14,Assumptions!$B$15)</f>
        <v>-0.0286995645784359</v>
      </c>
      <c r="I291" s="8" t="n">
        <f aca="true">NORMINV(RAND(),Assumptions!$B$14,Assumptions!$B$15)</f>
        <v>0.0549106720409752</v>
      </c>
      <c r="J291" s="8" t="n">
        <f aca="true">NORMINV(RAND(),Assumptions!$B$14,Assumptions!$B$15)</f>
        <v>0.0545357148190712</v>
      </c>
      <c r="K291" s="8" t="n">
        <f aca="true">NORMINV(RAND(),Assumptions!$B$14,Assumptions!$B$15)</f>
        <v>0.0593428701447377</v>
      </c>
      <c r="L291" s="8" t="n">
        <f aca="true">NORMINV(RAND(),Assumptions!$B$14,Assumptions!$B$15)</f>
        <v>0.0269390990025036</v>
      </c>
      <c r="M291" s="6" t="n">
        <f aca="false">B291-Assumptions!$B$29</f>
        <v>391263.996662504</v>
      </c>
      <c r="N291" s="6" t="n">
        <f aca="false">W291-Assumptions!$B$29</f>
        <v>361437.581737714</v>
      </c>
      <c r="O291" s="6" t="n">
        <f aca="false">X291-Assumptions!$B$29</f>
        <v>316163.543045031</v>
      </c>
      <c r="P291" s="6" t="n">
        <f aca="false">Y291-Assumptions!$B$29</f>
        <v>284842.670930296</v>
      </c>
      <c r="Q291" s="6" t="n">
        <f aca="false">Z291-Assumptions!$B$29</f>
        <v>242895.489194909</v>
      </c>
      <c r="R291" s="6" t="n">
        <f aca="false">AA291-Assumptions!$B$29</f>
        <v>201311.274505465</v>
      </c>
      <c r="S291" s="6" t="n">
        <f aca="false">AB291-Assumptions!$B$29</f>
        <v>145533.728582429</v>
      </c>
      <c r="T291" s="6" t="n">
        <f aca="false">AC291-Assumptions!$B$29</f>
        <v>103525.083423519</v>
      </c>
      <c r="U291" s="6" t="n">
        <f aca="false">AD291-Assumptions!$B$29</f>
        <v>59170.8978497242</v>
      </c>
      <c r="V291" s="6" t="n">
        <f aca="false">AE291-Assumptions!$B$29</f>
        <v>12682.2687571679</v>
      </c>
      <c r="W291" s="6" t="n">
        <f aca="false">M291*(1+C291)</f>
        <v>411437.581737714</v>
      </c>
      <c r="X291" s="6" t="n">
        <f aca="false">N291*(1+D291)</f>
        <v>366163.543045031</v>
      </c>
      <c r="Y291" s="6" t="n">
        <f aca="false">O291*(1+E291)</f>
        <v>334842.670930296</v>
      </c>
      <c r="Z291" s="6" t="n">
        <f aca="false">P291*(1+F291)</f>
        <v>292895.489194909</v>
      </c>
      <c r="AA291" s="6" t="n">
        <f aca="false">Q291*(1+G291)</f>
        <v>251311.274505465</v>
      </c>
      <c r="AB291" s="6" t="n">
        <f aca="false">R291*(1+H291)</f>
        <v>195533.728582429</v>
      </c>
      <c r="AC291" s="6" t="n">
        <f aca="false">S291*(1+I291)</f>
        <v>153525.083423519</v>
      </c>
      <c r="AD291" s="6" t="n">
        <f aca="false">T291*(1+J291)</f>
        <v>109170.897849724</v>
      </c>
      <c r="AE291" s="6" t="n">
        <f aca="false">U291*(1+K291)</f>
        <v>62682.2687571679</v>
      </c>
      <c r="AF291" s="6" t="n">
        <f aca="false">V291*(1+L291)</f>
        <v>13023.9176507936</v>
      </c>
      <c r="AG291" s="6" t="n">
        <f aca="false">MIN(M291:V291)</f>
        <v>12682.2687571679</v>
      </c>
      <c r="AH291" s="19" t="n">
        <f aca="false">IF(AG291&gt;=0,1,0)</f>
        <v>1</v>
      </c>
    </row>
    <row r="292" customFormat="false" ht="15" hidden="false" customHeight="false" outlineLevel="0" collapsed="false">
      <c r="A292" s="0" t="n">
        <f aca="false">ROW()-1</f>
        <v>291</v>
      </c>
      <c r="B292" s="6" t="n">
        <f aca="false">Assumptions!$B$35</f>
        <v>441263.996662504</v>
      </c>
      <c r="C292" s="8" t="n">
        <f aca="true">NORMINV(RAND(),Assumptions!$B$14,Assumptions!$B$15)</f>
        <v>0.0530683291800155</v>
      </c>
      <c r="D292" s="8" t="n">
        <f aca="true">NORMINV(RAND(),Assumptions!$B$14,Assumptions!$B$15)</f>
        <v>0.0636197962283131</v>
      </c>
      <c r="E292" s="8" t="n">
        <f aca="true">NORMINV(RAND(),Assumptions!$B$14,Assumptions!$B$15)</f>
        <v>0.0390066836475847</v>
      </c>
      <c r="F292" s="8" t="n">
        <f aca="true">NORMINV(RAND(),Assumptions!$B$14,Assumptions!$B$15)</f>
        <v>-0.00232868193530274</v>
      </c>
      <c r="G292" s="8" t="n">
        <f aca="true">NORMINV(RAND(),Assumptions!$B$14,Assumptions!$B$15)</f>
        <v>0.04280022992952</v>
      </c>
      <c r="H292" s="8" t="n">
        <f aca="true">NORMINV(RAND(),Assumptions!$B$14,Assumptions!$B$15)</f>
        <v>0.0741058206233854</v>
      </c>
      <c r="I292" s="8" t="n">
        <f aca="true">NORMINV(RAND(),Assumptions!$B$14,Assumptions!$B$15)</f>
        <v>0.037945373057825</v>
      </c>
      <c r="J292" s="8" t="n">
        <f aca="true">NORMINV(RAND(),Assumptions!$B$14,Assumptions!$B$15)</f>
        <v>0.0395130739473397</v>
      </c>
      <c r="K292" s="8" t="n">
        <f aca="true">NORMINV(RAND(),Assumptions!$B$14,Assumptions!$B$15)</f>
        <v>0.115513280256187</v>
      </c>
      <c r="L292" s="8" t="n">
        <f aca="true">NORMINV(RAND(),Assumptions!$B$14,Assumptions!$B$15)</f>
        <v>0.102421800901079</v>
      </c>
      <c r="M292" s="6" t="n">
        <f aca="false">B292-Assumptions!$B$29</f>
        <v>391263.996662504</v>
      </c>
      <c r="N292" s="6" t="n">
        <f aca="false">W292-Assumptions!$B$29</f>
        <v>362027.723233678</v>
      </c>
      <c r="O292" s="6" t="n">
        <f aca="false">X292-Assumptions!$B$29</f>
        <v>335059.853214804</v>
      </c>
      <c r="P292" s="6" t="n">
        <f aca="false">Y292-Assumptions!$B$29</f>
        <v>298129.426912161</v>
      </c>
      <c r="Q292" s="6" t="n">
        <f aca="false">Z292-Assumptions!$B$29</f>
        <v>247435.178301328</v>
      </c>
      <c r="R292" s="6" t="n">
        <f aca="false">AA292-Assumptions!$B$29</f>
        <v>208025.460825277</v>
      </c>
      <c r="S292" s="6" t="n">
        <f aca="false">AB292-Assumptions!$B$29</f>
        <v>173441.358310292</v>
      </c>
      <c r="T292" s="6" t="n">
        <f aca="false">AC292-Assumptions!$B$29</f>
        <v>130022.655355032</v>
      </c>
      <c r="U292" s="6" t="n">
        <f aca="false">AD292-Assumptions!$B$29</f>
        <v>85160.2501509044</v>
      </c>
      <c r="V292" s="6" t="n">
        <f aca="false">AE292-Assumptions!$B$29</f>
        <v>44997.3899932728</v>
      </c>
      <c r="W292" s="6" t="n">
        <f aca="false">M292*(1+C292)</f>
        <v>412027.723233678</v>
      </c>
      <c r="X292" s="6" t="n">
        <f aca="false">N292*(1+D292)</f>
        <v>385059.853214804</v>
      </c>
      <c r="Y292" s="6" t="n">
        <f aca="false">O292*(1+E292)</f>
        <v>348129.426912161</v>
      </c>
      <c r="Z292" s="6" t="n">
        <f aca="false">P292*(1+F292)</f>
        <v>297435.178301328</v>
      </c>
      <c r="AA292" s="6" t="n">
        <f aca="false">Q292*(1+G292)</f>
        <v>258025.460825277</v>
      </c>
      <c r="AB292" s="6" t="n">
        <f aca="false">R292*(1+H292)</f>
        <v>223441.358310292</v>
      </c>
      <c r="AC292" s="6" t="n">
        <f aca="false">S292*(1+I292)</f>
        <v>180022.655355032</v>
      </c>
      <c r="AD292" s="6" t="n">
        <f aca="false">T292*(1+J292)</f>
        <v>135160.250150904</v>
      </c>
      <c r="AE292" s="6" t="n">
        <f aca="false">U292*(1+K292)</f>
        <v>94997.3899932728</v>
      </c>
      <c r="AF292" s="6" t="n">
        <f aca="false">V292*(1+L292)</f>
        <v>49606.103712232</v>
      </c>
      <c r="AG292" s="6" t="n">
        <f aca="false">MIN(M292:V292)</f>
        <v>44997.3899932728</v>
      </c>
      <c r="AH292" s="19" t="n">
        <f aca="false">IF(AG292&gt;=0,1,0)</f>
        <v>1</v>
      </c>
    </row>
    <row r="293" customFormat="false" ht="15" hidden="false" customHeight="false" outlineLevel="0" collapsed="false">
      <c r="A293" s="0" t="n">
        <f aca="false">ROW()-1</f>
        <v>292</v>
      </c>
      <c r="B293" s="6" t="n">
        <f aca="false">Assumptions!$B$35</f>
        <v>441263.996662504</v>
      </c>
      <c r="C293" s="8" t="n">
        <f aca="true">NORMINV(RAND(),Assumptions!$B$14,Assumptions!$B$15)</f>
        <v>0.0512577648929089</v>
      </c>
      <c r="D293" s="8" t="n">
        <f aca="true">NORMINV(RAND(),Assumptions!$B$14,Assumptions!$B$15)</f>
        <v>0.00228593222510245</v>
      </c>
      <c r="E293" s="8" t="n">
        <f aca="true">NORMINV(RAND(),Assumptions!$B$14,Assumptions!$B$15)</f>
        <v>0.0243932325993107</v>
      </c>
      <c r="F293" s="8" t="n">
        <f aca="true">NORMINV(RAND(),Assumptions!$B$14,Assumptions!$B$15)</f>
        <v>0.0520873449701575</v>
      </c>
      <c r="G293" s="8" t="n">
        <f aca="true">NORMINV(RAND(),Assumptions!$B$14,Assumptions!$B$15)</f>
        <v>0.0453306125709178</v>
      </c>
      <c r="H293" s="8" t="n">
        <f aca="true">NORMINV(RAND(),Assumptions!$B$14,Assumptions!$B$15)</f>
        <v>0.0233136249489527</v>
      </c>
      <c r="I293" s="8" t="n">
        <f aca="true">NORMINV(RAND(),Assumptions!$B$14,Assumptions!$B$15)</f>
        <v>0.0504761738259328</v>
      </c>
      <c r="J293" s="8" t="n">
        <f aca="true">NORMINV(RAND(),Assumptions!$B$14,Assumptions!$B$15)</f>
        <v>-0.0393171621150366</v>
      </c>
      <c r="K293" s="8" t="n">
        <f aca="true">NORMINV(RAND(),Assumptions!$B$14,Assumptions!$B$15)</f>
        <v>0.0190944112195518</v>
      </c>
      <c r="L293" s="8" t="n">
        <f aca="true">NORMINV(RAND(),Assumptions!$B$14,Assumptions!$B$15)</f>
        <v>0.0506218822621404</v>
      </c>
      <c r="M293" s="6" t="n">
        <f aca="false">B293-Assumptions!$B$29</f>
        <v>391263.996662504</v>
      </c>
      <c r="N293" s="6" t="n">
        <f aca="false">W293-Assumptions!$B$29</f>
        <v>361319.31461449</v>
      </c>
      <c r="O293" s="6" t="n">
        <f aca="false">X293-Assumptions!$B$29</f>
        <v>312145.266079319</v>
      </c>
      <c r="P293" s="6" t="n">
        <f aca="false">Y293-Assumptions!$B$29</f>
        <v>269759.498159566</v>
      </c>
      <c r="Q293" s="6" t="n">
        <f aca="false">Z293-Assumptions!$B$29</f>
        <v>233810.55419918</v>
      </c>
      <c r="R293" s="6" t="n">
        <f aca="false">AA293-Assumptions!$B$29</f>
        <v>194409.329846574</v>
      </c>
      <c r="S293" s="6" t="n">
        <f aca="false">AB293-Assumptions!$B$29</f>
        <v>148941.716049195</v>
      </c>
      <c r="T293" s="6" t="n">
        <f aca="false">AC293-Assumptions!$B$29</f>
        <v>106459.723998427</v>
      </c>
      <c r="U293" s="6" t="n">
        <f aca="false">AD293-Assumptions!$B$29</f>
        <v>52274.0297712583</v>
      </c>
      <c r="V293" s="6" t="n">
        <f aca="false">AE293-Assumptions!$B$29</f>
        <v>3272.17159181385</v>
      </c>
      <c r="W293" s="6" t="n">
        <f aca="false">M293*(1+C293)</f>
        <v>411319.31461449</v>
      </c>
      <c r="X293" s="6" t="n">
        <f aca="false">N293*(1+D293)</f>
        <v>362145.266079319</v>
      </c>
      <c r="Y293" s="6" t="n">
        <f aca="false">O293*(1+E293)</f>
        <v>319759.498159566</v>
      </c>
      <c r="Z293" s="6" t="n">
        <f aca="false">P293*(1+F293)</f>
        <v>283810.55419918</v>
      </c>
      <c r="AA293" s="6" t="n">
        <f aca="false">Q293*(1+G293)</f>
        <v>244409.329846574</v>
      </c>
      <c r="AB293" s="6" t="n">
        <f aca="false">R293*(1+H293)</f>
        <v>198941.716049195</v>
      </c>
      <c r="AC293" s="6" t="n">
        <f aca="false">S293*(1+I293)</f>
        <v>156459.723998427</v>
      </c>
      <c r="AD293" s="6" t="n">
        <f aca="false">T293*(1+J293)</f>
        <v>102274.029771258</v>
      </c>
      <c r="AE293" s="6" t="n">
        <f aca="false">U293*(1+K293)</f>
        <v>53272.1715918139</v>
      </c>
      <c r="AF293" s="6" t="n">
        <f aca="false">V293*(1+L293)</f>
        <v>3437.81507687617</v>
      </c>
      <c r="AG293" s="6" t="n">
        <f aca="false">MIN(M293:V293)</f>
        <v>3272.17159181385</v>
      </c>
      <c r="AH293" s="19" t="n">
        <f aca="false">IF(AG293&gt;=0,1,0)</f>
        <v>1</v>
      </c>
    </row>
    <row r="294" customFormat="false" ht="15" hidden="false" customHeight="false" outlineLevel="0" collapsed="false">
      <c r="A294" s="0" t="n">
        <f aca="false">ROW()-1</f>
        <v>293</v>
      </c>
      <c r="B294" s="6" t="n">
        <f aca="false">Assumptions!$B$35</f>
        <v>441263.996662504</v>
      </c>
      <c r="C294" s="8" t="n">
        <f aca="true">NORMINV(RAND(),Assumptions!$B$14,Assumptions!$B$15)</f>
        <v>0.0599156878054436</v>
      </c>
      <c r="D294" s="8" t="n">
        <f aca="true">NORMINV(RAND(),Assumptions!$B$14,Assumptions!$B$15)</f>
        <v>0.0873875818620078</v>
      </c>
      <c r="E294" s="8" t="n">
        <f aca="true">NORMINV(RAND(),Assumptions!$B$14,Assumptions!$B$15)</f>
        <v>0.0473669047423671</v>
      </c>
      <c r="F294" s="8" t="n">
        <f aca="true">NORMINV(RAND(),Assumptions!$B$14,Assumptions!$B$15)</f>
        <v>0.0657400477806767</v>
      </c>
      <c r="G294" s="8" t="n">
        <f aca="true">NORMINV(RAND(),Assumptions!$B$14,Assumptions!$B$15)</f>
        <v>0.0445944330723986</v>
      </c>
      <c r="H294" s="8" t="n">
        <f aca="true">NORMINV(RAND(),Assumptions!$B$14,Assumptions!$B$15)</f>
        <v>0.0573019245980469</v>
      </c>
      <c r="I294" s="8" t="n">
        <f aca="true">NORMINV(RAND(),Assumptions!$B$14,Assumptions!$B$15)</f>
        <v>0.0194651553155989</v>
      </c>
      <c r="J294" s="8" t="n">
        <f aca="true">NORMINV(RAND(),Assumptions!$B$14,Assumptions!$B$15)</f>
        <v>0.00912311948741812</v>
      </c>
      <c r="K294" s="8" t="n">
        <f aca="true">NORMINV(RAND(),Assumptions!$B$14,Assumptions!$B$15)</f>
        <v>0.0903083805898896</v>
      </c>
      <c r="L294" s="8" t="n">
        <f aca="true">NORMINV(RAND(),Assumptions!$B$14,Assumptions!$B$15)</f>
        <v>0.0798586765372892</v>
      </c>
      <c r="M294" s="6" t="n">
        <f aca="false">B294-Assumptions!$B$29</f>
        <v>391263.996662504</v>
      </c>
      <c r="N294" s="6" t="n">
        <f aca="false">W294-Assumptions!$B$29</f>
        <v>364706.848136044</v>
      </c>
      <c r="O294" s="6" t="n">
        <f aca="false">X294-Assumptions!$B$29</f>
        <v>346577.697683168</v>
      </c>
      <c r="P294" s="6" t="n">
        <f aca="false">Y294-Assumptions!$B$29</f>
        <v>312994.010475155</v>
      </c>
      <c r="Q294" s="6" t="n">
        <f aca="false">Z294-Assumptions!$B$29</f>
        <v>283570.251678857</v>
      </c>
      <c r="R294" s="6" t="n">
        <f aca="false">AA294-Assumptions!$B$29</f>
        <v>246215.906288673</v>
      </c>
      <c r="S294" s="6" t="n">
        <f aca="false">AB294-Assumptions!$B$29</f>
        <v>210324.551585667</v>
      </c>
      <c r="T294" s="6" t="n">
        <f aca="false">AC294-Assumptions!$B$29</f>
        <v>164418.551648966</v>
      </c>
      <c r="U294" s="6" t="n">
        <f aca="false">AD294-Assumptions!$B$29</f>
        <v>115918.561741607</v>
      </c>
      <c r="V294" s="6" t="n">
        <f aca="false">AE294-Assumptions!$B$29</f>
        <v>76386.979332801</v>
      </c>
      <c r="W294" s="6" t="n">
        <f aca="false">M294*(1+C294)</f>
        <v>414706.848136044</v>
      </c>
      <c r="X294" s="6" t="n">
        <f aca="false">N294*(1+D294)</f>
        <v>396577.697683168</v>
      </c>
      <c r="Y294" s="6" t="n">
        <f aca="false">O294*(1+E294)</f>
        <v>362994.010475155</v>
      </c>
      <c r="Z294" s="6" t="n">
        <f aca="false">P294*(1+F294)</f>
        <v>333570.251678857</v>
      </c>
      <c r="AA294" s="6" t="n">
        <f aca="false">Q294*(1+G294)</f>
        <v>296215.906288673</v>
      </c>
      <c r="AB294" s="6" t="n">
        <f aca="false">R294*(1+H294)</f>
        <v>260324.551585667</v>
      </c>
      <c r="AC294" s="6" t="n">
        <f aca="false">S294*(1+I294)</f>
        <v>214418.551648966</v>
      </c>
      <c r="AD294" s="6" t="n">
        <f aca="false">T294*(1+J294)</f>
        <v>165918.561741607</v>
      </c>
      <c r="AE294" s="6" t="n">
        <f aca="false">U294*(1+K294)</f>
        <v>126386.979332801</v>
      </c>
      <c r="AF294" s="6" t="n">
        <f aca="false">V294*(1+L294)</f>
        <v>82487.1424069997</v>
      </c>
      <c r="AG294" s="6" t="n">
        <f aca="false">MIN(M294:V294)</f>
        <v>76386.979332801</v>
      </c>
      <c r="AH294" s="19" t="n">
        <f aca="false">IF(AG294&gt;=0,1,0)</f>
        <v>1</v>
      </c>
    </row>
    <row r="295" customFormat="false" ht="15" hidden="false" customHeight="false" outlineLevel="0" collapsed="false">
      <c r="A295" s="0" t="n">
        <f aca="false">ROW()-1</f>
        <v>294</v>
      </c>
      <c r="B295" s="6" t="n">
        <f aca="false">Assumptions!$B$35</f>
        <v>441263.996662504</v>
      </c>
      <c r="C295" s="8" t="n">
        <f aca="true">NORMINV(RAND(),Assumptions!$B$14,Assumptions!$B$15)</f>
        <v>0.0859988490970814</v>
      </c>
      <c r="D295" s="8" t="n">
        <f aca="true">NORMINV(RAND(),Assumptions!$B$14,Assumptions!$B$15)</f>
        <v>0.00957297503959713</v>
      </c>
      <c r="E295" s="8" t="n">
        <f aca="true">NORMINV(RAND(),Assumptions!$B$14,Assumptions!$B$15)</f>
        <v>0.0544820314038682</v>
      </c>
      <c r="F295" s="8" t="n">
        <f aca="true">NORMINV(RAND(),Assumptions!$B$14,Assumptions!$B$15)</f>
        <v>0.0438637966734862</v>
      </c>
      <c r="G295" s="8" t="n">
        <f aca="true">NORMINV(RAND(),Assumptions!$B$14,Assumptions!$B$15)</f>
        <v>0.0416050663624007</v>
      </c>
      <c r="H295" s="8" t="n">
        <f aca="true">NORMINV(RAND(),Assumptions!$B$14,Assumptions!$B$15)</f>
        <v>0.109692404369371</v>
      </c>
      <c r="I295" s="8" t="n">
        <f aca="true">NORMINV(RAND(),Assumptions!$B$14,Assumptions!$B$15)</f>
        <v>0.0472376230734318</v>
      </c>
      <c r="J295" s="8" t="n">
        <f aca="true">NORMINV(RAND(),Assumptions!$B$14,Assumptions!$B$15)</f>
        <v>0.0127707373184681</v>
      </c>
      <c r="K295" s="8" t="n">
        <f aca="true">NORMINV(RAND(),Assumptions!$B$14,Assumptions!$B$15)</f>
        <v>-0.0106837080536007</v>
      </c>
      <c r="L295" s="8" t="n">
        <f aca="true">NORMINV(RAND(),Assumptions!$B$14,Assumptions!$B$15)</f>
        <v>-0.0137711334462286</v>
      </c>
      <c r="M295" s="6" t="n">
        <f aca="false">B295-Assumptions!$B$29</f>
        <v>391263.996662504</v>
      </c>
      <c r="N295" s="6" t="n">
        <f aca="false">W295-Assumptions!$B$29</f>
        <v>374912.250068603</v>
      </c>
      <c r="O295" s="6" t="n">
        <f aca="false">X295-Assumptions!$B$29</f>
        <v>328501.275680549</v>
      </c>
      <c r="P295" s="6" t="n">
        <f aca="false">Y295-Assumptions!$B$29</f>
        <v>296398.692498388</v>
      </c>
      <c r="Q295" s="6" t="n">
        <f aca="false">Z295-Assumptions!$B$29</f>
        <v>259399.864480424</v>
      </c>
      <c r="R295" s="6" t="n">
        <f aca="false">AA295-Assumptions!$B$29</f>
        <v>220192.21305653</v>
      </c>
      <c r="S295" s="6" t="n">
        <f aca="false">AB295-Assumptions!$B$29</f>
        <v>194345.626330113</v>
      </c>
      <c r="T295" s="6" t="n">
        <f aca="false">AC295-Assumptions!$B$29</f>
        <v>153526.051772665</v>
      </c>
      <c r="U295" s="6" t="n">
        <f aca="false">AD295-Assumptions!$B$29</f>
        <v>105486.692651395</v>
      </c>
      <c r="V295" s="6" t="n">
        <f aca="false">AE295-Assumptions!$B$29</f>
        <v>54359.703623568</v>
      </c>
      <c r="W295" s="6" t="n">
        <f aca="false">M295*(1+C295)</f>
        <v>424912.250068603</v>
      </c>
      <c r="X295" s="6" t="n">
        <f aca="false">N295*(1+D295)</f>
        <v>378501.275680549</v>
      </c>
      <c r="Y295" s="6" t="n">
        <f aca="false">O295*(1+E295)</f>
        <v>346398.692498388</v>
      </c>
      <c r="Z295" s="6" t="n">
        <f aca="false">P295*(1+F295)</f>
        <v>309399.864480424</v>
      </c>
      <c r="AA295" s="6" t="n">
        <f aca="false">Q295*(1+G295)</f>
        <v>270192.21305653</v>
      </c>
      <c r="AB295" s="6" t="n">
        <f aca="false">R295*(1+H295)</f>
        <v>244345.626330113</v>
      </c>
      <c r="AC295" s="6" t="n">
        <f aca="false">S295*(1+I295)</f>
        <v>203526.051772665</v>
      </c>
      <c r="AD295" s="6" t="n">
        <f aca="false">T295*(1+J295)</f>
        <v>155486.692651395</v>
      </c>
      <c r="AE295" s="6" t="n">
        <f aca="false">U295*(1+K295)</f>
        <v>104359.703623568</v>
      </c>
      <c r="AF295" s="6" t="n">
        <f aca="false">V295*(1+L295)</f>
        <v>53611.1088908704</v>
      </c>
      <c r="AG295" s="6" t="n">
        <f aca="false">MIN(M295:V295)</f>
        <v>54359.703623568</v>
      </c>
      <c r="AH295" s="19" t="n">
        <f aca="false">IF(AG295&gt;=0,1,0)</f>
        <v>1</v>
      </c>
    </row>
    <row r="296" customFormat="false" ht="15" hidden="false" customHeight="false" outlineLevel="0" collapsed="false">
      <c r="A296" s="0" t="n">
        <f aca="false">ROW()-1</f>
        <v>295</v>
      </c>
      <c r="B296" s="6" t="n">
        <f aca="false">Assumptions!$B$35</f>
        <v>441263.996662504</v>
      </c>
      <c r="C296" s="8" t="n">
        <f aca="true">NORMINV(RAND(),Assumptions!$B$14,Assumptions!$B$15)</f>
        <v>0.0485450295121317</v>
      </c>
      <c r="D296" s="8" t="n">
        <f aca="true">NORMINV(RAND(),Assumptions!$B$14,Assumptions!$B$15)</f>
        <v>0.131170267056105</v>
      </c>
      <c r="E296" s="8" t="n">
        <f aca="true">NORMINV(RAND(),Assumptions!$B$14,Assumptions!$B$15)</f>
        <v>0.0305247240311326</v>
      </c>
      <c r="F296" s="8" t="n">
        <f aca="true">NORMINV(RAND(),Assumptions!$B$14,Assumptions!$B$15)</f>
        <v>0.0350717620757116</v>
      </c>
      <c r="G296" s="8" t="n">
        <f aca="true">NORMINV(RAND(),Assumptions!$B$14,Assumptions!$B$15)</f>
        <v>0.0377185462795757</v>
      </c>
      <c r="H296" s="8" t="n">
        <f aca="true">NORMINV(RAND(),Assumptions!$B$14,Assumptions!$B$15)</f>
        <v>0.0777479008304717</v>
      </c>
      <c r="I296" s="8" t="n">
        <f aca="true">NORMINV(RAND(),Assumptions!$B$14,Assumptions!$B$15)</f>
        <v>0.0549231529729286</v>
      </c>
      <c r="J296" s="8" t="n">
        <f aca="true">NORMINV(RAND(),Assumptions!$B$14,Assumptions!$B$15)</f>
        <v>0.0248327689866869</v>
      </c>
      <c r="K296" s="8" t="n">
        <f aca="true">NORMINV(RAND(),Assumptions!$B$14,Assumptions!$B$15)</f>
        <v>0.0260531575235282</v>
      </c>
      <c r="L296" s="8" t="n">
        <f aca="true">NORMINV(RAND(),Assumptions!$B$14,Assumptions!$B$15)</f>
        <v>-0.00420729599500696</v>
      </c>
      <c r="M296" s="6" t="n">
        <f aca="false">B296-Assumptions!$B$29</f>
        <v>391263.996662504</v>
      </c>
      <c r="N296" s="6" t="n">
        <f aca="false">W296-Assumptions!$B$29</f>
        <v>360257.918927519</v>
      </c>
      <c r="O296" s="6" t="n">
        <f aca="false">X296-Assumptions!$B$29</f>
        <v>357513.046362319</v>
      </c>
      <c r="P296" s="6" t="n">
        <f aca="false">Y296-Assumptions!$B$29</f>
        <v>318426.033440058</v>
      </c>
      <c r="Q296" s="6" t="n">
        <f aca="false">Z296-Assumptions!$B$29</f>
        <v>279593.79552358</v>
      </c>
      <c r="R296" s="6" t="n">
        <f aca="false">AA296-Assumptions!$B$29</f>
        <v>240139.667039519</v>
      </c>
      <c r="S296" s="6" t="n">
        <f aca="false">AB296-Assumptions!$B$29</f>
        <v>208810.02205797</v>
      </c>
      <c r="T296" s="6" t="n">
        <f aca="false">AC296-Assumptions!$B$29</f>
        <v>170278.52684174</v>
      </c>
      <c r="U296" s="6" t="n">
        <f aca="false">AD296-Assumptions!$B$29</f>
        <v>124507.014162194</v>
      </c>
      <c r="V296" s="6" t="n">
        <f aca="false">AE296-Assumptions!$B$29</f>
        <v>77750.8150149461</v>
      </c>
      <c r="W296" s="6" t="n">
        <f aca="false">M296*(1+C296)</f>
        <v>410257.918927519</v>
      </c>
      <c r="X296" s="6" t="n">
        <f aca="false">N296*(1+D296)</f>
        <v>407513.046362319</v>
      </c>
      <c r="Y296" s="6" t="n">
        <f aca="false">O296*(1+E296)</f>
        <v>368426.033440058</v>
      </c>
      <c r="Z296" s="6" t="n">
        <f aca="false">P296*(1+F296)</f>
        <v>329593.79552358</v>
      </c>
      <c r="AA296" s="6" t="n">
        <f aca="false">Q296*(1+G296)</f>
        <v>290139.667039519</v>
      </c>
      <c r="AB296" s="6" t="n">
        <f aca="false">R296*(1+H296)</f>
        <v>258810.02205797</v>
      </c>
      <c r="AC296" s="6" t="n">
        <f aca="false">S296*(1+I296)</f>
        <v>220278.52684174</v>
      </c>
      <c r="AD296" s="6" t="n">
        <f aca="false">T296*(1+J296)</f>
        <v>174507.014162194</v>
      </c>
      <c r="AE296" s="6" t="n">
        <f aca="false">U296*(1+K296)</f>
        <v>127750.815014946</v>
      </c>
      <c r="AF296" s="6" t="n">
        <f aca="false">V296*(1+L296)</f>
        <v>77423.6943223252</v>
      </c>
      <c r="AG296" s="6" t="n">
        <f aca="false">MIN(M296:V296)</f>
        <v>77750.8150149461</v>
      </c>
      <c r="AH296" s="19" t="n">
        <f aca="false">IF(AG296&gt;=0,1,0)</f>
        <v>1</v>
      </c>
    </row>
    <row r="297" customFormat="false" ht="15" hidden="false" customHeight="false" outlineLevel="0" collapsed="false">
      <c r="A297" s="0" t="n">
        <f aca="false">ROW()-1</f>
        <v>296</v>
      </c>
      <c r="B297" s="6" t="n">
        <f aca="false">Assumptions!$B$35</f>
        <v>441263.996662504</v>
      </c>
      <c r="C297" s="8" t="n">
        <f aca="true">NORMINV(RAND(),Assumptions!$B$14,Assumptions!$B$15)</f>
        <v>0.035262131649147</v>
      </c>
      <c r="D297" s="8" t="n">
        <f aca="true">NORMINV(RAND(),Assumptions!$B$14,Assumptions!$B$15)</f>
        <v>0.0288749902720343</v>
      </c>
      <c r="E297" s="8" t="n">
        <f aca="true">NORMINV(RAND(),Assumptions!$B$14,Assumptions!$B$15)</f>
        <v>0.0154707161759939</v>
      </c>
      <c r="F297" s="8" t="n">
        <f aca="true">NORMINV(RAND(),Assumptions!$B$14,Assumptions!$B$15)</f>
        <v>0.120090249971013</v>
      </c>
      <c r="G297" s="8" t="n">
        <f aca="true">NORMINV(RAND(),Assumptions!$B$14,Assumptions!$B$15)</f>
        <v>0.060891877071723</v>
      </c>
      <c r="H297" s="8" t="n">
        <f aca="true">NORMINV(RAND(),Assumptions!$B$14,Assumptions!$B$15)</f>
        <v>0.0942051093184702</v>
      </c>
      <c r="I297" s="8" t="n">
        <f aca="true">NORMINV(RAND(),Assumptions!$B$14,Assumptions!$B$15)</f>
        <v>0.0485988721870979</v>
      </c>
      <c r="J297" s="8" t="n">
        <f aca="true">NORMINV(RAND(),Assumptions!$B$14,Assumptions!$B$15)</f>
        <v>0.112732461476229</v>
      </c>
      <c r="K297" s="8" t="n">
        <f aca="true">NORMINV(RAND(),Assumptions!$B$14,Assumptions!$B$15)</f>
        <v>0.0150807550344459</v>
      </c>
      <c r="L297" s="8" t="n">
        <f aca="true">NORMINV(RAND(),Assumptions!$B$14,Assumptions!$B$15)</f>
        <v>0.0717842760787557</v>
      </c>
      <c r="M297" s="6" t="n">
        <f aca="false">B297-Assumptions!$B$29</f>
        <v>391263.996662504</v>
      </c>
      <c r="N297" s="6" t="n">
        <f aca="false">W297-Assumptions!$B$29</f>
        <v>355060.799222388</v>
      </c>
      <c r="O297" s="6" t="n">
        <f aca="false">X297-Assumptions!$B$29</f>
        <v>315313.176345915</v>
      </c>
      <c r="P297" s="6" t="n">
        <f aca="false">Y297-Assumptions!$B$29</f>
        <v>270191.297003714</v>
      </c>
      <c r="Q297" s="6" t="n">
        <f aca="false">Z297-Assumptions!$B$29</f>
        <v>252638.637400882</v>
      </c>
      <c r="R297" s="6" t="n">
        <f aca="false">AA297-Assumptions!$B$29</f>
        <v>218022.278253064</v>
      </c>
      <c r="S297" s="6" t="n">
        <f aca="false">AB297-Assumptions!$B$29</f>
        <v>188561.090809756</v>
      </c>
      <c r="T297" s="6" t="n">
        <f aca="false">AC297-Assumptions!$B$29</f>
        <v>147724.947161479</v>
      </c>
      <c r="U297" s="6" t="n">
        <f aca="false">AD297-Assumptions!$B$29</f>
        <v>114378.344076439</v>
      </c>
      <c r="V297" s="6" t="n">
        <f aca="false">AE297-Assumptions!$B$29</f>
        <v>66103.2558647011</v>
      </c>
      <c r="W297" s="6" t="n">
        <f aca="false">M297*(1+C297)</f>
        <v>405060.799222388</v>
      </c>
      <c r="X297" s="6" t="n">
        <f aca="false">N297*(1+D297)</f>
        <v>365313.176345915</v>
      </c>
      <c r="Y297" s="6" t="n">
        <f aca="false">O297*(1+E297)</f>
        <v>320191.297003714</v>
      </c>
      <c r="Z297" s="6" t="n">
        <f aca="false">P297*(1+F297)</f>
        <v>302638.637400882</v>
      </c>
      <c r="AA297" s="6" t="n">
        <f aca="false">Q297*(1+G297)</f>
        <v>268022.278253064</v>
      </c>
      <c r="AB297" s="6" t="n">
        <f aca="false">R297*(1+H297)</f>
        <v>238561.090809756</v>
      </c>
      <c r="AC297" s="6" t="n">
        <f aca="false">S297*(1+I297)</f>
        <v>197724.947161479</v>
      </c>
      <c r="AD297" s="6" t="n">
        <f aca="false">T297*(1+J297)</f>
        <v>164378.344076439</v>
      </c>
      <c r="AE297" s="6" t="n">
        <f aca="false">U297*(1+K297)</f>
        <v>116103.255864701</v>
      </c>
      <c r="AF297" s="6" t="n">
        <f aca="false">V297*(1+L297)</f>
        <v>70848.4302333974</v>
      </c>
      <c r="AG297" s="6" t="n">
        <f aca="false">MIN(M297:V297)</f>
        <v>66103.2558647011</v>
      </c>
      <c r="AH297" s="19" t="n">
        <f aca="false">IF(AG297&gt;=0,1,0)</f>
        <v>1</v>
      </c>
    </row>
    <row r="298" customFormat="false" ht="15" hidden="false" customHeight="false" outlineLevel="0" collapsed="false">
      <c r="A298" s="0" t="n">
        <f aca="false">ROW()-1</f>
        <v>297</v>
      </c>
      <c r="B298" s="6" t="n">
        <f aca="false">Assumptions!$B$35</f>
        <v>441263.996662504</v>
      </c>
      <c r="C298" s="8" t="n">
        <f aca="true">NORMINV(RAND(),Assumptions!$B$14,Assumptions!$B$15)</f>
        <v>0.0748711341800169</v>
      </c>
      <c r="D298" s="8" t="n">
        <f aca="true">NORMINV(RAND(),Assumptions!$B$14,Assumptions!$B$15)</f>
        <v>0.00986448774300509</v>
      </c>
      <c r="E298" s="8" t="n">
        <f aca="true">NORMINV(RAND(),Assumptions!$B$14,Assumptions!$B$15)</f>
        <v>0.0484883447232354</v>
      </c>
      <c r="F298" s="8" t="n">
        <f aca="true">NORMINV(RAND(),Assumptions!$B$14,Assumptions!$B$15)</f>
        <v>0.0488527720814345</v>
      </c>
      <c r="G298" s="8" t="n">
        <f aca="true">NORMINV(RAND(),Assumptions!$B$14,Assumptions!$B$15)</f>
        <v>0.073865948899926</v>
      </c>
      <c r="H298" s="8" t="n">
        <f aca="true">NORMINV(RAND(),Assumptions!$B$14,Assumptions!$B$15)</f>
        <v>0.018185497948338</v>
      </c>
      <c r="I298" s="8" t="n">
        <f aca="true">NORMINV(RAND(),Assumptions!$B$14,Assumptions!$B$15)</f>
        <v>0.0807609257164485</v>
      </c>
      <c r="J298" s="8" t="n">
        <f aca="true">NORMINV(RAND(),Assumptions!$B$14,Assumptions!$B$15)</f>
        <v>0.0361586306604502</v>
      </c>
      <c r="K298" s="8" t="n">
        <f aca="true">NORMINV(RAND(),Assumptions!$B$14,Assumptions!$B$15)</f>
        <v>0.045135188470397</v>
      </c>
      <c r="L298" s="8" t="n">
        <f aca="true">NORMINV(RAND(),Assumptions!$B$14,Assumptions!$B$15)</f>
        <v>0.0303364151770734</v>
      </c>
      <c r="M298" s="6" t="n">
        <f aca="false">B298-Assumptions!$B$29</f>
        <v>391263.996662504</v>
      </c>
      <c r="N298" s="6" t="n">
        <f aca="false">W298-Assumptions!$B$29</f>
        <v>370558.375856431</v>
      </c>
      <c r="O298" s="6" t="n">
        <f aca="false">X298-Assumptions!$B$29</f>
        <v>324213.744413135</v>
      </c>
      <c r="P298" s="6" t="n">
        <f aca="false">Y298-Assumptions!$B$29</f>
        <v>289934.33221625</v>
      </c>
      <c r="Q298" s="6" t="n">
        <f aca="false">Z298-Assumptions!$B$29</f>
        <v>254098.428066593</v>
      </c>
      <c r="R298" s="6" t="n">
        <f aca="false">AA298-Assumptions!$B$29</f>
        <v>222867.649569712</v>
      </c>
      <c r="S298" s="6" t="n">
        <f aca="false">AB298-Assumptions!$B$29</f>
        <v>176920.608753713</v>
      </c>
      <c r="T298" s="6" t="n">
        <f aca="false">AC298-Assumptions!$B$29</f>
        <v>141208.88089498</v>
      </c>
      <c r="U298" s="6" t="n">
        <f aca="false">AD298-Assumptions!$B$29</f>
        <v>96314.8006652375</v>
      </c>
      <c r="V298" s="6" t="n">
        <f aca="false">AE298-Assumptions!$B$29</f>
        <v>50661.9873457517</v>
      </c>
      <c r="W298" s="6" t="n">
        <f aca="false">M298*(1+C298)</f>
        <v>420558.375856431</v>
      </c>
      <c r="X298" s="6" t="n">
        <f aca="false">N298*(1+D298)</f>
        <v>374213.744413135</v>
      </c>
      <c r="Y298" s="6" t="n">
        <f aca="false">O298*(1+E298)</f>
        <v>339934.33221625</v>
      </c>
      <c r="Z298" s="6" t="n">
        <f aca="false">P298*(1+F298)</f>
        <v>304098.428066594</v>
      </c>
      <c r="AA298" s="6" t="n">
        <f aca="false">Q298*(1+G298)</f>
        <v>272867.649569712</v>
      </c>
      <c r="AB298" s="6" t="n">
        <f aca="false">R298*(1+H298)</f>
        <v>226920.608753713</v>
      </c>
      <c r="AC298" s="6" t="n">
        <f aca="false">S298*(1+I298)</f>
        <v>191208.88089498</v>
      </c>
      <c r="AD298" s="6" t="n">
        <f aca="false">T298*(1+J298)</f>
        <v>146314.800665237</v>
      </c>
      <c r="AE298" s="6" t="n">
        <f aca="false">U298*(1+K298)</f>
        <v>100661.987345752</v>
      </c>
      <c r="AF298" s="6" t="n">
        <f aca="false">V298*(1+L298)</f>
        <v>52198.890427568</v>
      </c>
      <c r="AG298" s="6" t="n">
        <f aca="false">MIN(M298:V298)</f>
        <v>50661.9873457517</v>
      </c>
      <c r="AH298" s="19" t="n">
        <f aca="false">IF(AG298&gt;=0,1,0)</f>
        <v>1</v>
      </c>
    </row>
    <row r="299" customFormat="false" ht="15" hidden="false" customHeight="false" outlineLevel="0" collapsed="false">
      <c r="A299" s="0" t="n">
        <f aca="false">ROW()-1</f>
        <v>298</v>
      </c>
      <c r="B299" s="6" t="n">
        <f aca="false">Assumptions!$B$35</f>
        <v>441263.996662504</v>
      </c>
      <c r="C299" s="8" t="n">
        <f aca="true">NORMINV(RAND(),Assumptions!$B$14,Assumptions!$B$15)</f>
        <v>0.0524179197697331</v>
      </c>
      <c r="D299" s="8" t="n">
        <f aca="true">NORMINV(RAND(),Assumptions!$B$14,Assumptions!$B$15)</f>
        <v>0.100916035477128</v>
      </c>
      <c r="E299" s="8" t="n">
        <f aca="true">NORMINV(RAND(),Assumptions!$B$14,Assumptions!$B$15)</f>
        <v>0.0947184683355095</v>
      </c>
      <c r="F299" s="8" t="n">
        <f aca="true">NORMINV(RAND(),Assumptions!$B$14,Assumptions!$B$15)</f>
        <v>0.0626113233036652</v>
      </c>
      <c r="G299" s="8" t="n">
        <f aca="true">NORMINV(RAND(),Assumptions!$B$14,Assumptions!$B$15)</f>
        <v>-0.0211955019319837</v>
      </c>
      <c r="H299" s="8" t="n">
        <f aca="true">NORMINV(RAND(),Assumptions!$B$14,Assumptions!$B$15)</f>
        <v>0.0508574777908418</v>
      </c>
      <c r="I299" s="8" t="n">
        <f aca="true">NORMINV(RAND(),Assumptions!$B$14,Assumptions!$B$15)</f>
        <v>0.0860800012845277</v>
      </c>
      <c r="J299" s="8" t="n">
        <f aca="true">NORMINV(RAND(),Assumptions!$B$14,Assumptions!$B$15)</f>
        <v>0.0109280590059147</v>
      </c>
      <c r="K299" s="8" t="n">
        <f aca="true">NORMINV(RAND(),Assumptions!$B$14,Assumptions!$B$15)</f>
        <v>0.0482100926033416</v>
      </c>
      <c r="L299" s="8" t="n">
        <f aca="true">NORMINV(RAND(),Assumptions!$B$14,Assumptions!$B$15)</f>
        <v>0.0425620795124804</v>
      </c>
      <c r="M299" s="6" t="n">
        <f aca="false">B299-Assumptions!$B$29</f>
        <v>391263.996662504</v>
      </c>
      <c r="N299" s="6" t="n">
        <f aca="false">W299-Assumptions!$B$29</f>
        <v>361773.241448344</v>
      </c>
      <c r="O299" s="6" t="n">
        <f aca="false">X299-Assumptions!$B$29</f>
        <v>348281.962717021</v>
      </c>
      <c r="P299" s="6" t="n">
        <f aca="false">Y299-Assumptions!$B$29</f>
        <v>331270.696774462</v>
      </c>
      <c r="Q299" s="6" t="n">
        <f aca="false">Z299-Assumptions!$B$29</f>
        <v>302011.993471238</v>
      </c>
      <c r="R299" s="6" t="n">
        <f aca="false">AA299-Assumptions!$B$29</f>
        <v>245610.697680136</v>
      </c>
      <c r="S299" s="6" t="n">
        <f aca="false">AB299-Assumptions!$B$29</f>
        <v>208101.838282597</v>
      </c>
      <c r="T299" s="6" t="n">
        <f aca="false">AC299-Assumptions!$B$29</f>
        <v>176015.244789275</v>
      </c>
      <c r="U299" s="6" t="n">
        <f aca="false">AD299-Assumptions!$B$29</f>
        <v>127938.749770273</v>
      </c>
      <c r="V299" s="6" t="n">
        <f aca="false">AE299-Assumptions!$B$29</f>
        <v>84106.6887442536</v>
      </c>
      <c r="W299" s="6" t="n">
        <f aca="false">M299*(1+C299)</f>
        <v>411773.241448344</v>
      </c>
      <c r="X299" s="6" t="n">
        <f aca="false">N299*(1+D299)</f>
        <v>398281.962717021</v>
      </c>
      <c r="Y299" s="6" t="n">
        <f aca="false">O299*(1+E299)</f>
        <v>381270.696774462</v>
      </c>
      <c r="Z299" s="6" t="n">
        <f aca="false">P299*(1+F299)</f>
        <v>352011.993471238</v>
      </c>
      <c r="AA299" s="6" t="n">
        <f aca="false">Q299*(1+G299)</f>
        <v>295610.697680136</v>
      </c>
      <c r="AB299" s="6" t="n">
        <f aca="false">R299*(1+H299)</f>
        <v>258101.838282597</v>
      </c>
      <c r="AC299" s="6" t="n">
        <f aca="false">S299*(1+I299)</f>
        <v>226015.244789275</v>
      </c>
      <c r="AD299" s="6" t="n">
        <f aca="false">T299*(1+J299)</f>
        <v>177938.749770273</v>
      </c>
      <c r="AE299" s="6" t="n">
        <f aca="false">U299*(1+K299)</f>
        <v>134106.688744254</v>
      </c>
      <c r="AF299" s="6" t="n">
        <f aca="false">V299*(1+L299)</f>
        <v>87686.4443181179</v>
      </c>
      <c r="AG299" s="6" t="n">
        <f aca="false">MIN(M299:V299)</f>
        <v>84106.6887442536</v>
      </c>
      <c r="AH299" s="19" t="n">
        <f aca="false">IF(AG299&gt;=0,1,0)</f>
        <v>1</v>
      </c>
    </row>
    <row r="300" customFormat="false" ht="15" hidden="false" customHeight="false" outlineLevel="0" collapsed="false">
      <c r="A300" s="0" t="n">
        <f aca="false">ROW()-1</f>
        <v>299</v>
      </c>
      <c r="B300" s="6" t="n">
        <f aca="false">Assumptions!$B$35</f>
        <v>441263.996662504</v>
      </c>
      <c r="C300" s="8" t="n">
        <f aca="true">NORMINV(RAND(),Assumptions!$B$14,Assumptions!$B$15)</f>
        <v>-0.0128444667809977</v>
      </c>
      <c r="D300" s="8" t="n">
        <f aca="true">NORMINV(RAND(),Assumptions!$B$14,Assumptions!$B$15)</f>
        <v>0.0355183074700758</v>
      </c>
      <c r="E300" s="8" t="n">
        <f aca="true">NORMINV(RAND(),Assumptions!$B$14,Assumptions!$B$15)</f>
        <v>0.0301928073880967</v>
      </c>
      <c r="F300" s="8" t="n">
        <f aca="true">NORMINV(RAND(),Assumptions!$B$14,Assumptions!$B$15)</f>
        <v>0.0374536768713116</v>
      </c>
      <c r="G300" s="8" t="n">
        <f aca="true">NORMINV(RAND(),Assumptions!$B$14,Assumptions!$B$15)</f>
        <v>0.0152413004541009</v>
      </c>
      <c r="H300" s="8" t="n">
        <f aca="true">NORMINV(RAND(),Assumptions!$B$14,Assumptions!$B$15)</f>
        <v>0.054939536231494</v>
      </c>
      <c r="I300" s="8" t="n">
        <f aca="true">NORMINV(RAND(),Assumptions!$B$14,Assumptions!$B$15)</f>
        <v>0.0323564137420472</v>
      </c>
      <c r="J300" s="8" t="n">
        <f aca="true">NORMINV(RAND(),Assumptions!$B$14,Assumptions!$B$15)</f>
        <v>0.046449980017362</v>
      </c>
      <c r="K300" s="8" t="n">
        <f aca="true">NORMINV(RAND(),Assumptions!$B$14,Assumptions!$B$15)</f>
        <v>0.0634640157730141</v>
      </c>
      <c r="L300" s="8" t="n">
        <f aca="true">NORMINV(RAND(),Assumptions!$B$14,Assumptions!$B$15)</f>
        <v>0.0226956480603385</v>
      </c>
      <c r="M300" s="6" t="n">
        <f aca="false">B300-Assumptions!$B$29</f>
        <v>391263.996662504</v>
      </c>
      <c r="N300" s="6" t="n">
        <f aca="false">W300-Assumptions!$B$29</f>
        <v>336238.419254772</v>
      </c>
      <c r="O300" s="6" t="n">
        <f aca="false">X300-Assumptions!$B$29</f>
        <v>298181.038813115</v>
      </c>
      <c r="P300" s="6" t="n">
        <f aca="false">Y300-Assumptions!$B$29</f>
        <v>257183.961484782</v>
      </c>
      <c r="Q300" s="6" t="n">
        <f aca="false">Z300-Assumptions!$B$29</f>
        <v>216816.446474717</v>
      </c>
      <c r="R300" s="6" t="n">
        <f aca="false">AA300-Assumptions!$B$29</f>
        <v>170121.011078828</v>
      </c>
      <c r="S300" s="6" t="n">
        <f aca="false">AB300-Assumptions!$B$29</f>
        <v>129467.380530732</v>
      </c>
      <c r="T300" s="6" t="n">
        <f aca="false">AC300-Assumptions!$B$29</f>
        <v>83656.4806612835</v>
      </c>
      <c r="U300" s="6" t="n">
        <f aca="false">AD300-Assumptions!$B$29</f>
        <v>37542.322516323</v>
      </c>
      <c r="V300" s="6" t="n">
        <f aca="false">AE300-Assumptions!$B$29</f>
        <v>-10075.0909353455</v>
      </c>
      <c r="W300" s="6" t="n">
        <f aca="false">M300*(1+C300)</f>
        <v>386238.419254772</v>
      </c>
      <c r="X300" s="6" t="n">
        <f aca="false">N300*(1+D300)</f>
        <v>348181.038813115</v>
      </c>
      <c r="Y300" s="6" t="n">
        <f aca="false">O300*(1+E300)</f>
        <v>307183.961484782</v>
      </c>
      <c r="Z300" s="6" t="n">
        <f aca="false">P300*(1+F300)</f>
        <v>266816.446474717</v>
      </c>
      <c r="AA300" s="6" t="n">
        <f aca="false">Q300*(1+G300)</f>
        <v>220121.011078828</v>
      </c>
      <c r="AB300" s="6" t="n">
        <f aca="false">R300*(1+H300)</f>
        <v>179467.380530732</v>
      </c>
      <c r="AC300" s="6" t="n">
        <f aca="false">S300*(1+I300)</f>
        <v>133656.480661284</v>
      </c>
      <c r="AD300" s="6" t="n">
        <f aca="false">T300*(1+J300)</f>
        <v>87542.322516323</v>
      </c>
      <c r="AE300" s="6" t="n">
        <f aca="false">U300*(1+K300)</f>
        <v>39924.9090646545</v>
      </c>
      <c r="AF300" s="6" t="n">
        <f aca="false">V300*(1+L300)</f>
        <v>-10303.75165339</v>
      </c>
      <c r="AG300" s="6" t="n">
        <f aca="false">MIN(M300:V300)</f>
        <v>-10075.0909353455</v>
      </c>
      <c r="AH300" s="19" t="n">
        <f aca="false">IF(AG300&gt;=0,1,0)</f>
        <v>0</v>
      </c>
    </row>
    <row r="301" customFormat="false" ht="15" hidden="false" customHeight="false" outlineLevel="0" collapsed="false">
      <c r="A301" s="0" t="n">
        <f aca="false">ROW()-1</f>
        <v>300</v>
      </c>
      <c r="B301" s="6" t="n">
        <f aca="false">Assumptions!$B$35</f>
        <v>441263.996662504</v>
      </c>
      <c r="C301" s="8" t="n">
        <f aca="true">NORMINV(RAND(),Assumptions!$B$14,Assumptions!$B$15)</f>
        <v>0.0649359380879006</v>
      </c>
      <c r="D301" s="8" t="n">
        <f aca="true">NORMINV(RAND(),Assumptions!$B$14,Assumptions!$B$15)</f>
        <v>0.0261087246570966</v>
      </c>
      <c r="E301" s="8" t="n">
        <f aca="true">NORMINV(RAND(),Assumptions!$B$14,Assumptions!$B$15)</f>
        <v>0.050564158913296</v>
      </c>
      <c r="F301" s="8" t="n">
        <f aca="true">NORMINV(RAND(),Assumptions!$B$14,Assumptions!$B$15)</f>
        <v>0.0472698542243694</v>
      </c>
      <c r="G301" s="8" t="n">
        <f aca="true">NORMINV(RAND(),Assumptions!$B$14,Assumptions!$B$15)</f>
        <v>0.108414911356315</v>
      </c>
      <c r="H301" s="8" t="n">
        <f aca="true">NORMINV(RAND(),Assumptions!$B$14,Assumptions!$B$15)</f>
        <v>0.0853459835486738</v>
      </c>
      <c r="I301" s="8" t="n">
        <f aca="true">NORMINV(RAND(),Assumptions!$B$14,Assumptions!$B$15)</f>
        <v>0.029179213315476</v>
      </c>
      <c r="J301" s="8" t="n">
        <f aca="true">NORMINV(RAND(),Assumptions!$B$14,Assumptions!$B$15)</f>
        <v>0.0641596144189007</v>
      </c>
      <c r="K301" s="8" t="n">
        <f aca="true">NORMINV(RAND(),Assumptions!$B$14,Assumptions!$B$15)</f>
        <v>0.00765512965503735</v>
      </c>
      <c r="L301" s="8" t="n">
        <f aca="true">NORMINV(RAND(),Assumptions!$B$14,Assumptions!$B$15)</f>
        <v>0.0278845334676205</v>
      </c>
      <c r="M301" s="6" t="n">
        <f aca="false">B301-Assumptions!$B$29</f>
        <v>391263.996662504</v>
      </c>
      <c r="N301" s="6" t="n">
        <f aca="false">W301-Assumptions!$B$29</f>
        <v>366671.091325804</v>
      </c>
      <c r="O301" s="6" t="n">
        <f aca="false">X301-Assumptions!$B$29</f>
        <v>326244.405888947</v>
      </c>
      <c r="P301" s="6" t="n">
        <f aca="false">Y301-Assumptions!$B$29</f>
        <v>292740.67987289</v>
      </c>
      <c r="Q301" s="6" t="n">
        <f aca="false">Z301-Assumptions!$B$29</f>
        <v>256578.489136024</v>
      </c>
      <c r="R301" s="6" t="n">
        <f aca="false">AA301-Assumptions!$B$29</f>
        <v>234395.423291643</v>
      </c>
      <c r="S301" s="6" t="n">
        <f aca="false">AB301-Assumptions!$B$29</f>
        <v>204400.131231776</v>
      </c>
      <c r="T301" s="6" t="n">
        <f aca="false">AC301-Assumptions!$B$29</f>
        <v>160364.366262699</v>
      </c>
      <c r="U301" s="6" t="n">
        <f aca="false">AD301-Assumptions!$B$29</f>
        <v>120653.282168646</v>
      </c>
      <c r="V301" s="6" t="n">
        <f aca="false">AE301-Assumptions!$B$29</f>
        <v>71576.8986869524</v>
      </c>
      <c r="W301" s="6" t="n">
        <f aca="false">M301*(1+C301)</f>
        <v>416671.091325804</v>
      </c>
      <c r="X301" s="6" t="n">
        <f aca="false">N301*(1+D301)</f>
        <v>376244.405888947</v>
      </c>
      <c r="Y301" s="6" t="n">
        <f aca="false">O301*(1+E301)</f>
        <v>342740.67987289</v>
      </c>
      <c r="Z301" s="6" t="n">
        <f aca="false">P301*(1+F301)</f>
        <v>306578.489136024</v>
      </c>
      <c r="AA301" s="6" t="n">
        <f aca="false">Q301*(1+G301)</f>
        <v>284395.423291643</v>
      </c>
      <c r="AB301" s="6" t="n">
        <f aca="false">R301*(1+H301)</f>
        <v>254400.131231776</v>
      </c>
      <c r="AC301" s="6" t="n">
        <f aca="false">S301*(1+I301)</f>
        <v>210364.366262699</v>
      </c>
      <c r="AD301" s="6" t="n">
        <f aca="false">T301*(1+J301)</f>
        <v>170653.282168646</v>
      </c>
      <c r="AE301" s="6" t="n">
        <f aca="false">U301*(1+K301)</f>
        <v>121576.898686952</v>
      </c>
      <c r="AF301" s="6" t="n">
        <f aca="false">V301*(1+L301)</f>
        <v>73572.7871138973</v>
      </c>
      <c r="AG301" s="6" t="n">
        <f aca="false">MIN(M301:V301)</f>
        <v>71576.8986869524</v>
      </c>
      <c r="AH301" s="19" t="n">
        <f aca="false">IF(AG301&gt;=0,1,0)</f>
        <v>1</v>
      </c>
    </row>
    <row r="302" customFormat="false" ht="15" hidden="false" customHeight="false" outlineLevel="0" collapsed="false">
      <c r="A302" s="0" t="n">
        <f aca="false">ROW()-1</f>
        <v>301</v>
      </c>
      <c r="B302" s="6" t="n">
        <f aca="false">Assumptions!$B$35</f>
        <v>441263.996662504</v>
      </c>
      <c r="C302" s="8" t="n">
        <f aca="true">NORMINV(RAND(),Assumptions!$B$14,Assumptions!$B$15)</f>
        <v>0.0510182085288778</v>
      </c>
      <c r="D302" s="8" t="n">
        <f aca="true">NORMINV(RAND(),Assumptions!$B$14,Assumptions!$B$15)</f>
        <v>0.103647601098497</v>
      </c>
      <c r="E302" s="8" t="n">
        <f aca="true">NORMINV(RAND(),Assumptions!$B$14,Assumptions!$B$15)</f>
        <v>0.0475458138900668</v>
      </c>
      <c r="F302" s="8" t="n">
        <f aca="true">NORMINV(RAND(),Assumptions!$B$14,Assumptions!$B$15)</f>
        <v>0.0582326906553879</v>
      </c>
      <c r="G302" s="8" t="n">
        <f aca="true">NORMINV(RAND(),Assumptions!$B$14,Assumptions!$B$15)</f>
        <v>0.0744510666995476</v>
      </c>
      <c r="H302" s="8" t="n">
        <f aca="true">NORMINV(RAND(),Assumptions!$B$14,Assumptions!$B$15)</f>
        <v>0.0725353105593178</v>
      </c>
      <c r="I302" s="8" t="n">
        <f aca="true">NORMINV(RAND(),Assumptions!$B$14,Assumptions!$B$15)</f>
        <v>0.0203511445129067</v>
      </c>
      <c r="J302" s="8" t="n">
        <f aca="true">NORMINV(RAND(),Assumptions!$B$14,Assumptions!$B$15)</f>
        <v>0.0891244449284654</v>
      </c>
      <c r="K302" s="8" t="n">
        <f aca="true">NORMINV(RAND(),Assumptions!$B$14,Assumptions!$B$15)</f>
        <v>0.0660330427947733</v>
      </c>
      <c r="L302" s="8" t="n">
        <f aca="true">NORMINV(RAND(),Assumptions!$B$14,Assumptions!$B$15)</f>
        <v>0.0295620450264615</v>
      </c>
      <c r="M302" s="6" t="n">
        <f aca="false">B302-Assumptions!$B$29</f>
        <v>391263.996662504</v>
      </c>
      <c r="N302" s="6" t="n">
        <f aca="false">W302-Assumptions!$B$29</f>
        <v>361225.584834073</v>
      </c>
      <c r="O302" s="6" t="n">
        <f aca="false">X302-Assumptions!$B$29</f>
        <v>348665.750157527</v>
      </c>
      <c r="P302" s="6" t="n">
        <f aca="false">Y302-Assumptions!$B$29</f>
        <v>315243.347024357</v>
      </c>
      <c r="Q302" s="6" t="n">
        <f aca="false">Z302-Assumptions!$B$29</f>
        <v>283600.815332795</v>
      </c>
      <c r="R302" s="6" t="n">
        <f aca="false">AA302-Assumptions!$B$29</f>
        <v>254715.198551183</v>
      </c>
      <c r="S302" s="6" t="n">
        <f aca="false">AB302-Assumptions!$B$29</f>
        <v>223191.044582272</v>
      </c>
      <c r="T302" s="6" t="n">
        <f aca="false">AC302-Assumptions!$B$29</f>
        <v>177733.237784552</v>
      </c>
      <c r="U302" s="6" t="n">
        <f aca="false">AD302-Assumptions!$B$29</f>
        <v>143573.613947439</v>
      </c>
      <c r="V302" s="6" t="n">
        <f aca="false">AE302-Assumptions!$B$29</f>
        <v>103054.216541431</v>
      </c>
      <c r="W302" s="6" t="n">
        <f aca="false">M302*(1+C302)</f>
        <v>411225.584834073</v>
      </c>
      <c r="X302" s="6" t="n">
        <f aca="false">N302*(1+D302)</f>
        <v>398665.750157527</v>
      </c>
      <c r="Y302" s="6" t="n">
        <f aca="false">O302*(1+E302)</f>
        <v>365243.347024357</v>
      </c>
      <c r="Z302" s="6" t="n">
        <f aca="false">P302*(1+F302)</f>
        <v>333600.815332795</v>
      </c>
      <c r="AA302" s="6" t="n">
        <f aca="false">Q302*(1+G302)</f>
        <v>304715.198551183</v>
      </c>
      <c r="AB302" s="6" t="n">
        <f aca="false">R302*(1+H302)</f>
        <v>273191.044582272</v>
      </c>
      <c r="AC302" s="6" t="n">
        <f aca="false">S302*(1+I302)</f>
        <v>227733.237784552</v>
      </c>
      <c r="AD302" s="6" t="n">
        <f aca="false">T302*(1+J302)</f>
        <v>193573.613947439</v>
      </c>
      <c r="AE302" s="6" t="n">
        <f aca="false">U302*(1+K302)</f>
        <v>153054.216541431</v>
      </c>
      <c r="AF302" s="6" t="n">
        <f aca="false">V302*(1+L302)</f>
        <v>106100.709930995</v>
      </c>
      <c r="AG302" s="6" t="n">
        <f aca="false">MIN(M302:V302)</f>
        <v>103054.216541431</v>
      </c>
      <c r="AH302" s="19" t="n">
        <f aca="false">IF(AG302&gt;=0,1,0)</f>
        <v>1</v>
      </c>
    </row>
    <row r="303" customFormat="false" ht="15" hidden="false" customHeight="false" outlineLevel="0" collapsed="false">
      <c r="A303" s="0" t="n">
        <f aca="false">ROW()-1</f>
        <v>302</v>
      </c>
      <c r="B303" s="6" t="n">
        <f aca="false">Assumptions!$B$35</f>
        <v>441263.996662504</v>
      </c>
      <c r="C303" s="8" t="n">
        <f aca="true">NORMINV(RAND(),Assumptions!$B$14,Assumptions!$B$15)</f>
        <v>0.0736483202190268</v>
      </c>
      <c r="D303" s="8" t="n">
        <f aca="true">NORMINV(RAND(),Assumptions!$B$14,Assumptions!$B$15)</f>
        <v>0.106464339654798</v>
      </c>
      <c r="E303" s="8" t="n">
        <f aca="true">NORMINV(RAND(),Assumptions!$B$14,Assumptions!$B$15)</f>
        <v>0.0322037490983825</v>
      </c>
      <c r="F303" s="8" t="n">
        <f aca="true">NORMINV(RAND(),Assumptions!$B$14,Assumptions!$B$15)</f>
        <v>0.0681991240734754</v>
      </c>
      <c r="G303" s="8" t="n">
        <f aca="true">NORMINV(RAND(),Assumptions!$B$14,Assumptions!$B$15)</f>
        <v>0.0687336129600446</v>
      </c>
      <c r="H303" s="8" t="n">
        <f aca="true">NORMINV(RAND(),Assumptions!$B$14,Assumptions!$B$15)</f>
        <v>0.0271399323943477</v>
      </c>
      <c r="I303" s="8" t="n">
        <f aca="true">NORMINV(RAND(),Assumptions!$B$14,Assumptions!$B$15)</f>
        <v>0.0242950789795231</v>
      </c>
      <c r="J303" s="8" t="n">
        <f aca="true">NORMINV(RAND(),Assumptions!$B$14,Assumptions!$B$15)</f>
        <v>0.0548072490958704</v>
      </c>
      <c r="K303" s="8" t="n">
        <f aca="true">NORMINV(RAND(),Assumptions!$B$14,Assumptions!$B$15)</f>
        <v>0.0782430402284506</v>
      </c>
      <c r="L303" s="8" t="n">
        <f aca="true">NORMINV(RAND(),Assumptions!$B$14,Assumptions!$B$15)</f>
        <v>0.0455529204568572</v>
      </c>
      <c r="M303" s="6" t="n">
        <f aca="false">B303-Assumptions!$B$29</f>
        <v>391263.996662504</v>
      </c>
      <c r="N303" s="6" t="n">
        <f aca="false">W303-Assumptions!$B$29</f>
        <v>370079.93277888</v>
      </c>
      <c r="O303" s="6" t="n">
        <f aca="false">X303-Assumptions!$B$29</f>
        <v>359480.248441675</v>
      </c>
      <c r="P303" s="6" t="n">
        <f aca="false">Y303-Assumptions!$B$29</f>
        <v>321056.860168315</v>
      </c>
      <c r="Q303" s="6" t="n">
        <f aca="false">Z303-Assumptions!$B$29</f>
        <v>292952.656809575</v>
      </c>
      <c r="R303" s="6" t="n">
        <f aca="false">AA303-Assumptions!$B$29</f>
        <v>263088.351338341</v>
      </c>
      <c r="S303" s="6" t="n">
        <f aca="false">AB303-Assumptions!$B$29</f>
        <v>220228.551407404</v>
      </c>
      <c r="T303" s="6" t="n">
        <f aca="false">AC303-Assumptions!$B$29</f>
        <v>175579.021457393</v>
      </c>
      <c r="U303" s="6" t="n">
        <f aca="false">AD303-Assumptions!$B$29</f>
        <v>135202.024622417</v>
      </c>
      <c r="V303" s="6" t="n">
        <f aca="false">AE303-Assumptions!$B$29</f>
        <v>95780.6420739169</v>
      </c>
      <c r="W303" s="6" t="n">
        <f aca="false">M303*(1+C303)</f>
        <v>420079.93277888</v>
      </c>
      <c r="X303" s="6" t="n">
        <f aca="false">N303*(1+D303)</f>
        <v>409480.248441675</v>
      </c>
      <c r="Y303" s="6" t="n">
        <f aca="false">O303*(1+E303)</f>
        <v>371056.860168315</v>
      </c>
      <c r="Z303" s="6" t="n">
        <f aca="false">P303*(1+F303)</f>
        <v>342952.656809575</v>
      </c>
      <c r="AA303" s="6" t="n">
        <f aca="false">Q303*(1+G303)</f>
        <v>313088.351338341</v>
      </c>
      <c r="AB303" s="6" t="n">
        <f aca="false">R303*(1+H303)</f>
        <v>270228.551407404</v>
      </c>
      <c r="AC303" s="6" t="n">
        <f aca="false">S303*(1+I303)</f>
        <v>225579.021457393</v>
      </c>
      <c r="AD303" s="6" t="n">
        <f aca="false">T303*(1+J303)</f>
        <v>185202.024622417</v>
      </c>
      <c r="AE303" s="6" t="n">
        <f aca="false">U303*(1+K303)</f>
        <v>145780.642073917</v>
      </c>
      <c r="AF303" s="6" t="n">
        <f aca="false">V303*(1+L303)</f>
        <v>100143.730043617</v>
      </c>
      <c r="AG303" s="6" t="n">
        <f aca="false">MIN(M303:V303)</f>
        <v>95780.6420739169</v>
      </c>
      <c r="AH303" s="19" t="n">
        <f aca="false">IF(AG303&gt;=0,1,0)</f>
        <v>1</v>
      </c>
    </row>
    <row r="304" customFormat="false" ht="15" hidden="false" customHeight="false" outlineLevel="0" collapsed="false">
      <c r="A304" s="0" t="n">
        <f aca="false">ROW()-1</f>
        <v>303</v>
      </c>
      <c r="B304" s="6" t="n">
        <f aca="false">Assumptions!$B$35</f>
        <v>441263.996662504</v>
      </c>
      <c r="C304" s="8" t="n">
        <f aca="true">NORMINV(RAND(),Assumptions!$B$14,Assumptions!$B$15)</f>
        <v>0.0700360090892893</v>
      </c>
      <c r="D304" s="8" t="n">
        <f aca="true">NORMINV(RAND(),Assumptions!$B$14,Assumptions!$B$15)</f>
        <v>0.0498857021322746</v>
      </c>
      <c r="E304" s="8" t="n">
        <f aca="true">NORMINV(RAND(),Assumptions!$B$14,Assumptions!$B$15)</f>
        <v>0.0442324264556211</v>
      </c>
      <c r="F304" s="8" t="n">
        <f aca="true">NORMINV(RAND(),Assumptions!$B$14,Assumptions!$B$15)</f>
        <v>0.0606069997982546</v>
      </c>
      <c r="G304" s="8" t="n">
        <f aca="true">NORMINV(RAND(),Assumptions!$B$14,Assumptions!$B$15)</f>
        <v>0.0635098643280743</v>
      </c>
      <c r="H304" s="8" t="n">
        <f aca="true">NORMINV(RAND(),Assumptions!$B$14,Assumptions!$B$15)</f>
        <v>0.0420506502742233</v>
      </c>
      <c r="I304" s="8" t="n">
        <f aca="true">NORMINV(RAND(),Assumptions!$B$14,Assumptions!$B$15)</f>
        <v>0.0232892752724627</v>
      </c>
      <c r="J304" s="8" t="n">
        <f aca="true">NORMINV(RAND(),Assumptions!$B$14,Assumptions!$B$15)</f>
        <v>-0.00469354810406446</v>
      </c>
      <c r="K304" s="8" t="n">
        <f aca="true">NORMINV(RAND(),Assumptions!$B$14,Assumptions!$B$15)</f>
        <v>0.0560770445054667</v>
      </c>
      <c r="L304" s="8" t="n">
        <f aca="true">NORMINV(RAND(),Assumptions!$B$14,Assumptions!$B$15)</f>
        <v>0.0855744606895487</v>
      </c>
      <c r="M304" s="6" t="n">
        <f aca="false">B304-Assumptions!$B$29</f>
        <v>391263.996662504</v>
      </c>
      <c r="N304" s="6" t="n">
        <f aca="false">W304-Assumptions!$B$29</f>
        <v>368666.56548907</v>
      </c>
      <c r="O304" s="6" t="n">
        <f aca="false">X304-Assumptions!$B$29</f>
        <v>337057.755961187</v>
      </c>
      <c r="P304" s="6" t="n">
        <f aca="false">Y304-Assumptions!$B$29</f>
        <v>301966.638363037</v>
      </c>
      <c r="Q304" s="6" t="n">
        <f aca="false">Z304-Assumptions!$B$29</f>
        <v>270267.930353385</v>
      </c>
      <c r="R304" s="6" t="n">
        <f aca="false">AA304-Assumptions!$B$29</f>
        <v>237432.609942358</v>
      </c>
      <c r="S304" s="6" t="n">
        <f aca="false">AB304-Assumptions!$B$29</f>
        <v>197416.80558674</v>
      </c>
      <c r="T304" s="6" t="n">
        <f aca="false">AC304-Assumptions!$B$29</f>
        <v>152014.49991546</v>
      </c>
      <c r="U304" s="6" t="n">
        <f aca="false">AD304-Assumptions!$B$29</f>
        <v>101301.012547591</v>
      </c>
      <c r="V304" s="6" t="n">
        <f aca="false">AE304-Assumptions!$B$29</f>
        <v>56981.6739366711</v>
      </c>
      <c r="W304" s="6" t="n">
        <f aca="false">M304*(1+C304)</f>
        <v>418666.56548907</v>
      </c>
      <c r="X304" s="6" t="n">
        <f aca="false">N304*(1+D304)</f>
        <v>387057.755961187</v>
      </c>
      <c r="Y304" s="6" t="n">
        <f aca="false">O304*(1+E304)</f>
        <v>351966.638363037</v>
      </c>
      <c r="Z304" s="6" t="n">
        <f aca="false">P304*(1+F304)</f>
        <v>320267.930353385</v>
      </c>
      <c r="AA304" s="6" t="n">
        <f aca="false">Q304*(1+G304)</f>
        <v>287432.609942358</v>
      </c>
      <c r="AB304" s="6" t="n">
        <f aca="false">R304*(1+H304)</f>
        <v>247416.80558674</v>
      </c>
      <c r="AC304" s="6" t="n">
        <f aca="false">S304*(1+I304)</f>
        <v>202014.49991546</v>
      </c>
      <c r="AD304" s="6" t="n">
        <f aca="false">T304*(1+J304)</f>
        <v>151301.012547591</v>
      </c>
      <c r="AE304" s="6" t="n">
        <f aca="false">U304*(1+K304)</f>
        <v>106981.673936671</v>
      </c>
      <c r="AF304" s="6" t="n">
        <f aca="false">V304*(1+L304)</f>
        <v>61857.8499529895</v>
      </c>
      <c r="AG304" s="6" t="n">
        <f aca="false">MIN(M304:V304)</f>
        <v>56981.6739366711</v>
      </c>
      <c r="AH304" s="19" t="n">
        <f aca="false">IF(AG304&gt;=0,1,0)</f>
        <v>1</v>
      </c>
    </row>
    <row r="305" customFormat="false" ht="15" hidden="false" customHeight="false" outlineLevel="0" collapsed="false">
      <c r="A305" s="0" t="n">
        <f aca="false">ROW()-1</f>
        <v>304</v>
      </c>
      <c r="B305" s="6" t="n">
        <f aca="false">Assumptions!$B$35</f>
        <v>441263.996662504</v>
      </c>
      <c r="C305" s="8" t="n">
        <f aca="true">NORMINV(RAND(),Assumptions!$B$14,Assumptions!$B$15)</f>
        <v>0.0766301985760168</v>
      </c>
      <c r="D305" s="8" t="n">
        <f aca="true">NORMINV(RAND(),Assumptions!$B$14,Assumptions!$B$15)</f>
        <v>0.0676824068099681</v>
      </c>
      <c r="E305" s="8" t="n">
        <f aca="true">NORMINV(RAND(),Assumptions!$B$14,Assumptions!$B$15)</f>
        <v>0.0430209296708211</v>
      </c>
      <c r="F305" s="8" t="n">
        <f aca="true">NORMINV(RAND(),Assumptions!$B$14,Assumptions!$B$15)</f>
        <v>0.0674110834197059</v>
      </c>
      <c r="G305" s="8" t="n">
        <f aca="true">NORMINV(RAND(),Assumptions!$B$14,Assumptions!$B$15)</f>
        <v>0.00301738159237457</v>
      </c>
      <c r="H305" s="8" t="n">
        <f aca="true">NORMINV(RAND(),Assumptions!$B$14,Assumptions!$B$15)</f>
        <v>0.0988061401391907</v>
      </c>
      <c r="I305" s="8" t="n">
        <f aca="true">NORMINV(RAND(),Assumptions!$B$14,Assumptions!$B$15)</f>
        <v>0.0406813135753498</v>
      </c>
      <c r="J305" s="8" t="n">
        <f aca="true">NORMINV(RAND(),Assumptions!$B$14,Assumptions!$B$15)</f>
        <v>0.034235970626554</v>
      </c>
      <c r="K305" s="8" t="n">
        <f aca="true">NORMINV(RAND(),Assumptions!$B$14,Assumptions!$B$15)</f>
        <v>0.0393029694585855</v>
      </c>
      <c r="L305" s="8" t="n">
        <f aca="true">NORMINV(RAND(),Assumptions!$B$14,Assumptions!$B$15)</f>
        <v>0.0500646440098568</v>
      </c>
      <c r="M305" s="6" t="n">
        <f aca="false">B305-Assumptions!$B$29</f>
        <v>391263.996662504</v>
      </c>
      <c r="N305" s="6" t="n">
        <f aca="false">W305-Assumptions!$B$29</f>
        <v>371246.634422397</v>
      </c>
      <c r="O305" s="6" t="n">
        <f aca="false">X305-Assumptions!$B$29</f>
        <v>346373.500160205</v>
      </c>
      <c r="P305" s="6" t="n">
        <f aca="false">Y305-Assumptions!$B$29</f>
        <v>311274.810150434</v>
      </c>
      <c r="Q305" s="6" t="n">
        <f aca="false">Z305-Assumptions!$B$29</f>
        <v>282258.182343938</v>
      </c>
      <c r="R305" s="6" t="n">
        <f aca="false">AA305-Assumptions!$B$29</f>
        <v>233109.862987639</v>
      </c>
      <c r="S305" s="6" t="n">
        <f aca="false">AB305-Assumptions!$B$29</f>
        <v>206142.548777823</v>
      </c>
      <c r="T305" s="6" t="n">
        <f aca="false">AC305-Assumptions!$B$29</f>
        <v>164528.698445876</v>
      </c>
      <c r="U305" s="6" t="n">
        <f aca="false">AD305-Assumptions!$B$29</f>
        <v>120161.498133094</v>
      </c>
      <c r="V305" s="6" t="n">
        <f aca="false">AE305-Assumptions!$B$29</f>
        <v>74884.2018243171</v>
      </c>
      <c r="W305" s="6" t="n">
        <f aca="false">M305*(1+C305)</f>
        <v>421246.634422397</v>
      </c>
      <c r="X305" s="6" t="n">
        <f aca="false">N305*(1+D305)</f>
        <v>396373.500160205</v>
      </c>
      <c r="Y305" s="6" t="n">
        <f aca="false">O305*(1+E305)</f>
        <v>361274.810150434</v>
      </c>
      <c r="Z305" s="6" t="n">
        <f aca="false">P305*(1+F305)</f>
        <v>332258.182343938</v>
      </c>
      <c r="AA305" s="6" t="n">
        <f aca="false">Q305*(1+G305)</f>
        <v>283109.862987639</v>
      </c>
      <c r="AB305" s="6" t="n">
        <f aca="false">R305*(1+H305)</f>
        <v>256142.548777823</v>
      </c>
      <c r="AC305" s="6" t="n">
        <f aca="false">S305*(1+I305)</f>
        <v>214528.698445876</v>
      </c>
      <c r="AD305" s="6" t="n">
        <f aca="false">T305*(1+J305)</f>
        <v>170161.498133094</v>
      </c>
      <c r="AE305" s="6" t="n">
        <f aca="false">U305*(1+K305)</f>
        <v>124884.201824317</v>
      </c>
      <c r="AF305" s="6" t="n">
        <f aca="false">V305*(1+L305)</f>
        <v>78633.2527306138</v>
      </c>
      <c r="AG305" s="6" t="n">
        <f aca="false">MIN(M305:V305)</f>
        <v>74884.2018243171</v>
      </c>
      <c r="AH305" s="19" t="n">
        <f aca="false">IF(AG305&gt;=0,1,0)</f>
        <v>1</v>
      </c>
    </row>
    <row r="306" customFormat="false" ht="15" hidden="false" customHeight="false" outlineLevel="0" collapsed="false">
      <c r="A306" s="0" t="n">
        <f aca="false">ROW()-1</f>
        <v>305</v>
      </c>
      <c r="B306" s="6" t="n">
        <f aca="false">Assumptions!$B$35</f>
        <v>441263.996662504</v>
      </c>
      <c r="C306" s="8" t="n">
        <f aca="true">NORMINV(RAND(),Assumptions!$B$14,Assumptions!$B$15)</f>
        <v>0.0125282235183073</v>
      </c>
      <c r="D306" s="8" t="n">
        <f aca="true">NORMINV(RAND(),Assumptions!$B$14,Assumptions!$B$15)</f>
        <v>0.0567600359432832</v>
      </c>
      <c r="E306" s="8" t="n">
        <f aca="true">NORMINV(RAND(),Assumptions!$B$14,Assumptions!$B$15)</f>
        <v>0.0710053559624961</v>
      </c>
      <c r="F306" s="8" t="n">
        <f aca="true">NORMINV(RAND(),Assumptions!$B$14,Assumptions!$B$15)</f>
        <v>0.12641056876993</v>
      </c>
      <c r="G306" s="8" t="n">
        <f aca="true">NORMINV(RAND(),Assumptions!$B$14,Assumptions!$B$15)</f>
        <v>0.0521889633864841</v>
      </c>
      <c r="H306" s="8" t="n">
        <f aca="true">NORMINV(RAND(),Assumptions!$B$14,Assumptions!$B$15)</f>
        <v>0.0276621909073045</v>
      </c>
      <c r="I306" s="8" t="n">
        <f aca="true">NORMINV(RAND(),Assumptions!$B$14,Assumptions!$B$15)</f>
        <v>0.0518698498736074</v>
      </c>
      <c r="J306" s="8" t="n">
        <f aca="true">NORMINV(RAND(),Assumptions!$B$14,Assumptions!$B$15)</f>
        <v>0.0539712581868946</v>
      </c>
      <c r="K306" s="8" t="n">
        <f aca="true">NORMINV(RAND(),Assumptions!$B$14,Assumptions!$B$15)</f>
        <v>0.0235667295681033</v>
      </c>
      <c r="L306" s="8" t="n">
        <f aca="true">NORMINV(RAND(),Assumptions!$B$14,Assumptions!$B$15)</f>
        <v>0.0512525290155133</v>
      </c>
      <c r="M306" s="6" t="n">
        <f aca="false">B306-Assumptions!$B$29</f>
        <v>391263.996662504</v>
      </c>
      <c r="N306" s="6" t="n">
        <f aca="false">W306-Assumptions!$B$29</f>
        <v>346165.839467358</v>
      </c>
      <c r="O306" s="6" t="n">
        <f aca="false">X306-Assumptions!$B$29</f>
        <v>315814.224957862</v>
      </c>
      <c r="P306" s="6" t="n">
        <f aca="false">Y306-Assumptions!$B$29</f>
        <v>288238.726419014</v>
      </c>
      <c r="Q306" s="6" t="n">
        <f aca="false">Z306-Assumptions!$B$29</f>
        <v>274675.147767162</v>
      </c>
      <c r="R306" s="6" t="n">
        <f aca="false">AA306-Assumptions!$B$29</f>
        <v>239010.15899716</v>
      </c>
      <c r="S306" s="6" t="n">
        <f aca="false">AB306-Assumptions!$B$29</f>
        <v>195621.703644125</v>
      </c>
      <c r="T306" s="6" t="n">
        <f aca="false">AC306-Assumptions!$B$29</f>
        <v>155768.572044165</v>
      </c>
      <c r="U306" s="6" t="n">
        <f aca="false">AD306-Assumptions!$B$29</f>
        <v>114175.597863364</v>
      </c>
      <c r="V306" s="6" t="n">
        <f aca="false">AE306-Assumptions!$B$29</f>
        <v>66866.3433014865</v>
      </c>
      <c r="W306" s="6" t="n">
        <f aca="false">M306*(1+C306)</f>
        <v>396165.839467358</v>
      </c>
      <c r="X306" s="6" t="n">
        <f aca="false">N306*(1+D306)</f>
        <v>365814.224957862</v>
      </c>
      <c r="Y306" s="6" t="n">
        <f aca="false">O306*(1+E306)</f>
        <v>338238.726419014</v>
      </c>
      <c r="Z306" s="6" t="n">
        <f aca="false">P306*(1+F306)</f>
        <v>324675.147767162</v>
      </c>
      <c r="AA306" s="6" t="n">
        <f aca="false">Q306*(1+G306)</f>
        <v>289010.15899716</v>
      </c>
      <c r="AB306" s="6" t="n">
        <f aca="false">R306*(1+H306)</f>
        <v>245621.703644125</v>
      </c>
      <c r="AC306" s="6" t="n">
        <f aca="false">S306*(1+I306)</f>
        <v>205768.572044165</v>
      </c>
      <c r="AD306" s="6" t="n">
        <f aca="false">T306*(1+J306)</f>
        <v>164175.597863364</v>
      </c>
      <c r="AE306" s="6" t="n">
        <f aca="false">U306*(1+K306)</f>
        <v>116866.343301487</v>
      </c>
      <c r="AF306" s="6" t="n">
        <f aca="false">V306*(1+L306)</f>
        <v>70293.4125017072</v>
      </c>
      <c r="AG306" s="6" t="n">
        <f aca="false">MIN(M306:V306)</f>
        <v>66866.3433014865</v>
      </c>
      <c r="AH306" s="19" t="n">
        <f aca="false">IF(AG306&gt;=0,1,0)</f>
        <v>1</v>
      </c>
    </row>
    <row r="307" customFormat="false" ht="15" hidden="false" customHeight="false" outlineLevel="0" collapsed="false">
      <c r="A307" s="0" t="n">
        <f aca="false">ROW()-1</f>
        <v>306</v>
      </c>
      <c r="B307" s="6" t="n">
        <f aca="false">Assumptions!$B$35</f>
        <v>441263.996662504</v>
      </c>
      <c r="C307" s="8" t="n">
        <f aca="true">NORMINV(RAND(),Assumptions!$B$14,Assumptions!$B$15)</f>
        <v>0.0572340392352462</v>
      </c>
      <c r="D307" s="8" t="n">
        <f aca="true">NORMINV(RAND(),Assumptions!$B$14,Assumptions!$B$15)</f>
        <v>0.021659567978689</v>
      </c>
      <c r="E307" s="8" t="n">
        <f aca="true">NORMINV(RAND(),Assumptions!$B$14,Assumptions!$B$15)</f>
        <v>0.0757698049720314</v>
      </c>
      <c r="F307" s="8" t="n">
        <f aca="true">NORMINV(RAND(),Assumptions!$B$14,Assumptions!$B$15)</f>
        <v>0.0606827754397445</v>
      </c>
      <c r="G307" s="8" t="n">
        <f aca="true">NORMINV(RAND(),Assumptions!$B$14,Assumptions!$B$15)</f>
        <v>0.0192571145759001</v>
      </c>
      <c r="H307" s="8" t="n">
        <f aca="true">NORMINV(RAND(),Assumptions!$B$14,Assumptions!$B$15)</f>
        <v>0.0127601504921864</v>
      </c>
      <c r="I307" s="8" t="n">
        <f aca="true">NORMINV(RAND(),Assumptions!$B$14,Assumptions!$B$15)</f>
        <v>0.0255955014000226</v>
      </c>
      <c r="J307" s="8" t="n">
        <f aca="true">NORMINV(RAND(),Assumptions!$B$14,Assumptions!$B$15)</f>
        <v>0.0126147553935778</v>
      </c>
      <c r="K307" s="8" t="n">
        <f aca="true">NORMINV(RAND(),Assumptions!$B$14,Assumptions!$B$15)</f>
        <v>0.0656233860912509</v>
      </c>
      <c r="L307" s="8" t="n">
        <f aca="true">NORMINV(RAND(),Assumptions!$B$14,Assumptions!$B$15)</f>
        <v>0.0326100134567552</v>
      </c>
      <c r="M307" s="6" t="n">
        <f aca="false">B307-Assumptions!$B$29</f>
        <v>391263.996662504</v>
      </c>
      <c r="N307" s="6" t="n">
        <f aca="false">W307-Assumptions!$B$29</f>
        <v>363657.615598824</v>
      </c>
      <c r="O307" s="6" t="n">
        <f aca="false">X307-Assumptions!$B$29</f>
        <v>321534.282444855</v>
      </c>
      <c r="P307" s="6" t="n">
        <f aca="false">Y307-Assumptions!$B$29</f>
        <v>295896.872317524</v>
      </c>
      <c r="Q307" s="6" t="n">
        <f aca="false">Z307-Assumptions!$B$29</f>
        <v>263852.715773691</v>
      </c>
      <c r="R307" s="6" t="n">
        <f aca="false">AA307-Assumptions!$B$29</f>
        <v>218933.757752507</v>
      </c>
      <c r="S307" s="6" t="n">
        <f aca="false">AB307-Assumptions!$B$29</f>
        <v>171727.385449249</v>
      </c>
      <c r="T307" s="6" t="n">
        <f aca="false">AC307-Assumptions!$B$29</f>
        <v>126122.833983938</v>
      </c>
      <c r="U307" s="6" t="n">
        <f aca="false">AD307-Assumptions!$B$29</f>
        <v>77713.84268419</v>
      </c>
      <c r="V307" s="6" t="n">
        <f aca="false">AE307-Assumptions!$B$29</f>
        <v>32813.6881872893</v>
      </c>
      <c r="W307" s="6" t="n">
        <f aca="false">M307*(1+C307)</f>
        <v>413657.615598824</v>
      </c>
      <c r="X307" s="6" t="n">
        <f aca="false">N307*(1+D307)</f>
        <v>371534.282444855</v>
      </c>
      <c r="Y307" s="6" t="n">
        <f aca="false">O307*(1+E307)</f>
        <v>345896.872317524</v>
      </c>
      <c r="Z307" s="6" t="n">
        <f aca="false">P307*(1+F307)</f>
        <v>313852.715773691</v>
      </c>
      <c r="AA307" s="6" t="n">
        <f aca="false">Q307*(1+G307)</f>
        <v>268933.757752507</v>
      </c>
      <c r="AB307" s="6" t="n">
        <f aca="false">R307*(1+H307)</f>
        <v>221727.385449249</v>
      </c>
      <c r="AC307" s="6" t="n">
        <f aca="false">S307*(1+I307)</f>
        <v>176122.833983938</v>
      </c>
      <c r="AD307" s="6" t="n">
        <f aca="false">T307*(1+J307)</f>
        <v>127713.84268419</v>
      </c>
      <c r="AE307" s="6" t="n">
        <f aca="false">U307*(1+K307)</f>
        <v>82813.6881872893</v>
      </c>
      <c r="AF307" s="6" t="n">
        <f aca="false">V307*(1+L307)</f>
        <v>33883.7430006426</v>
      </c>
      <c r="AG307" s="6" t="n">
        <f aca="false">MIN(M307:V307)</f>
        <v>32813.6881872893</v>
      </c>
      <c r="AH307" s="19" t="n">
        <f aca="false">IF(AG307&gt;=0,1,0)</f>
        <v>1</v>
      </c>
    </row>
    <row r="308" customFormat="false" ht="15" hidden="false" customHeight="false" outlineLevel="0" collapsed="false">
      <c r="A308" s="0" t="n">
        <f aca="false">ROW()-1</f>
        <v>307</v>
      </c>
      <c r="B308" s="6" t="n">
        <f aca="false">Assumptions!$B$35</f>
        <v>441263.996662504</v>
      </c>
      <c r="C308" s="8" t="n">
        <f aca="true">NORMINV(RAND(),Assumptions!$B$14,Assumptions!$B$15)</f>
        <v>0.0308409605049985</v>
      </c>
      <c r="D308" s="8" t="n">
        <f aca="true">NORMINV(RAND(),Assumptions!$B$14,Assumptions!$B$15)</f>
        <v>0.0700708320224124</v>
      </c>
      <c r="E308" s="8" t="n">
        <f aca="true">NORMINV(RAND(),Assumptions!$B$14,Assumptions!$B$15)</f>
        <v>0.0360383027110772</v>
      </c>
      <c r="F308" s="8" t="n">
        <f aca="true">NORMINV(RAND(),Assumptions!$B$14,Assumptions!$B$15)</f>
        <v>0.0635904380218523</v>
      </c>
      <c r="G308" s="8" t="n">
        <f aca="true">NORMINV(RAND(),Assumptions!$B$14,Assumptions!$B$15)</f>
        <v>0.106914629142487</v>
      </c>
      <c r="H308" s="8" t="n">
        <f aca="true">NORMINV(RAND(),Assumptions!$B$14,Assumptions!$B$15)</f>
        <v>0.0957957110907442</v>
      </c>
      <c r="I308" s="8" t="n">
        <f aca="true">NORMINV(RAND(),Assumptions!$B$14,Assumptions!$B$15)</f>
        <v>0.0277313088448344</v>
      </c>
      <c r="J308" s="8" t="n">
        <f aca="true">NORMINV(RAND(),Assumptions!$B$14,Assumptions!$B$15)</f>
        <v>0.0643091670977964</v>
      </c>
      <c r="K308" s="8" t="n">
        <f aca="true">NORMINV(RAND(),Assumptions!$B$14,Assumptions!$B$15)</f>
        <v>0.0834724185843405</v>
      </c>
      <c r="L308" s="8" t="n">
        <f aca="true">NORMINV(RAND(),Assumptions!$B$14,Assumptions!$B$15)</f>
        <v>0.0592391903444545</v>
      </c>
      <c r="M308" s="6" t="n">
        <f aca="false">B308-Assumptions!$B$29</f>
        <v>391263.996662504</v>
      </c>
      <c r="N308" s="6" t="n">
        <f aca="false">W308-Assumptions!$B$29</f>
        <v>353330.9541306</v>
      </c>
      <c r="O308" s="6" t="n">
        <f aca="false">X308-Assumptions!$B$29</f>
        <v>328089.148065804</v>
      </c>
      <c r="P308" s="6" t="n">
        <f aca="false">Y308-Assumptions!$B$29</f>
        <v>289912.924100018</v>
      </c>
      <c r="Q308" s="6" t="n">
        <f aca="false">Z308-Assumptions!$B$29</f>
        <v>258348.613931735</v>
      </c>
      <c r="R308" s="6" t="n">
        <f aca="false">AA308-Assumptions!$B$29</f>
        <v>235969.860179722</v>
      </c>
      <c r="S308" s="6" t="n">
        <f aca="false">AB308-Assumptions!$B$29</f>
        <v>208574.760731621</v>
      </c>
      <c r="T308" s="6" t="n">
        <f aca="false">AC308-Assumptions!$B$29</f>
        <v>164358.811838707</v>
      </c>
      <c r="U308" s="6" t="n">
        <f aca="false">AD308-Assumptions!$B$29</f>
        <v>124928.590133238</v>
      </c>
      <c r="V308" s="6" t="n">
        <f aca="false">AE308-Assumptions!$B$29</f>
        <v>85356.6817019914</v>
      </c>
      <c r="W308" s="6" t="n">
        <f aca="false">M308*(1+C308)</f>
        <v>403330.9541306</v>
      </c>
      <c r="X308" s="6" t="n">
        <f aca="false">N308*(1+D308)</f>
        <v>378089.148065804</v>
      </c>
      <c r="Y308" s="6" t="n">
        <f aca="false">O308*(1+E308)</f>
        <v>339912.924100018</v>
      </c>
      <c r="Z308" s="6" t="n">
        <f aca="false">P308*(1+F308)</f>
        <v>308348.613931735</v>
      </c>
      <c r="AA308" s="6" t="n">
        <f aca="false">Q308*(1+G308)</f>
        <v>285969.860179722</v>
      </c>
      <c r="AB308" s="6" t="n">
        <f aca="false">R308*(1+H308)</f>
        <v>258574.760731621</v>
      </c>
      <c r="AC308" s="6" t="n">
        <f aca="false">S308*(1+I308)</f>
        <v>214358.811838707</v>
      </c>
      <c r="AD308" s="6" t="n">
        <f aca="false">T308*(1+J308)</f>
        <v>174928.590133238</v>
      </c>
      <c r="AE308" s="6" t="n">
        <f aca="false">U308*(1+K308)</f>
        <v>135356.681701991</v>
      </c>
      <c r="AF308" s="6" t="n">
        <f aca="false">V308*(1+L308)</f>
        <v>90413.1424165066</v>
      </c>
      <c r="AG308" s="6" t="n">
        <f aca="false">MIN(M308:V308)</f>
        <v>85356.6817019914</v>
      </c>
      <c r="AH308" s="19" t="n">
        <f aca="false">IF(AG308&gt;=0,1,0)</f>
        <v>1</v>
      </c>
    </row>
    <row r="309" customFormat="false" ht="15" hidden="false" customHeight="false" outlineLevel="0" collapsed="false">
      <c r="A309" s="0" t="n">
        <f aca="false">ROW()-1</f>
        <v>308</v>
      </c>
      <c r="B309" s="6" t="n">
        <f aca="false">Assumptions!$B$35</f>
        <v>441263.996662504</v>
      </c>
      <c r="C309" s="8" t="n">
        <f aca="true">NORMINV(RAND(),Assumptions!$B$14,Assumptions!$B$15)</f>
        <v>0.0983206617740212</v>
      </c>
      <c r="D309" s="8" t="n">
        <f aca="true">NORMINV(RAND(),Assumptions!$B$14,Assumptions!$B$15)</f>
        <v>0.0898714278695359</v>
      </c>
      <c r="E309" s="8" t="n">
        <f aca="true">NORMINV(RAND(),Assumptions!$B$14,Assumptions!$B$15)</f>
        <v>0.061299534765968</v>
      </c>
      <c r="F309" s="8" t="n">
        <f aca="true">NORMINV(RAND(),Assumptions!$B$14,Assumptions!$B$15)</f>
        <v>0.0704592145033343</v>
      </c>
      <c r="G309" s="8" t="n">
        <f aca="true">NORMINV(RAND(),Assumptions!$B$14,Assumptions!$B$15)</f>
        <v>0.063359531446584</v>
      </c>
      <c r="H309" s="8" t="n">
        <f aca="true">NORMINV(RAND(),Assumptions!$B$14,Assumptions!$B$15)</f>
        <v>0.0228763675377668</v>
      </c>
      <c r="I309" s="8" t="n">
        <f aca="true">NORMINV(RAND(),Assumptions!$B$14,Assumptions!$B$15)</f>
        <v>0.0345428333030207</v>
      </c>
      <c r="J309" s="8" t="n">
        <f aca="true">NORMINV(RAND(),Assumptions!$B$14,Assumptions!$B$15)</f>
        <v>0.108096902381923</v>
      </c>
      <c r="K309" s="8" t="n">
        <f aca="true">NORMINV(RAND(),Assumptions!$B$14,Assumptions!$B$15)</f>
        <v>0.105801967205429</v>
      </c>
      <c r="L309" s="8" t="n">
        <f aca="true">NORMINV(RAND(),Assumptions!$B$14,Assumptions!$B$15)</f>
        <v>0.0161525302108559</v>
      </c>
      <c r="M309" s="6" t="n">
        <f aca="false">B309-Assumptions!$B$29</f>
        <v>391263.996662504</v>
      </c>
      <c r="N309" s="6" t="n">
        <f aca="false">W309-Assumptions!$B$29</f>
        <v>379733.331742709</v>
      </c>
      <c r="O309" s="6" t="n">
        <f aca="false">X309-Assumptions!$B$29</f>
        <v>363860.508476083</v>
      </c>
      <c r="P309" s="6" t="n">
        <f aca="false">Y309-Assumptions!$B$29</f>
        <v>336164.988365375</v>
      </c>
      <c r="Q309" s="6" t="n">
        <f aca="false">Z309-Assumptions!$B$29</f>
        <v>309850.909389122</v>
      </c>
      <c r="R309" s="6" t="n">
        <f aca="false">AA309-Assumptions!$B$29</f>
        <v>279482.917826315</v>
      </c>
      <c r="S309" s="6" t="n">
        <f aca="false">AB309-Assumptions!$B$29</f>
        <v>235876.471775037</v>
      </c>
      <c r="T309" s="6" t="n">
        <f aca="false">AC309-Assumptions!$B$29</f>
        <v>194024.313419667</v>
      </c>
      <c r="U309" s="6" t="n">
        <f aca="false">AD309-Assumptions!$B$29</f>
        <v>164997.740687112</v>
      </c>
      <c r="V309" s="6" t="n">
        <f aca="false">AE309-Assumptions!$B$29</f>
        <v>132454.82623626</v>
      </c>
      <c r="W309" s="6" t="n">
        <f aca="false">M309*(1+C309)</f>
        <v>429733.331742709</v>
      </c>
      <c r="X309" s="6" t="n">
        <f aca="false">N309*(1+D309)</f>
        <v>413860.508476083</v>
      </c>
      <c r="Y309" s="6" t="n">
        <f aca="false">O309*(1+E309)</f>
        <v>386164.988365375</v>
      </c>
      <c r="Z309" s="6" t="n">
        <f aca="false">P309*(1+F309)</f>
        <v>359850.909389122</v>
      </c>
      <c r="AA309" s="6" t="n">
        <f aca="false">Q309*(1+G309)</f>
        <v>329482.917826315</v>
      </c>
      <c r="AB309" s="6" t="n">
        <f aca="false">R309*(1+H309)</f>
        <v>285876.471775037</v>
      </c>
      <c r="AC309" s="6" t="n">
        <f aca="false">S309*(1+I309)</f>
        <v>244024.313419667</v>
      </c>
      <c r="AD309" s="6" t="n">
        <f aca="false">T309*(1+J309)</f>
        <v>214997.740687112</v>
      </c>
      <c r="AE309" s="6" t="n">
        <f aca="false">U309*(1+K309)</f>
        <v>182454.82623626</v>
      </c>
      <c r="AF309" s="6" t="n">
        <f aca="false">V309*(1+L309)</f>
        <v>134594.306818615</v>
      </c>
      <c r="AG309" s="6" t="n">
        <f aca="false">MIN(M309:V309)</f>
        <v>132454.82623626</v>
      </c>
      <c r="AH309" s="19" t="n">
        <f aca="false">IF(AG309&gt;=0,1,0)</f>
        <v>1</v>
      </c>
    </row>
    <row r="310" customFormat="false" ht="15" hidden="false" customHeight="false" outlineLevel="0" collapsed="false">
      <c r="A310" s="0" t="n">
        <f aca="false">ROW()-1</f>
        <v>309</v>
      </c>
      <c r="B310" s="6" t="n">
        <f aca="false">Assumptions!$B$35</f>
        <v>441263.996662504</v>
      </c>
      <c r="C310" s="8" t="n">
        <f aca="true">NORMINV(RAND(),Assumptions!$B$14,Assumptions!$B$15)</f>
        <v>0.00485373903080909</v>
      </c>
      <c r="D310" s="8" t="n">
        <f aca="true">NORMINV(RAND(),Assumptions!$B$14,Assumptions!$B$15)</f>
        <v>0.0231906685058361</v>
      </c>
      <c r="E310" s="8" t="n">
        <f aca="true">NORMINV(RAND(),Assumptions!$B$14,Assumptions!$B$15)</f>
        <v>0.0749479360068032</v>
      </c>
      <c r="F310" s="8" t="n">
        <f aca="true">NORMINV(RAND(),Assumptions!$B$14,Assumptions!$B$15)</f>
        <v>0.0260641914453779</v>
      </c>
      <c r="G310" s="8" t="n">
        <f aca="true">NORMINV(RAND(),Assumptions!$B$14,Assumptions!$B$15)</f>
        <v>0.0697215784132042</v>
      </c>
      <c r="H310" s="8" t="n">
        <f aca="true">NORMINV(RAND(),Assumptions!$B$14,Assumptions!$B$15)</f>
        <v>0.00954510290116208</v>
      </c>
      <c r="I310" s="8" t="n">
        <f aca="true">NORMINV(RAND(),Assumptions!$B$14,Assumptions!$B$15)</f>
        <v>0.0235521626114734</v>
      </c>
      <c r="J310" s="8" t="n">
        <f aca="true">NORMINV(RAND(),Assumptions!$B$14,Assumptions!$B$15)</f>
        <v>0.0421758463804631</v>
      </c>
      <c r="K310" s="8" t="n">
        <f aca="true">NORMINV(RAND(),Assumptions!$B$14,Assumptions!$B$15)</f>
        <v>0.0340330748883321</v>
      </c>
      <c r="L310" s="8" t="n">
        <f aca="true">NORMINV(RAND(),Assumptions!$B$14,Assumptions!$B$15)</f>
        <v>0.0643744228789959</v>
      </c>
      <c r="M310" s="6" t="n">
        <f aca="false">B310-Assumptions!$B$29</f>
        <v>391263.996662504</v>
      </c>
      <c r="N310" s="6" t="n">
        <f aca="false">W310-Assumptions!$B$29</f>
        <v>343163.089994455</v>
      </c>
      <c r="O310" s="6" t="n">
        <f aca="false">X310-Assumptions!$B$29</f>
        <v>301121.271457954</v>
      </c>
      <c r="P310" s="6" t="n">
        <f aca="false">Y310-Assumptions!$B$29</f>
        <v>273689.689241472</v>
      </c>
      <c r="Q310" s="6" t="n">
        <f aca="false">Z310-Assumptions!$B$29</f>
        <v>230823.189698488</v>
      </c>
      <c r="R310" s="6" t="n">
        <f aca="false">AA310-Assumptions!$B$29</f>
        <v>196916.546818637</v>
      </c>
      <c r="S310" s="6" t="n">
        <f aca="false">AB310-Assumptions!$B$29</f>
        <v>148796.135520963</v>
      </c>
      <c r="T310" s="6" t="n">
        <f aca="false">AC310-Assumptions!$B$29</f>
        <v>102300.606300711</v>
      </c>
      <c r="U310" s="6" t="n">
        <f aca="false">AD310-Assumptions!$B$29</f>
        <v>56615.2209566782</v>
      </c>
      <c r="V310" s="6" t="n">
        <f aca="false">AE310-Assumptions!$B$29</f>
        <v>8542.0110113163</v>
      </c>
      <c r="W310" s="6" t="n">
        <f aca="false">M310*(1+C310)</f>
        <v>393163.089994455</v>
      </c>
      <c r="X310" s="6" t="n">
        <f aca="false">N310*(1+D310)</f>
        <v>351121.271457954</v>
      </c>
      <c r="Y310" s="6" t="n">
        <f aca="false">O310*(1+E310)</f>
        <v>323689.689241472</v>
      </c>
      <c r="Z310" s="6" t="n">
        <f aca="false">P310*(1+F310)</f>
        <v>280823.189698488</v>
      </c>
      <c r="AA310" s="6" t="n">
        <f aca="false">Q310*(1+G310)</f>
        <v>246916.546818637</v>
      </c>
      <c r="AB310" s="6" t="n">
        <f aca="false">R310*(1+H310)</f>
        <v>198796.135520963</v>
      </c>
      <c r="AC310" s="6" t="n">
        <f aca="false">S310*(1+I310)</f>
        <v>152300.606300711</v>
      </c>
      <c r="AD310" s="6" t="n">
        <f aca="false">T310*(1+J310)</f>
        <v>106615.220956678</v>
      </c>
      <c r="AE310" s="6" t="n">
        <f aca="false">U310*(1+K310)</f>
        <v>58542.0110113163</v>
      </c>
      <c r="AF310" s="6" t="n">
        <f aca="false">V310*(1+L310)</f>
        <v>9091.89804039582</v>
      </c>
      <c r="AG310" s="6" t="n">
        <f aca="false">MIN(M310:V310)</f>
        <v>8542.0110113163</v>
      </c>
      <c r="AH310" s="19" t="n">
        <f aca="false">IF(AG310&gt;=0,1,0)</f>
        <v>1</v>
      </c>
    </row>
    <row r="311" customFormat="false" ht="15" hidden="false" customHeight="false" outlineLevel="0" collapsed="false">
      <c r="A311" s="0" t="n">
        <f aca="false">ROW()-1</f>
        <v>310</v>
      </c>
      <c r="B311" s="6" t="n">
        <f aca="false">Assumptions!$B$35</f>
        <v>441263.996662504</v>
      </c>
      <c r="C311" s="8" t="n">
        <f aca="true">NORMINV(RAND(),Assumptions!$B$14,Assumptions!$B$15)</f>
        <v>0.0622106389860728</v>
      </c>
      <c r="D311" s="8" t="n">
        <f aca="true">NORMINV(RAND(),Assumptions!$B$14,Assumptions!$B$15)</f>
        <v>0.0820418081263032</v>
      </c>
      <c r="E311" s="8" t="n">
        <f aca="true">NORMINV(RAND(),Assumptions!$B$14,Assumptions!$B$15)</f>
        <v>0.0387719201271362</v>
      </c>
      <c r="F311" s="8" t="n">
        <f aca="true">NORMINV(RAND(),Assumptions!$B$14,Assumptions!$B$15)</f>
        <v>0.0462319896462317</v>
      </c>
      <c r="G311" s="8" t="n">
        <f aca="true">NORMINV(RAND(),Assumptions!$B$14,Assumptions!$B$15)</f>
        <v>0.0415541042108816</v>
      </c>
      <c r="H311" s="8" t="n">
        <f aca="true">NORMINV(RAND(),Assumptions!$B$14,Assumptions!$B$15)</f>
        <v>0.0572261896249756</v>
      </c>
      <c r="I311" s="8" t="n">
        <f aca="true">NORMINV(RAND(),Assumptions!$B$14,Assumptions!$B$15)</f>
        <v>0.0105401982355941</v>
      </c>
      <c r="J311" s="8" t="n">
        <f aca="true">NORMINV(RAND(),Assumptions!$B$14,Assumptions!$B$15)</f>
        <v>0.0317553308165519</v>
      </c>
      <c r="K311" s="8" t="n">
        <f aca="true">NORMINV(RAND(),Assumptions!$B$14,Assumptions!$B$15)</f>
        <v>0.0158235059639189</v>
      </c>
      <c r="L311" s="8" t="n">
        <f aca="true">NORMINV(RAND(),Assumptions!$B$14,Assumptions!$B$15)</f>
        <v>0.0735474488418225</v>
      </c>
      <c r="M311" s="6" t="n">
        <f aca="false">B311-Assumptions!$B$29</f>
        <v>391263.996662504</v>
      </c>
      <c r="N311" s="6" t="n">
        <f aca="false">W311-Assumptions!$B$29</f>
        <v>365604.779907123</v>
      </c>
      <c r="O311" s="6" t="n">
        <f aca="false">X311-Assumptions!$B$29</f>
        <v>345599.657110322</v>
      </c>
      <c r="P311" s="6" t="n">
        <f aca="false">Y311-Assumptions!$B$29</f>
        <v>308999.219411769</v>
      </c>
      <c r="Q311" s="6" t="n">
        <f aca="false">Z311-Assumptions!$B$29</f>
        <v>273284.868124308</v>
      </c>
      <c r="R311" s="6" t="n">
        <f aca="false">AA311-Assumptions!$B$29</f>
        <v>234640.976013602</v>
      </c>
      <c r="S311" s="6" t="n">
        <f aca="false">AB311-Assumptions!$B$29</f>
        <v>198068.585000746</v>
      </c>
      <c r="T311" s="6" t="n">
        <f aca="false">AC311-Assumptions!$B$29</f>
        <v>150156.267150897</v>
      </c>
      <c r="U311" s="6" t="n">
        <f aca="false">AD311-Assumptions!$B$29</f>
        <v>104924.529088453</v>
      </c>
      <c r="V311" s="6" t="n">
        <f aca="false">AE311-Assumptions!$B$29</f>
        <v>56584.8030002452</v>
      </c>
      <c r="W311" s="6" t="n">
        <f aca="false">M311*(1+C311)</f>
        <v>415604.779907123</v>
      </c>
      <c r="X311" s="6" t="n">
        <f aca="false">N311*(1+D311)</f>
        <v>395599.657110322</v>
      </c>
      <c r="Y311" s="6" t="n">
        <f aca="false">O311*(1+E311)</f>
        <v>358999.219411769</v>
      </c>
      <c r="Z311" s="6" t="n">
        <f aca="false">P311*(1+F311)</f>
        <v>323284.868124308</v>
      </c>
      <c r="AA311" s="6" t="n">
        <f aca="false">Q311*(1+G311)</f>
        <v>284640.976013602</v>
      </c>
      <c r="AB311" s="6" t="n">
        <f aca="false">R311*(1+H311)</f>
        <v>248068.585000746</v>
      </c>
      <c r="AC311" s="6" t="n">
        <f aca="false">S311*(1+I311)</f>
        <v>200156.267150897</v>
      </c>
      <c r="AD311" s="6" t="n">
        <f aca="false">T311*(1+J311)</f>
        <v>154924.529088453</v>
      </c>
      <c r="AE311" s="6" t="n">
        <f aca="false">U311*(1+K311)</f>
        <v>106584.803000245</v>
      </c>
      <c r="AF311" s="6" t="n">
        <f aca="false">V311*(1+L311)</f>
        <v>60746.4709041303</v>
      </c>
      <c r="AG311" s="6" t="n">
        <f aca="false">MIN(M311:V311)</f>
        <v>56584.8030002452</v>
      </c>
      <c r="AH311" s="19" t="n">
        <f aca="false">IF(AG311&gt;=0,1,0)</f>
        <v>1</v>
      </c>
    </row>
    <row r="312" customFormat="false" ht="15" hidden="false" customHeight="false" outlineLevel="0" collapsed="false">
      <c r="A312" s="0" t="n">
        <f aca="false">ROW()-1</f>
        <v>311</v>
      </c>
      <c r="B312" s="6" t="n">
        <f aca="false">Assumptions!$B$35</f>
        <v>441263.996662504</v>
      </c>
      <c r="C312" s="8" t="n">
        <f aca="true">NORMINV(RAND(),Assumptions!$B$14,Assumptions!$B$15)</f>
        <v>0.120179288230767</v>
      </c>
      <c r="D312" s="8" t="n">
        <f aca="true">NORMINV(RAND(),Assumptions!$B$14,Assumptions!$B$15)</f>
        <v>0.0684984325119866</v>
      </c>
      <c r="E312" s="8" t="n">
        <f aca="true">NORMINV(RAND(),Assumptions!$B$14,Assumptions!$B$15)</f>
        <v>0.0108718981303365</v>
      </c>
      <c r="F312" s="8" t="n">
        <f aca="true">NORMINV(RAND(),Assumptions!$B$14,Assumptions!$B$15)</f>
        <v>0.0157644277026934</v>
      </c>
      <c r="G312" s="8" t="n">
        <f aca="true">NORMINV(RAND(),Assumptions!$B$14,Assumptions!$B$15)</f>
        <v>0.0467656317496718</v>
      </c>
      <c r="H312" s="8" t="n">
        <f aca="true">NORMINV(RAND(),Assumptions!$B$14,Assumptions!$B$15)</f>
        <v>0.0202171571905586</v>
      </c>
      <c r="I312" s="8" t="n">
        <f aca="true">NORMINV(RAND(),Assumptions!$B$14,Assumptions!$B$15)</f>
        <v>0.0639535420161765</v>
      </c>
      <c r="J312" s="8" t="n">
        <f aca="true">NORMINV(RAND(),Assumptions!$B$14,Assumptions!$B$15)</f>
        <v>0.0211109014158919</v>
      </c>
      <c r="K312" s="8" t="n">
        <f aca="true">NORMINV(RAND(),Assumptions!$B$14,Assumptions!$B$15)</f>
        <v>0.00254471030223781</v>
      </c>
      <c r="L312" s="8" t="n">
        <f aca="true">NORMINV(RAND(),Assumptions!$B$14,Assumptions!$B$15)</f>
        <v>0.0857705119483543</v>
      </c>
      <c r="M312" s="6" t="n">
        <f aca="false">B312-Assumptions!$B$29</f>
        <v>391263.996662504</v>
      </c>
      <c r="N312" s="6" t="n">
        <f aca="false">W312-Assumptions!$B$29</f>
        <v>388285.825291728</v>
      </c>
      <c r="O312" s="6" t="n">
        <f aca="false">X312-Assumptions!$B$29</f>
        <v>364882.795690835</v>
      </c>
      <c r="P312" s="6" t="n">
        <f aca="false">Y312-Assumptions!$B$29</f>
        <v>318849.764275098</v>
      </c>
      <c r="Q312" s="6" t="n">
        <f aca="false">Z312-Assumptions!$B$29</f>
        <v>273876.248332034</v>
      </c>
      <c r="R312" s="6" t="n">
        <f aca="false">AA312-Assumptions!$B$29</f>
        <v>236684.244106511</v>
      </c>
      <c r="S312" s="6" t="n">
        <f aca="false">AB312-Assumptions!$B$29</f>
        <v>191469.326674141</v>
      </c>
      <c r="T312" s="6" t="n">
        <f aca="false">AC312-Assumptions!$B$29</f>
        <v>153714.468302405</v>
      </c>
      <c r="U312" s="6" t="n">
        <f aca="false">AD312-Assumptions!$B$29</f>
        <v>106959.519288933</v>
      </c>
      <c r="V312" s="6" t="n">
        <f aca="false">AE312-Assumptions!$B$29</f>
        <v>57231.7002795901</v>
      </c>
      <c r="W312" s="6" t="n">
        <f aca="false">M312*(1+C312)</f>
        <v>438285.825291728</v>
      </c>
      <c r="X312" s="6" t="n">
        <f aca="false">N312*(1+D312)</f>
        <v>414882.795690835</v>
      </c>
      <c r="Y312" s="6" t="n">
        <f aca="false">O312*(1+E312)</f>
        <v>368849.764275098</v>
      </c>
      <c r="Z312" s="6" t="n">
        <f aca="false">P312*(1+F312)</f>
        <v>323876.248332034</v>
      </c>
      <c r="AA312" s="6" t="n">
        <f aca="false">Q312*(1+G312)</f>
        <v>286684.244106511</v>
      </c>
      <c r="AB312" s="6" t="n">
        <f aca="false">R312*(1+H312)</f>
        <v>241469.326674141</v>
      </c>
      <c r="AC312" s="6" t="n">
        <f aca="false">S312*(1+I312)</f>
        <v>203714.468302405</v>
      </c>
      <c r="AD312" s="6" t="n">
        <f aca="false">T312*(1+J312)</f>
        <v>156959.519288933</v>
      </c>
      <c r="AE312" s="6" t="n">
        <f aca="false">U312*(1+K312)</f>
        <v>107231.70027959</v>
      </c>
      <c r="AF312" s="6" t="n">
        <f aca="false">V312*(1+L312)</f>
        <v>62140.4925122453</v>
      </c>
      <c r="AG312" s="6" t="n">
        <f aca="false">MIN(M312:V312)</f>
        <v>57231.7002795901</v>
      </c>
      <c r="AH312" s="19" t="n">
        <f aca="false">IF(AG312&gt;=0,1,0)</f>
        <v>1</v>
      </c>
    </row>
    <row r="313" customFormat="false" ht="15" hidden="false" customHeight="false" outlineLevel="0" collapsed="false">
      <c r="A313" s="0" t="n">
        <f aca="false">ROW()-1</f>
        <v>312</v>
      </c>
      <c r="B313" s="6" t="n">
        <f aca="false">Assumptions!$B$35</f>
        <v>441263.996662504</v>
      </c>
      <c r="C313" s="8" t="n">
        <f aca="true">NORMINV(RAND(),Assumptions!$B$14,Assumptions!$B$15)</f>
        <v>0.0357458973372655</v>
      </c>
      <c r="D313" s="8" t="n">
        <f aca="true">NORMINV(RAND(),Assumptions!$B$14,Assumptions!$B$15)</f>
        <v>0.049921577997115</v>
      </c>
      <c r="E313" s="8" t="n">
        <f aca="true">NORMINV(RAND(),Assumptions!$B$14,Assumptions!$B$15)</f>
        <v>0.0520075804966672</v>
      </c>
      <c r="F313" s="8" t="n">
        <f aca="true">NORMINV(RAND(),Assumptions!$B$14,Assumptions!$B$15)</f>
        <v>0.0675984311063606</v>
      </c>
      <c r="G313" s="8" t="n">
        <f aca="true">NORMINV(RAND(),Assumptions!$B$14,Assumptions!$B$15)</f>
        <v>0.0175253331855173</v>
      </c>
      <c r="H313" s="8" t="n">
        <f aca="true">NORMINV(RAND(),Assumptions!$B$14,Assumptions!$B$15)</f>
        <v>0.0591913312597534</v>
      </c>
      <c r="I313" s="8" t="n">
        <f aca="true">NORMINV(RAND(),Assumptions!$B$14,Assumptions!$B$15)</f>
        <v>0.0275927909804795</v>
      </c>
      <c r="J313" s="8" t="n">
        <f aca="true">NORMINV(RAND(),Assumptions!$B$14,Assumptions!$B$15)</f>
        <v>0.0378306995635965</v>
      </c>
      <c r="K313" s="8" t="n">
        <f aca="true">NORMINV(RAND(),Assumptions!$B$14,Assumptions!$B$15)</f>
        <v>0.0864964892406325</v>
      </c>
      <c r="L313" s="8" t="n">
        <f aca="true">NORMINV(RAND(),Assumptions!$B$14,Assumptions!$B$15)</f>
        <v>0.0427393227214447</v>
      </c>
      <c r="M313" s="6" t="n">
        <f aca="false">B313-Assumptions!$B$29</f>
        <v>391263.996662504</v>
      </c>
      <c r="N313" s="6" t="n">
        <f aca="false">W313-Assumptions!$B$29</f>
        <v>355250.07931897</v>
      </c>
      <c r="O313" s="6" t="n">
        <f aca="false">X313-Assumptions!$B$29</f>
        <v>322984.723862173</v>
      </c>
      <c r="P313" s="6" t="n">
        <f aca="false">Y313-Assumptions!$B$29</f>
        <v>289782.377887629</v>
      </c>
      <c r="Q313" s="6" t="n">
        <f aca="false">Z313-Assumptions!$B$29</f>
        <v>259371.211995103</v>
      </c>
      <c r="R313" s="6" t="n">
        <f aca="false">AA313-Assumptions!$B$29</f>
        <v>213916.778904048</v>
      </c>
      <c r="S313" s="6" t="n">
        <f aca="false">AB313-Assumptions!$B$29</f>
        <v>176578.797826177</v>
      </c>
      <c r="T313" s="6" t="n">
        <f aca="false">AC313-Assumptions!$B$29</f>
        <v>131451.099686179</v>
      </c>
      <c r="U313" s="6" t="n">
        <f aca="false">AD313-Assumptions!$B$29</f>
        <v>86423.9867457116</v>
      </c>
      <c r="V313" s="6" t="n">
        <f aca="false">AE313-Assumptions!$B$29</f>
        <v>43899.3581853946</v>
      </c>
      <c r="W313" s="6" t="n">
        <f aca="false">M313*(1+C313)</f>
        <v>405250.07931897</v>
      </c>
      <c r="X313" s="6" t="n">
        <f aca="false">N313*(1+D313)</f>
        <v>372984.723862173</v>
      </c>
      <c r="Y313" s="6" t="n">
        <f aca="false">O313*(1+E313)</f>
        <v>339782.377887629</v>
      </c>
      <c r="Z313" s="6" t="n">
        <f aca="false">P313*(1+F313)</f>
        <v>309371.211995103</v>
      </c>
      <c r="AA313" s="6" t="n">
        <f aca="false">Q313*(1+G313)</f>
        <v>263916.778904048</v>
      </c>
      <c r="AB313" s="6" t="n">
        <f aca="false">R313*(1+H313)</f>
        <v>226578.797826177</v>
      </c>
      <c r="AC313" s="6" t="n">
        <f aca="false">S313*(1+I313)</f>
        <v>181451.099686179</v>
      </c>
      <c r="AD313" s="6" t="n">
        <f aca="false">T313*(1+J313)</f>
        <v>136423.986745712</v>
      </c>
      <c r="AE313" s="6" t="n">
        <f aca="false">U313*(1+K313)</f>
        <v>93899.3581853946</v>
      </c>
      <c r="AF313" s="6" t="n">
        <f aca="false">V313*(1+L313)</f>
        <v>45775.5870221445</v>
      </c>
      <c r="AG313" s="6" t="n">
        <f aca="false">MIN(M313:V313)</f>
        <v>43899.3581853946</v>
      </c>
      <c r="AH313" s="19" t="n">
        <f aca="false">IF(AG313&gt;=0,1,0)</f>
        <v>1</v>
      </c>
    </row>
    <row r="314" customFormat="false" ht="15" hidden="false" customHeight="false" outlineLevel="0" collapsed="false">
      <c r="A314" s="0" t="n">
        <f aca="false">ROW()-1</f>
        <v>313</v>
      </c>
      <c r="B314" s="6" t="n">
        <f aca="false">Assumptions!$B$35</f>
        <v>441263.996662504</v>
      </c>
      <c r="C314" s="8" t="n">
        <f aca="true">NORMINV(RAND(),Assumptions!$B$14,Assumptions!$B$15)</f>
        <v>0.0545285310565374</v>
      </c>
      <c r="D314" s="8" t="n">
        <f aca="true">NORMINV(RAND(),Assumptions!$B$14,Assumptions!$B$15)</f>
        <v>0.0276931172979032</v>
      </c>
      <c r="E314" s="8" t="n">
        <f aca="true">NORMINV(RAND(),Assumptions!$B$14,Assumptions!$B$15)</f>
        <v>0.0599885392215624</v>
      </c>
      <c r="F314" s="8" t="n">
        <f aca="true">NORMINV(RAND(),Assumptions!$B$14,Assumptions!$B$15)</f>
        <v>0.00631710878362215</v>
      </c>
      <c r="G314" s="8" t="n">
        <f aca="true">NORMINV(RAND(),Assumptions!$B$14,Assumptions!$B$15)</f>
        <v>0.0420987499991948</v>
      </c>
      <c r="H314" s="8" t="n">
        <f aca="true">NORMINV(RAND(),Assumptions!$B$14,Assumptions!$B$15)</f>
        <v>0.0325064987270675</v>
      </c>
      <c r="I314" s="8" t="n">
        <f aca="true">NORMINV(RAND(),Assumptions!$B$14,Assumptions!$B$15)</f>
        <v>0.0612495604939801</v>
      </c>
      <c r="J314" s="8" t="n">
        <f aca="true">NORMINV(RAND(),Assumptions!$B$14,Assumptions!$B$15)</f>
        <v>0.00152280312501242</v>
      </c>
      <c r="K314" s="8" t="n">
        <f aca="true">NORMINV(RAND(),Assumptions!$B$14,Assumptions!$B$15)</f>
        <v>0.0406917022983239</v>
      </c>
      <c r="L314" s="8" t="n">
        <f aca="true">NORMINV(RAND(),Assumptions!$B$14,Assumptions!$B$15)</f>
        <v>0.0313830336549827</v>
      </c>
      <c r="M314" s="6" t="n">
        <f aca="false">B314-Assumptions!$B$29</f>
        <v>391263.996662504</v>
      </c>
      <c r="N314" s="6" t="n">
        <f aca="false">W314-Assumptions!$B$29</f>
        <v>362599.04765582</v>
      </c>
      <c r="O314" s="6" t="n">
        <f aca="false">X314-Assumptions!$B$29</f>
        <v>322640.54561466</v>
      </c>
      <c r="P314" s="6" t="n">
        <f aca="false">Y314-Assumptions!$B$29</f>
        <v>291995.280639732</v>
      </c>
      <c r="Q314" s="6" t="n">
        <f aca="false">Z314-Assumptions!$B$29</f>
        <v>243839.846591837</v>
      </c>
      <c r="R314" s="6" t="n">
        <f aca="false">AA314-Assumptions!$B$29</f>
        <v>204105.199333349</v>
      </c>
      <c r="S314" s="6" t="n">
        <f aca="false">AB314-Assumptions!$B$29</f>
        <v>160739.944735666</v>
      </c>
      <c r="T314" s="6" t="n">
        <f aca="false">AC314-Assumptions!$B$29</f>
        <v>120585.195704553</v>
      </c>
      <c r="U314" s="6" t="n">
        <f aca="false">AD314-Assumptions!$B$29</f>
        <v>70768.8232174018</v>
      </c>
      <c r="V314" s="6" t="n">
        <f aca="false">AE314-Assumptions!$B$29</f>
        <v>23648.527103767</v>
      </c>
      <c r="W314" s="6" t="n">
        <f aca="false">M314*(1+C314)</f>
        <v>412599.04765582</v>
      </c>
      <c r="X314" s="6" t="n">
        <f aca="false">N314*(1+D314)</f>
        <v>372640.54561466</v>
      </c>
      <c r="Y314" s="6" t="n">
        <f aca="false">O314*(1+E314)</f>
        <v>341995.280639732</v>
      </c>
      <c r="Z314" s="6" t="n">
        <f aca="false">P314*(1+F314)</f>
        <v>293839.846591837</v>
      </c>
      <c r="AA314" s="6" t="n">
        <f aca="false">Q314*(1+G314)</f>
        <v>254105.199333349</v>
      </c>
      <c r="AB314" s="6" t="n">
        <f aca="false">R314*(1+H314)</f>
        <v>210739.944735666</v>
      </c>
      <c r="AC314" s="6" t="n">
        <f aca="false">S314*(1+I314)</f>
        <v>170585.195704553</v>
      </c>
      <c r="AD314" s="6" t="n">
        <f aca="false">T314*(1+J314)</f>
        <v>120768.823217402</v>
      </c>
      <c r="AE314" s="6" t="n">
        <f aca="false">U314*(1+K314)</f>
        <v>73648.527103767</v>
      </c>
      <c r="AF314" s="6" t="n">
        <f aca="false">V314*(1+L314)</f>
        <v>24390.6896257553</v>
      </c>
      <c r="AG314" s="6" t="n">
        <f aca="false">MIN(M314:V314)</f>
        <v>23648.527103767</v>
      </c>
      <c r="AH314" s="19" t="n">
        <f aca="false">IF(AG314&gt;=0,1,0)</f>
        <v>1</v>
      </c>
    </row>
    <row r="315" customFormat="false" ht="15" hidden="false" customHeight="false" outlineLevel="0" collapsed="false">
      <c r="A315" s="0" t="n">
        <f aca="false">ROW()-1</f>
        <v>314</v>
      </c>
      <c r="B315" s="6" t="n">
        <f aca="false">Assumptions!$B$35</f>
        <v>441263.996662504</v>
      </c>
      <c r="C315" s="8" t="n">
        <f aca="true">NORMINV(RAND(),Assumptions!$B$14,Assumptions!$B$15)</f>
        <v>0.0778421385007931</v>
      </c>
      <c r="D315" s="8" t="n">
        <f aca="true">NORMINV(RAND(),Assumptions!$B$14,Assumptions!$B$15)</f>
        <v>0.0393034974202672</v>
      </c>
      <c r="E315" s="8" t="n">
        <f aca="true">NORMINV(RAND(),Assumptions!$B$14,Assumptions!$B$15)</f>
        <v>0.0221612091844185</v>
      </c>
      <c r="F315" s="8" t="n">
        <f aca="true">NORMINV(RAND(),Assumptions!$B$14,Assumptions!$B$15)</f>
        <v>-0.00206957553326166</v>
      </c>
      <c r="G315" s="8" t="n">
        <f aca="true">NORMINV(RAND(),Assumptions!$B$14,Assumptions!$B$15)</f>
        <v>0.0602134327784095</v>
      </c>
      <c r="H315" s="8" t="n">
        <f aca="true">NORMINV(RAND(),Assumptions!$B$14,Assumptions!$B$15)</f>
        <v>0.072036289042871</v>
      </c>
      <c r="I315" s="8" t="n">
        <f aca="true">NORMINV(RAND(),Assumptions!$B$14,Assumptions!$B$15)</f>
        <v>-0.0123290447455995</v>
      </c>
      <c r="J315" s="8" t="n">
        <f aca="true">NORMINV(RAND(),Assumptions!$B$14,Assumptions!$B$15)</f>
        <v>0.0340632130317295</v>
      </c>
      <c r="K315" s="8" t="n">
        <f aca="true">NORMINV(RAND(),Assumptions!$B$14,Assumptions!$B$15)</f>
        <v>0.0448849914716402</v>
      </c>
      <c r="L315" s="8" t="n">
        <f aca="true">NORMINV(RAND(),Assumptions!$B$14,Assumptions!$B$15)</f>
        <v>0.0176475201131019</v>
      </c>
      <c r="M315" s="6" t="n">
        <f aca="false">B315-Assumptions!$B$29</f>
        <v>391263.996662504</v>
      </c>
      <c r="N315" s="6" t="n">
        <f aca="false">W315-Assumptions!$B$29</f>
        <v>371720.82288108</v>
      </c>
      <c r="O315" s="6" t="n">
        <f aca="false">X315-Assumptions!$B$29</f>
        <v>336330.751284246</v>
      </c>
      <c r="P315" s="6" t="n">
        <f aca="false">Y315-Assumptions!$B$29</f>
        <v>293784.247418609</v>
      </c>
      <c r="Q315" s="6" t="n">
        <f aca="false">Z315-Assumptions!$B$29</f>
        <v>243176.238728094</v>
      </c>
      <c r="R315" s="6" t="n">
        <f aca="false">AA315-Assumptions!$B$29</f>
        <v>207818.714832054</v>
      </c>
      <c r="S315" s="6" t="n">
        <f aca="false">AB315-Assumptions!$B$29</f>
        <v>172789.203842214</v>
      </c>
      <c r="T315" s="6" t="n">
        <f aca="false">AC315-Assumptions!$B$29</f>
        <v>120658.878016487</v>
      </c>
      <c r="U315" s="6" t="n">
        <f aca="false">AD315-Assumptions!$B$29</f>
        <v>74768.9070825318</v>
      </c>
      <c r="V315" s="6" t="n">
        <f aca="false">AE315-Assumptions!$B$29</f>
        <v>28124.9088392751</v>
      </c>
      <c r="W315" s="6" t="n">
        <f aca="false">M315*(1+C315)</f>
        <v>421720.82288108</v>
      </c>
      <c r="X315" s="6" t="n">
        <f aca="false">N315*(1+D315)</f>
        <v>386330.751284246</v>
      </c>
      <c r="Y315" s="6" t="n">
        <f aca="false">O315*(1+E315)</f>
        <v>343784.247418609</v>
      </c>
      <c r="Z315" s="6" t="n">
        <f aca="false">P315*(1+F315)</f>
        <v>293176.238728094</v>
      </c>
      <c r="AA315" s="6" t="n">
        <f aca="false">Q315*(1+G315)</f>
        <v>257818.714832054</v>
      </c>
      <c r="AB315" s="6" t="n">
        <f aca="false">R315*(1+H315)</f>
        <v>222789.203842214</v>
      </c>
      <c r="AC315" s="6" t="n">
        <f aca="false">S315*(1+I315)</f>
        <v>170658.878016487</v>
      </c>
      <c r="AD315" s="6" t="n">
        <f aca="false">T315*(1+J315)</f>
        <v>124768.907082532</v>
      </c>
      <c r="AE315" s="6" t="n">
        <f aca="false">U315*(1+K315)</f>
        <v>78124.9088392751</v>
      </c>
      <c r="AF315" s="6" t="n">
        <f aca="false">V315*(1+L315)</f>
        <v>28621.2437336954</v>
      </c>
      <c r="AG315" s="6" t="n">
        <f aca="false">MIN(M315:V315)</f>
        <v>28124.9088392751</v>
      </c>
      <c r="AH315" s="19" t="n">
        <f aca="false">IF(AG315&gt;=0,1,0)</f>
        <v>1</v>
      </c>
    </row>
    <row r="316" customFormat="false" ht="15" hidden="false" customHeight="false" outlineLevel="0" collapsed="false">
      <c r="A316" s="0" t="n">
        <f aca="false">ROW()-1</f>
        <v>315</v>
      </c>
      <c r="B316" s="6" t="n">
        <f aca="false">Assumptions!$B$35</f>
        <v>441263.996662504</v>
      </c>
      <c r="C316" s="8" t="n">
        <f aca="true">NORMINV(RAND(),Assumptions!$B$14,Assumptions!$B$15)</f>
        <v>0.0879340078562727</v>
      </c>
      <c r="D316" s="8" t="n">
        <f aca="true">NORMINV(RAND(),Assumptions!$B$14,Assumptions!$B$15)</f>
        <v>0.0858185478231837</v>
      </c>
      <c r="E316" s="8" t="n">
        <f aca="true">NORMINV(RAND(),Assumptions!$B$14,Assumptions!$B$15)</f>
        <v>0.0638712740199562</v>
      </c>
      <c r="F316" s="8" t="n">
        <f aca="true">NORMINV(RAND(),Assumptions!$B$14,Assumptions!$B$15)</f>
        <v>0.0539988815696647</v>
      </c>
      <c r="G316" s="8" t="n">
        <f aca="true">NORMINV(RAND(),Assumptions!$B$14,Assumptions!$B$15)</f>
        <v>0.101435489971905</v>
      </c>
      <c r="H316" s="8" t="n">
        <f aca="true">NORMINV(RAND(),Assumptions!$B$14,Assumptions!$B$15)</f>
        <v>0.0161289081132323</v>
      </c>
      <c r="I316" s="8" t="n">
        <f aca="true">NORMINV(RAND(),Assumptions!$B$14,Assumptions!$B$15)</f>
        <v>0.0836328847274778</v>
      </c>
      <c r="J316" s="8" t="n">
        <f aca="true">NORMINV(RAND(),Assumptions!$B$14,Assumptions!$B$15)</f>
        <v>0.0436128177794159</v>
      </c>
      <c r="K316" s="8" t="n">
        <f aca="true">NORMINV(RAND(),Assumptions!$B$14,Assumptions!$B$15)</f>
        <v>0.0602815715518959</v>
      </c>
      <c r="L316" s="8" t="n">
        <f aca="true">NORMINV(RAND(),Assumptions!$B$14,Assumptions!$B$15)</f>
        <v>0.0226614525057239</v>
      </c>
      <c r="M316" s="6" t="n">
        <f aca="false">B316-Assumptions!$B$29</f>
        <v>391263.996662504</v>
      </c>
      <c r="N316" s="6" t="n">
        <f aca="false">W316-Assumptions!$B$29</f>
        <v>375669.408018901</v>
      </c>
      <c r="O316" s="6" t="n">
        <f aca="false">X316-Assumptions!$B$29</f>
        <v>357908.811076678</v>
      </c>
      <c r="P316" s="6" t="n">
        <f aca="false">Y316-Assumptions!$B$29</f>
        <v>330768.902823113</v>
      </c>
      <c r="Q316" s="6" t="n">
        <f aca="false">Z316-Assumptions!$B$29</f>
        <v>298630.053633586</v>
      </c>
      <c r="R316" s="6" t="n">
        <f aca="false">AA316-Assumptions!$B$29</f>
        <v>278921.739444245</v>
      </c>
      <c r="S316" s="6" t="n">
        <f aca="false">AB316-Assumptions!$B$29</f>
        <v>233420.442550525</v>
      </c>
      <c r="T316" s="6" t="n">
        <f aca="false">AC316-Assumptions!$B$29</f>
        <v>202942.06751539</v>
      </c>
      <c r="U316" s="6" t="n">
        <f aca="false">AD316-Assumptions!$B$29</f>
        <v>161792.942925716</v>
      </c>
      <c r="V316" s="6" t="n">
        <f aca="false">AE316-Assumptions!$B$29</f>
        <v>121546.075791284</v>
      </c>
      <c r="W316" s="6" t="n">
        <f aca="false">M316*(1+C316)</f>
        <v>425669.408018901</v>
      </c>
      <c r="X316" s="6" t="n">
        <f aca="false">N316*(1+D316)</f>
        <v>407908.811076678</v>
      </c>
      <c r="Y316" s="6" t="n">
        <f aca="false">O316*(1+E316)</f>
        <v>380768.902823113</v>
      </c>
      <c r="Z316" s="6" t="n">
        <f aca="false">P316*(1+F316)</f>
        <v>348630.053633586</v>
      </c>
      <c r="AA316" s="6" t="n">
        <f aca="false">Q316*(1+G316)</f>
        <v>328921.739444245</v>
      </c>
      <c r="AB316" s="6" t="n">
        <f aca="false">R316*(1+H316)</f>
        <v>283420.442550525</v>
      </c>
      <c r="AC316" s="6" t="n">
        <f aca="false">S316*(1+I316)</f>
        <v>252942.06751539</v>
      </c>
      <c r="AD316" s="6" t="n">
        <f aca="false">T316*(1+J316)</f>
        <v>211792.942925716</v>
      </c>
      <c r="AE316" s="6" t="n">
        <f aca="false">U316*(1+K316)</f>
        <v>171546.075791284</v>
      </c>
      <c r="AF316" s="6" t="n">
        <f aca="false">V316*(1+L316)</f>
        <v>124300.486415086</v>
      </c>
      <c r="AG316" s="6" t="n">
        <f aca="false">MIN(M316:V316)</f>
        <v>121546.075791284</v>
      </c>
      <c r="AH316" s="19" t="n">
        <f aca="false">IF(AG316&gt;=0,1,0)</f>
        <v>1</v>
      </c>
    </row>
    <row r="317" customFormat="false" ht="15" hidden="false" customHeight="false" outlineLevel="0" collapsed="false">
      <c r="A317" s="0" t="n">
        <f aca="false">ROW()-1</f>
        <v>316</v>
      </c>
      <c r="B317" s="6" t="n">
        <f aca="false">Assumptions!$B$35</f>
        <v>441263.996662504</v>
      </c>
      <c r="C317" s="8" t="n">
        <f aca="true">NORMINV(RAND(),Assumptions!$B$14,Assumptions!$B$15)</f>
        <v>0.0455166993176091</v>
      </c>
      <c r="D317" s="8" t="n">
        <f aca="true">NORMINV(RAND(),Assumptions!$B$14,Assumptions!$B$15)</f>
        <v>0.0887932271468277</v>
      </c>
      <c r="E317" s="8" t="n">
        <f aca="true">NORMINV(RAND(),Assumptions!$B$14,Assumptions!$B$15)</f>
        <v>0.0224035705317486</v>
      </c>
      <c r="F317" s="8" t="n">
        <f aca="true">NORMINV(RAND(),Assumptions!$B$14,Assumptions!$B$15)</f>
        <v>0.0831756316946349</v>
      </c>
      <c r="G317" s="8" t="n">
        <f aca="true">NORMINV(RAND(),Assumptions!$B$14,Assumptions!$B$15)</f>
        <v>0.102838751538432</v>
      </c>
      <c r="H317" s="8" t="n">
        <f aca="true">NORMINV(RAND(),Assumptions!$B$14,Assumptions!$B$15)</f>
        <v>0.0562598181277931</v>
      </c>
      <c r="I317" s="8" t="n">
        <f aca="true">NORMINV(RAND(),Assumptions!$B$14,Assumptions!$B$15)</f>
        <v>0.0401469800520437</v>
      </c>
      <c r="J317" s="8" t="n">
        <f aca="true">NORMINV(RAND(),Assumptions!$B$14,Assumptions!$B$15)</f>
        <v>0.0540057030265147</v>
      </c>
      <c r="K317" s="8" t="n">
        <f aca="true">NORMINV(RAND(),Assumptions!$B$14,Assumptions!$B$15)</f>
        <v>0.0317488800192427</v>
      </c>
      <c r="L317" s="8" t="n">
        <f aca="true">NORMINV(RAND(),Assumptions!$B$14,Assumptions!$B$15)</f>
        <v>0.0773282839005026</v>
      </c>
      <c r="M317" s="6" t="n">
        <f aca="false">B317-Assumptions!$B$29</f>
        <v>391263.996662504</v>
      </c>
      <c r="N317" s="6" t="n">
        <f aca="false">W317-Assumptions!$B$29</f>
        <v>359073.042352397</v>
      </c>
      <c r="O317" s="6" t="n">
        <f aca="false">X317-Assumptions!$B$29</f>
        <v>340956.296564296</v>
      </c>
      <c r="P317" s="6" t="n">
        <f aca="false">Y317-Assumptions!$B$29</f>
        <v>298594.935002618</v>
      </c>
      <c r="Q317" s="6" t="n">
        <f aca="false">Z317-Assumptions!$B$29</f>
        <v>273430.757342279</v>
      </c>
      <c r="R317" s="6" t="n">
        <f aca="false">AA317-Assumptions!$B$29</f>
        <v>251550.035059567</v>
      </c>
      <c r="S317" s="6" t="n">
        <f aca="false">AB317-Assumptions!$B$29</f>
        <v>215702.194282058</v>
      </c>
      <c r="T317" s="6" t="n">
        <f aca="false">AC317-Assumptions!$B$29</f>
        <v>174361.985973082</v>
      </c>
      <c r="U317" s="6" t="n">
        <f aca="false">AD317-Assumptions!$B$29</f>
        <v>133778.527606657</v>
      </c>
      <c r="V317" s="6" t="n">
        <f aca="false">AE317-Assumptions!$B$29</f>
        <v>88025.8460287918</v>
      </c>
      <c r="W317" s="6" t="n">
        <f aca="false">M317*(1+C317)</f>
        <v>409073.042352397</v>
      </c>
      <c r="X317" s="6" t="n">
        <f aca="false">N317*(1+D317)</f>
        <v>390956.296564296</v>
      </c>
      <c r="Y317" s="6" t="n">
        <f aca="false">O317*(1+E317)</f>
        <v>348594.935002618</v>
      </c>
      <c r="Z317" s="6" t="n">
        <f aca="false">P317*(1+F317)</f>
        <v>323430.757342279</v>
      </c>
      <c r="AA317" s="6" t="n">
        <f aca="false">Q317*(1+G317)</f>
        <v>301550.035059567</v>
      </c>
      <c r="AB317" s="6" t="n">
        <f aca="false">R317*(1+H317)</f>
        <v>265702.194282058</v>
      </c>
      <c r="AC317" s="6" t="n">
        <f aca="false">S317*(1+I317)</f>
        <v>224361.985973082</v>
      </c>
      <c r="AD317" s="6" t="n">
        <f aca="false">T317*(1+J317)</f>
        <v>183778.527606657</v>
      </c>
      <c r="AE317" s="6" t="n">
        <f aca="false">U317*(1+K317)</f>
        <v>138025.846028792</v>
      </c>
      <c r="AF317" s="6" t="n">
        <f aca="false">V317*(1+L317)</f>
        <v>94832.7336410882</v>
      </c>
      <c r="AG317" s="6" t="n">
        <f aca="false">MIN(M317:V317)</f>
        <v>88025.8460287918</v>
      </c>
      <c r="AH317" s="19" t="n">
        <f aca="false">IF(AG317&gt;=0,1,0)</f>
        <v>1</v>
      </c>
    </row>
    <row r="318" customFormat="false" ht="15" hidden="false" customHeight="false" outlineLevel="0" collapsed="false">
      <c r="A318" s="0" t="n">
        <f aca="false">ROW()-1</f>
        <v>317</v>
      </c>
      <c r="B318" s="6" t="n">
        <f aca="false">Assumptions!$B$35</f>
        <v>441263.996662504</v>
      </c>
      <c r="C318" s="8" t="n">
        <f aca="true">NORMINV(RAND(),Assumptions!$B$14,Assumptions!$B$15)</f>
        <v>-0.0297417699041693</v>
      </c>
      <c r="D318" s="8" t="n">
        <f aca="true">NORMINV(RAND(),Assumptions!$B$14,Assumptions!$B$15)</f>
        <v>0.0734167217168933</v>
      </c>
      <c r="E318" s="8" t="n">
        <f aca="true">NORMINV(RAND(),Assumptions!$B$14,Assumptions!$B$15)</f>
        <v>0.0262937338564384</v>
      </c>
      <c r="F318" s="8" t="n">
        <f aca="true">NORMINV(RAND(),Assumptions!$B$14,Assumptions!$B$15)</f>
        <v>0.0787361649343936</v>
      </c>
      <c r="G318" s="8" t="n">
        <f aca="true">NORMINV(RAND(),Assumptions!$B$14,Assumptions!$B$15)</f>
        <v>0.0653594870916189</v>
      </c>
      <c r="H318" s="8" t="n">
        <f aca="true">NORMINV(RAND(),Assumptions!$B$14,Assumptions!$B$15)</f>
        <v>0.0884374443057857</v>
      </c>
      <c r="I318" s="8" t="n">
        <f aca="true">NORMINV(RAND(),Assumptions!$B$14,Assumptions!$B$15)</f>
        <v>0.0837445030402844</v>
      </c>
      <c r="J318" s="8" t="n">
        <f aca="true">NORMINV(RAND(),Assumptions!$B$14,Assumptions!$B$15)</f>
        <v>0.029334509822924</v>
      </c>
      <c r="K318" s="8" t="n">
        <f aca="true">NORMINV(RAND(),Assumptions!$B$14,Assumptions!$B$15)</f>
        <v>0.0279095198404763</v>
      </c>
      <c r="L318" s="8" t="n">
        <f aca="true">NORMINV(RAND(),Assumptions!$B$14,Assumptions!$B$15)</f>
        <v>0.0927702005865736</v>
      </c>
      <c r="M318" s="6" t="n">
        <f aca="false">B318-Assumptions!$B$29</f>
        <v>391263.996662504</v>
      </c>
      <c r="N318" s="6" t="n">
        <f aca="false">W318-Assumptions!$B$29</f>
        <v>329627.112901982</v>
      </c>
      <c r="O318" s="6" t="n">
        <f aca="false">X318-Assumptions!$B$29</f>
        <v>303827.254920249</v>
      </c>
      <c r="P318" s="6" t="n">
        <f aca="false">Y318-Assumptions!$B$29</f>
        <v>261816.007899455</v>
      </c>
      <c r="Q318" s="6" t="n">
        <f aca="false">Z318-Assumptions!$B$29</f>
        <v>232430.396279891</v>
      </c>
      <c r="R318" s="6" t="n">
        <f aca="false">AA318-Assumptions!$B$29</f>
        <v>197621.927765246</v>
      </c>
      <c r="S318" s="6" t="n">
        <f aca="false">AB318-Assumptions!$B$29</f>
        <v>165099.105995587</v>
      </c>
      <c r="T318" s="6" t="n">
        <f aca="false">AC318-Assumptions!$B$29</f>
        <v>128925.248579583</v>
      </c>
      <c r="U318" s="6" t="n">
        <f aca="false">AD318-Assumptions!$B$29</f>
        <v>82707.2075504635</v>
      </c>
      <c r="V318" s="6" t="n">
        <f aca="false">AE318-Assumptions!$B$29</f>
        <v>35015.5260005435</v>
      </c>
      <c r="W318" s="6" t="n">
        <f aca="false">M318*(1+C318)</f>
        <v>379627.112901982</v>
      </c>
      <c r="X318" s="6" t="n">
        <f aca="false">N318*(1+D318)</f>
        <v>353827.254920249</v>
      </c>
      <c r="Y318" s="6" t="n">
        <f aca="false">O318*(1+E318)</f>
        <v>311816.007899455</v>
      </c>
      <c r="Z318" s="6" t="n">
        <f aca="false">P318*(1+F318)</f>
        <v>282430.396279891</v>
      </c>
      <c r="AA318" s="6" t="n">
        <f aca="false">Q318*(1+G318)</f>
        <v>247621.927765246</v>
      </c>
      <c r="AB318" s="6" t="n">
        <f aca="false">R318*(1+H318)</f>
        <v>215099.105995587</v>
      </c>
      <c r="AC318" s="6" t="n">
        <f aca="false">S318*(1+I318)</f>
        <v>178925.248579583</v>
      </c>
      <c r="AD318" s="6" t="n">
        <f aca="false">T318*(1+J318)</f>
        <v>132707.207550463</v>
      </c>
      <c r="AE318" s="6" t="n">
        <f aca="false">U318*(1+K318)</f>
        <v>85015.5260005435</v>
      </c>
      <c r="AF318" s="6" t="n">
        <f aca="false">V318*(1+L318)</f>
        <v>38263.9233712583</v>
      </c>
      <c r="AG318" s="6" t="n">
        <f aca="false">MIN(M318:V318)</f>
        <v>35015.5260005435</v>
      </c>
      <c r="AH318" s="19" t="n">
        <f aca="false">IF(AG318&gt;=0,1,0)</f>
        <v>1</v>
      </c>
    </row>
    <row r="319" customFormat="false" ht="15" hidden="false" customHeight="false" outlineLevel="0" collapsed="false">
      <c r="A319" s="0" t="n">
        <f aca="false">ROW()-1</f>
        <v>318</v>
      </c>
      <c r="B319" s="6" t="n">
        <f aca="false">Assumptions!$B$35</f>
        <v>441263.996662504</v>
      </c>
      <c r="C319" s="8" t="n">
        <f aca="true">NORMINV(RAND(),Assumptions!$B$14,Assumptions!$B$15)</f>
        <v>0.0483610720353686</v>
      </c>
      <c r="D319" s="8" t="n">
        <f aca="true">NORMINV(RAND(),Assumptions!$B$14,Assumptions!$B$15)</f>
        <v>0.0463406646002581</v>
      </c>
      <c r="E319" s="8" t="n">
        <f aca="true">NORMINV(RAND(),Assumptions!$B$14,Assumptions!$B$15)</f>
        <v>0.109976915609759</v>
      </c>
      <c r="F319" s="8" t="n">
        <f aca="true">NORMINV(RAND(),Assumptions!$B$14,Assumptions!$B$15)</f>
        <v>0.0415279997380316</v>
      </c>
      <c r="G319" s="8" t="n">
        <f aca="true">NORMINV(RAND(),Assumptions!$B$14,Assumptions!$B$15)</f>
        <v>0.066288221614859</v>
      </c>
      <c r="H319" s="8" t="n">
        <f aca="true">NORMINV(RAND(),Assumptions!$B$14,Assumptions!$B$15)</f>
        <v>0.0132273606356504</v>
      </c>
      <c r="I319" s="8" t="n">
        <f aca="true">NORMINV(RAND(),Assumptions!$B$14,Assumptions!$B$15)</f>
        <v>0.0641195955641382</v>
      </c>
      <c r="J319" s="8" t="n">
        <f aca="true">NORMINV(RAND(),Assumptions!$B$14,Assumptions!$B$15)</f>
        <v>0.0123935449125281</v>
      </c>
      <c r="K319" s="8" t="n">
        <f aca="true">NORMINV(RAND(),Assumptions!$B$14,Assumptions!$B$15)</f>
        <v>0.066079453018533</v>
      </c>
      <c r="L319" s="8" t="n">
        <f aca="true">NORMINV(RAND(),Assumptions!$B$14,Assumptions!$B$15)</f>
        <v>0.0224619867278737</v>
      </c>
      <c r="M319" s="6" t="n">
        <f aca="false">B319-Assumptions!$B$29</f>
        <v>391263.996662504</v>
      </c>
      <c r="N319" s="6" t="n">
        <f aca="false">W319-Assumptions!$B$29</f>
        <v>360185.942989945</v>
      </c>
      <c r="O319" s="6" t="n">
        <f aca="false">X319-Assumptions!$B$29</f>
        <v>326877.19896777</v>
      </c>
      <c r="P319" s="6" t="n">
        <f aca="false">Y319-Assumptions!$B$29</f>
        <v>312826.145093403</v>
      </c>
      <c r="Q319" s="6" t="n">
        <f aca="false">Z319-Assumptions!$B$29</f>
        <v>275817.189164891</v>
      </c>
      <c r="R319" s="6" t="n">
        <f aca="false">AA319-Assumptions!$B$29</f>
        <v>244100.620125441</v>
      </c>
      <c r="S319" s="6" t="n">
        <f aca="false">AB319-Assumptions!$B$29</f>
        <v>197329.427059226</v>
      </c>
      <c r="T319" s="6" t="n">
        <f aca="false">AC319-Assumptions!$B$29</f>
        <v>159982.110115166</v>
      </c>
      <c r="U319" s="6" t="n">
        <f aca="false">AD319-Assumptions!$B$29</f>
        <v>111964.85558208</v>
      </c>
      <c r="V319" s="6" t="n">
        <f aca="false">AE319-Assumptions!$B$29</f>
        <v>69363.4319962425</v>
      </c>
      <c r="W319" s="6" t="n">
        <f aca="false">M319*(1+C319)</f>
        <v>410185.942989945</v>
      </c>
      <c r="X319" s="6" t="n">
        <f aca="false">N319*(1+D319)</f>
        <v>376877.19896777</v>
      </c>
      <c r="Y319" s="6" t="n">
        <f aca="false">O319*(1+E319)</f>
        <v>362826.145093403</v>
      </c>
      <c r="Z319" s="6" t="n">
        <f aca="false">P319*(1+F319)</f>
        <v>325817.189164891</v>
      </c>
      <c r="AA319" s="6" t="n">
        <f aca="false">Q319*(1+G319)</f>
        <v>294100.620125441</v>
      </c>
      <c r="AB319" s="6" t="n">
        <f aca="false">R319*(1+H319)</f>
        <v>247329.427059226</v>
      </c>
      <c r="AC319" s="6" t="n">
        <f aca="false">S319*(1+I319)</f>
        <v>209982.110115166</v>
      </c>
      <c r="AD319" s="6" t="n">
        <f aca="false">T319*(1+J319)</f>
        <v>161964.85558208</v>
      </c>
      <c r="AE319" s="6" t="n">
        <f aca="false">U319*(1+K319)</f>
        <v>119363.431996243</v>
      </c>
      <c r="AF319" s="6" t="n">
        <f aca="false">V319*(1+L319)</f>
        <v>70921.4724851419</v>
      </c>
      <c r="AG319" s="6" t="n">
        <f aca="false">MIN(M319:V319)</f>
        <v>69363.4319962425</v>
      </c>
      <c r="AH319" s="19" t="n">
        <f aca="false">IF(AG319&gt;=0,1,0)</f>
        <v>1</v>
      </c>
    </row>
    <row r="320" customFormat="false" ht="15" hidden="false" customHeight="false" outlineLevel="0" collapsed="false">
      <c r="A320" s="0" t="n">
        <f aca="false">ROW()-1</f>
        <v>319</v>
      </c>
      <c r="B320" s="6" t="n">
        <f aca="false">Assumptions!$B$35</f>
        <v>441263.996662504</v>
      </c>
      <c r="C320" s="8" t="n">
        <f aca="true">NORMINV(RAND(),Assumptions!$B$14,Assumptions!$B$15)</f>
        <v>0.0560575180938705</v>
      </c>
      <c r="D320" s="8" t="n">
        <f aca="true">NORMINV(RAND(),Assumptions!$B$14,Assumptions!$B$15)</f>
        <v>0.0351336499920093</v>
      </c>
      <c r="E320" s="8" t="n">
        <f aca="true">NORMINV(RAND(),Assumptions!$B$14,Assumptions!$B$15)</f>
        <v>0.0239761192266793</v>
      </c>
      <c r="F320" s="8" t="n">
        <f aca="true">NORMINV(RAND(),Assumptions!$B$14,Assumptions!$B$15)</f>
        <v>0.0421420250242931</v>
      </c>
      <c r="G320" s="8" t="n">
        <f aca="true">NORMINV(RAND(),Assumptions!$B$14,Assumptions!$B$15)</f>
        <v>0.0565524172103167</v>
      </c>
      <c r="H320" s="8" t="n">
        <f aca="true">NORMINV(RAND(),Assumptions!$B$14,Assumptions!$B$15)</f>
        <v>-0.0145239462425881</v>
      </c>
      <c r="I320" s="8" t="n">
        <f aca="true">NORMINV(RAND(),Assumptions!$B$14,Assumptions!$B$15)</f>
        <v>0.0359737522767652</v>
      </c>
      <c r="J320" s="8" t="n">
        <f aca="true">NORMINV(RAND(),Assumptions!$B$14,Assumptions!$B$15)</f>
        <v>0.0531160651553888</v>
      </c>
      <c r="K320" s="8" t="n">
        <f aca="true">NORMINV(RAND(),Assumptions!$B$14,Assumptions!$B$15)</f>
        <v>0.0399967380372929</v>
      </c>
      <c r="L320" s="8" t="n">
        <f aca="true">NORMINV(RAND(),Assumptions!$B$14,Assumptions!$B$15)</f>
        <v>-0.0210299324007932</v>
      </c>
      <c r="M320" s="6" t="n">
        <f aca="false">B320-Assumptions!$B$29</f>
        <v>391263.996662504</v>
      </c>
      <c r="N320" s="6" t="n">
        <f aca="false">W320-Assumptions!$B$29</f>
        <v>363197.285234892</v>
      </c>
      <c r="O320" s="6" t="n">
        <f aca="false">X320-Assumptions!$B$29</f>
        <v>325957.731532383</v>
      </c>
      <c r="P320" s="6" t="n">
        <f aca="false">Y320-Assumptions!$B$29</f>
        <v>283772.932966461</v>
      </c>
      <c r="Q320" s="6" t="n">
        <f aca="false">Z320-Assumptions!$B$29</f>
        <v>245731.69900875</v>
      </c>
      <c r="R320" s="6" t="n">
        <f aca="false">AA320-Assumptions!$B$29</f>
        <v>209628.420572893</v>
      </c>
      <c r="S320" s="6" t="n">
        <f aca="false">AB320-Assumptions!$B$29</f>
        <v>156583.788661574</v>
      </c>
      <c r="T320" s="6" t="n">
        <f aca="false">AC320-Assumptions!$B$29</f>
        <v>112216.695085443</v>
      </c>
      <c r="U320" s="6" t="n">
        <f aca="false">AD320-Assumptions!$B$29</f>
        <v>68177.2043731235</v>
      </c>
      <c r="V320" s="6" t="n">
        <f aca="false">AE320-Assumptions!$B$29</f>
        <v>20904.0701565503</v>
      </c>
      <c r="W320" s="6" t="n">
        <f aca="false">M320*(1+C320)</f>
        <v>413197.285234892</v>
      </c>
      <c r="X320" s="6" t="n">
        <f aca="false">N320*(1+D320)</f>
        <v>375957.731532383</v>
      </c>
      <c r="Y320" s="6" t="n">
        <f aca="false">O320*(1+E320)</f>
        <v>333772.932966461</v>
      </c>
      <c r="Z320" s="6" t="n">
        <f aca="false">P320*(1+F320)</f>
        <v>295731.69900875</v>
      </c>
      <c r="AA320" s="6" t="n">
        <f aca="false">Q320*(1+G320)</f>
        <v>259628.420572893</v>
      </c>
      <c r="AB320" s="6" t="n">
        <f aca="false">R320*(1+H320)</f>
        <v>206583.788661574</v>
      </c>
      <c r="AC320" s="6" t="n">
        <f aca="false">S320*(1+I320)</f>
        <v>162216.695085443</v>
      </c>
      <c r="AD320" s="6" t="n">
        <f aca="false">T320*(1+J320)</f>
        <v>118177.204373123</v>
      </c>
      <c r="AE320" s="6" t="n">
        <f aca="false">U320*(1+K320)</f>
        <v>70904.0701565503</v>
      </c>
      <c r="AF320" s="6" t="n">
        <f aca="false">V320*(1+L320)</f>
        <v>20464.4589742566</v>
      </c>
      <c r="AG320" s="6" t="n">
        <f aca="false">MIN(M320:V320)</f>
        <v>20904.0701565503</v>
      </c>
      <c r="AH320" s="19" t="n">
        <f aca="false">IF(AG320&gt;=0,1,0)</f>
        <v>1</v>
      </c>
    </row>
    <row r="321" customFormat="false" ht="15" hidden="false" customHeight="false" outlineLevel="0" collapsed="false">
      <c r="A321" s="0" t="n">
        <f aca="false">ROW()-1</f>
        <v>320</v>
      </c>
      <c r="B321" s="6" t="n">
        <f aca="false">Assumptions!$B$35</f>
        <v>441263.996662504</v>
      </c>
      <c r="C321" s="8" t="n">
        <f aca="true">NORMINV(RAND(),Assumptions!$B$14,Assumptions!$B$15)</f>
        <v>-0.00364699761278572</v>
      </c>
      <c r="D321" s="8" t="n">
        <f aca="true">NORMINV(RAND(),Assumptions!$B$14,Assumptions!$B$15)</f>
        <v>0.0191024416351611</v>
      </c>
      <c r="E321" s="8" t="n">
        <f aca="true">NORMINV(RAND(),Assumptions!$B$14,Assumptions!$B$15)</f>
        <v>0.0991552221857437</v>
      </c>
      <c r="F321" s="8" t="n">
        <f aca="true">NORMINV(RAND(),Assumptions!$B$14,Assumptions!$B$15)</f>
        <v>0.00703243767909594</v>
      </c>
      <c r="G321" s="8" t="n">
        <f aca="true">NORMINV(RAND(),Assumptions!$B$14,Assumptions!$B$15)</f>
        <v>0.0910096532836643</v>
      </c>
      <c r="H321" s="8" t="n">
        <f aca="true">NORMINV(RAND(),Assumptions!$B$14,Assumptions!$B$15)</f>
        <v>0.0512558194432745</v>
      </c>
      <c r="I321" s="8" t="n">
        <f aca="true">NORMINV(RAND(),Assumptions!$B$14,Assumptions!$B$15)</f>
        <v>0.0831952072661733</v>
      </c>
      <c r="J321" s="8" t="n">
        <f aca="true">NORMINV(RAND(),Assumptions!$B$14,Assumptions!$B$15)</f>
        <v>0.0563649533772919</v>
      </c>
      <c r="K321" s="8" t="n">
        <f aca="true">NORMINV(RAND(),Assumptions!$B$14,Assumptions!$B$15)</f>
        <v>0.0602962875057382</v>
      </c>
      <c r="L321" s="8" t="n">
        <f aca="true">NORMINV(RAND(),Assumptions!$B$14,Assumptions!$B$15)</f>
        <v>0.0146681212830576</v>
      </c>
      <c r="M321" s="6" t="n">
        <f aca="false">B321-Assumptions!$B$29</f>
        <v>391263.996662504</v>
      </c>
      <c r="N321" s="6" t="n">
        <f aca="false">W321-Assumptions!$B$29</f>
        <v>339837.057800706</v>
      </c>
      <c r="O321" s="6" t="n">
        <f aca="false">X321-Assumptions!$B$29</f>
        <v>296328.775362809</v>
      </c>
      <c r="P321" s="6" t="n">
        <f aca="false">Y321-Assumptions!$B$29</f>
        <v>275711.320923938</v>
      </c>
      <c r="Q321" s="6" t="n">
        <f aca="false">Z321-Assumptions!$B$29</f>
        <v>227650.243605757</v>
      </c>
      <c r="R321" s="6" t="n">
        <f aca="false">AA321-Assumptions!$B$29</f>
        <v>198368.613346258</v>
      </c>
      <c r="S321" s="6" t="n">
        <f aca="false">AB321-Assumptions!$B$29</f>
        <v>158536.159175147</v>
      </c>
      <c r="T321" s="6" t="n">
        <f aca="false">AC321-Assumptions!$B$29</f>
        <v>121725.607796906</v>
      </c>
      <c r="U321" s="6" t="n">
        <f aca="false">AD321-Assumptions!$B$29</f>
        <v>78586.6660052014</v>
      </c>
      <c r="V321" s="6" t="n">
        <f aca="false">AE321-Assumptions!$B$29</f>
        <v>33325.1502127684</v>
      </c>
      <c r="W321" s="6" t="n">
        <f aca="false">M321*(1+C321)</f>
        <v>389837.057800706</v>
      </c>
      <c r="X321" s="6" t="n">
        <f aca="false">N321*(1+D321)</f>
        <v>346328.775362809</v>
      </c>
      <c r="Y321" s="6" t="n">
        <f aca="false">O321*(1+E321)</f>
        <v>325711.320923938</v>
      </c>
      <c r="Z321" s="6" t="n">
        <f aca="false">P321*(1+F321)</f>
        <v>277650.243605757</v>
      </c>
      <c r="AA321" s="6" t="n">
        <f aca="false">Q321*(1+G321)</f>
        <v>248368.613346258</v>
      </c>
      <c r="AB321" s="6" t="n">
        <f aca="false">R321*(1+H321)</f>
        <v>208536.159175147</v>
      </c>
      <c r="AC321" s="6" t="n">
        <f aca="false">S321*(1+I321)</f>
        <v>171725.607796906</v>
      </c>
      <c r="AD321" s="6" t="n">
        <f aca="false">T321*(1+J321)</f>
        <v>128586.666005201</v>
      </c>
      <c r="AE321" s="6" t="n">
        <f aca="false">U321*(1+K321)</f>
        <v>83325.1502127684</v>
      </c>
      <c r="AF321" s="6" t="n">
        <f aca="false">V321*(1+L321)</f>
        <v>33813.9675578654</v>
      </c>
      <c r="AG321" s="6" t="n">
        <f aca="false">MIN(M321:V321)</f>
        <v>33325.1502127684</v>
      </c>
      <c r="AH321" s="19" t="n">
        <f aca="false">IF(AG321&gt;=0,1,0)</f>
        <v>1</v>
      </c>
    </row>
    <row r="322" customFormat="false" ht="15" hidden="false" customHeight="false" outlineLevel="0" collapsed="false">
      <c r="A322" s="0" t="n">
        <f aca="false">ROW()-1</f>
        <v>321</v>
      </c>
      <c r="B322" s="6" t="n">
        <f aca="false">Assumptions!$B$35</f>
        <v>441263.996662504</v>
      </c>
      <c r="C322" s="8" t="n">
        <f aca="true">NORMINV(RAND(),Assumptions!$B$14,Assumptions!$B$15)</f>
        <v>0.0283937488718518</v>
      </c>
      <c r="D322" s="8" t="n">
        <f aca="true">NORMINV(RAND(),Assumptions!$B$14,Assumptions!$B$15)</f>
        <v>0.0447192199859456</v>
      </c>
      <c r="E322" s="8" t="n">
        <f aca="true">NORMINV(RAND(),Assumptions!$B$14,Assumptions!$B$15)</f>
        <v>0.078686705292298</v>
      </c>
      <c r="F322" s="8" t="n">
        <f aca="true">NORMINV(RAND(),Assumptions!$B$14,Assumptions!$B$15)</f>
        <v>0.0382655184456195</v>
      </c>
      <c r="G322" s="8" t="n">
        <f aca="true">NORMINV(RAND(),Assumptions!$B$14,Assumptions!$B$15)</f>
        <v>0.0675832936672779</v>
      </c>
      <c r="H322" s="8" t="n">
        <f aca="true">NORMINV(RAND(),Assumptions!$B$14,Assumptions!$B$15)</f>
        <v>0.0324649744714295</v>
      </c>
      <c r="I322" s="8" t="n">
        <f aca="true">NORMINV(RAND(),Assumptions!$B$14,Assumptions!$B$15)</f>
        <v>0.0661076135308032</v>
      </c>
      <c r="J322" s="8" t="n">
        <f aca="true">NORMINV(RAND(),Assumptions!$B$14,Assumptions!$B$15)</f>
        <v>0.0824239207778827</v>
      </c>
      <c r="K322" s="8" t="n">
        <f aca="true">NORMINV(RAND(),Assumptions!$B$14,Assumptions!$B$15)</f>
        <v>0.0203446723013242</v>
      </c>
      <c r="L322" s="8" t="n">
        <f aca="true">NORMINV(RAND(),Assumptions!$B$14,Assumptions!$B$15)</f>
        <v>0.0635719056048406</v>
      </c>
      <c r="M322" s="6" t="n">
        <f aca="false">B322-Assumptions!$B$29</f>
        <v>391263.996662504</v>
      </c>
      <c r="N322" s="6" t="n">
        <f aca="false">W322-Assumptions!$B$29</f>
        <v>352373.448326336</v>
      </c>
      <c r="O322" s="6" t="n">
        <f aca="false">X322-Assumptions!$B$29</f>
        <v>318131.314079247</v>
      </c>
      <c r="P322" s="6" t="n">
        <f aca="false">Y322-Assumptions!$B$29</f>
        <v>293164.019034453</v>
      </c>
      <c r="Q322" s="6" t="n">
        <f aca="false">Z322-Assumptions!$B$29</f>
        <v>254382.092212407</v>
      </c>
      <c r="R322" s="6" t="n">
        <f aca="false">AA322-Assumptions!$B$29</f>
        <v>221574.071854095</v>
      </c>
      <c r="S322" s="6" t="n">
        <f aca="false">AB322-Assumptions!$B$29</f>
        <v>178767.468440369</v>
      </c>
      <c r="T322" s="6" t="n">
        <f aca="false">AC322-Assumptions!$B$29</f>
        <v>140585.359155905</v>
      </c>
      <c r="U322" s="6" t="n">
        <f aca="false">AD322-Assumptions!$B$29</f>
        <v>102172.955661501</v>
      </c>
      <c r="V322" s="6" t="n">
        <f aca="false">AE322-Assumptions!$B$29</f>
        <v>54251.6309624924</v>
      </c>
      <c r="W322" s="6" t="n">
        <f aca="false">M322*(1+C322)</f>
        <v>402373.448326336</v>
      </c>
      <c r="X322" s="6" t="n">
        <f aca="false">N322*(1+D322)</f>
        <v>368131.314079247</v>
      </c>
      <c r="Y322" s="6" t="n">
        <f aca="false">O322*(1+E322)</f>
        <v>343164.019034453</v>
      </c>
      <c r="Z322" s="6" t="n">
        <f aca="false">P322*(1+F322)</f>
        <v>304382.092212407</v>
      </c>
      <c r="AA322" s="6" t="n">
        <f aca="false">Q322*(1+G322)</f>
        <v>271574.071854095</v>
      </c>
      <c r="AB322" s="6" t="n">
        <f aca="false">R322*(1+H322)</f>
        <v>228767.468440369</v>
      </c>
      <c r="AC322" s="6" t="n">
        <f aca="false">S322*(1+I322)</f>
        <v>190585.359155905</v>
      </c>
      <c r="AD322" s="6" t="n">
        <f aca="false">T322*(1+J322)</f>
        <v>152172.955661501</v>
      </c>
      <c r="AE322" s="6" t="n">
        <f aca="false">U322*(1+K322)</f>
        <v>104251.630962492</v>
      </c>
      <c r="AF322" s="6" t="n">
        <f aca="false">V322*(1+L322)</f>
        <v>57700.5105249486</v>
      </c>
      <c r="AG322" s="6" t="n">
        <f aca="false">MIN(M322:V322)</f>
        <v>54251.6309624924</v>
      </c>
      <c r="AH322" s="19" t="n">
        <f aca="false">IF(AG322&gt;=0,1,0)</f>
        <v>1</v>
      </c>
    </row>
    <row r="323" customFormat="false" ht="15" hidden="false" customHeight="false" outlineLevel="0" collapsed="false">
      <c r="A323" s="0" t="n">
        <f aca="false">ROW()-1</f>
        <v>322</v>
      </c>
      <c r="B323" s="6" t="n">
        <f aca="false">Assumptions!$B$35</f>
        <v>441263.996662504</v>
      </c>
      <c r="C323" s="8" t="n">
        <f aca="true">NORMINV(RAND(),Assumptions!$B$14,Assumptions!$B$15)</f>
        <v>0.0363133611410684</v>
      </c>
      <c r="D323" s="8" t="n">
        <f aca="true">NORMINV(RAND(),Assumptions!$B$14,Assumptions!$B$15)</f>
        <v>0.015651853305263</v>
      </c>
      <c r="E323" s="8" t="n">
        <f aca="true">NORMINV(RAND(),Assumptions!$B$14,Assumptions!$B$15)</f>
        <v>0.0905493033729694</v>
      </c>
      <c r="F323" s="8" t="n">
        <f aca="true">NORMINV(RAND(),Assumptions!$B$14,Assumptions!$B$15)</f>
        <v>0.0846716361141214</v>
      </c>
      <c r="G323" s="8" t="n">
        <f aca="true">NORMINV(RAND(),Assumptions!$B$14,Assumptions!$B$15)</f>
        <v>0.0268308434103048</v>
      </c>
      <c r="H323" s="8" t="n">
        <f aca="true">NORMINV(RAND(),Assumptions!$B$14,Assumptions!$B$15)</f>
        <v>0.0520999835450618</v>
      </c>
      <c r="I323" s="8" t="n">
        <f aca="true">NORMINV(RAND(),Assumptions!$B$14,Assumptions!$B$15)</f>
        <v>0.05255287288673</v>
      </c>
      <c r="J323" s="8" t="n">
        <f aca="true">NORMINV(RAND(),Assumptions!$B$14,Assumptions!$B$15)</f>
        <v>0.0921313164806032</v>
      </c>
      <c r="K323" s="8" t="n">
        <f aca="true">NORMINV(RAND(),Assumptions!$B$14,Assumptions!$B$15)</f>
        <v>0.0283604370922077</v>
      </c>
      <c r="L323" s="8" t="n">
        <f aca="true">NORMINV(RAND(),Assumptions!$B$14,Assumptions!$B$15)</f>
        <v>0.0685606644999325</v>
      </c>
      <c r="M323" s="6" t="n">
        <f aca="false">B323-Assumptions!$B$29</f>
        <v>391263.996662504</v>
      </c>
      <c r="N323" s="6" t="n">
        <f aca="false">W323-Assumptions!$B$29</f>
        <v>355472.107474807</v>
      </c>
      <c r="O323" s="6" t="n">
        <f aca="false">X323-Assumptions!$B$29</f>
        <v>311035.904755115</v>
      </c>
      <c r="P323" s="6" t="n">
        <f aca="false">Y323-Assumptions!$B$29</f>
        <v>289199.989254672</v>
      </c>
      <c r="Q323" s="6" t="n">
        <f aca="false">Z323-Assumptions!$B$29</f>
        <v>263687.025509051</v>
      </c>
      <c r="R323" s="6" t="n">
        <f aca="false">AA323-Assumptions!$B$29</f>
        <v>220761.970799814</v>
      </c>
      <c r="S323" s="6" t="n">
        <f aca="false">AB323-Assumptions!$B$29</f>
        <v>182263.66584586</v>
      </c>
      <c r="T323" s="6" t="n">
        <f aca="false">AC323-Assumptions!$B$29</f>
        <v>141842.145108926</v>
      </c>
      <c r="U323" s="6" t="n">
        <f aca="false">AD323-Assumptions!$B$29</f>
        <v>104910.248670245</v>
      </c>
      <c r="V323" s="6" t="n">
        <f aca="false">AE323-Assumptions!$B$29</f>
        <v>57885.5491779849</v>
      </c>
      <c r="W323" s="6" t="n">
        <f aca="false">M323*(1+C323)</f>
        <v>405472.107474807</v>
      </c>
      <c r="X323" s="6" t="n">
        <f aca="false">N323*(1+D323)</f>
        <v>361035.904755115</v>
      </c>
      <c r="Y323" s="6" t="n">
        <f aca="false">O323*(1+E323)</f>
        <v>339199.989254672</v>
      </c>
      <c r="Z323" s="6" t="n">
        <f aca="false">P323*(1+F323)</f>
        <v>313687.025509051</v>
      </c>
      <c r="AA323" s="6" t="n">
        <f aca="false">Q323*(1+G323)</f>
        <v>270761.970799814</v>
      </c>
      <c r="AB323" s="6" t="n">
        <f aca="false">R323*(1+H323)</f>
        <v>232263.66584586</v>
      </c>
      <c r="AC323" s="6" t="n">
        <f aca="false">S323*(1+I323)</f>
        <v>191842.145108926</v>
      </c>
      <c r="AD323" s="6" t="n">
        <f aca="false">T323*(1+J323)</f>
        <v>154910.248670245</v>
      </c>
      <c r="AE323" s="6" t="n">
        <f aca="false">U323*(1+K323)</f>
        <v>107885.549177985</v>
      </c>
      <c r="AF323" s="6" t="n">
        <f aca="false">V323*(1+L323)</f>
        <v>61854.220894571</v>
      </c>
      <c r="AG323" s="6" t="n">
        <f aca="false">MIN(M323:V323)</f>
        <v>57885.5491779849</v>
      </c>
      <c r="AH323" s="19" t="n">
        <f aca="false">IF(AG323&gt;=0,1,0)</f>
        <v>1</v>
      </c>
    </row>
    <row r="324" customFormat="false" ht="15" hidden="false" customHeight="false" outlineLevel="0" collapsed="false">
      <c r="A324" s="0" t="n">
        <f aca="false">ROW()-1</f>
        <v>323</v>
      </c>
      <c r="B324" s="6" t="n">
        <f aca="false">Assumptions!$B$35</f>
        <v>441263.996662504</v>
      </c>
      <c r="C324" s="8" t="n">
        <f aca="true">NORMINV(RAND(),Assumptions!$B$14,Assumptions!$B$15)</f>
        <v>0.0170181797144373</v>
      </c>
      <c r="D324" s="8" t="n">
        <f aca="true">NORMINV(RAND(),Assumptions!$B$14,Assumptions!$B$15)</f>
        <v>0.0445673256904952</v>
      </c>
      <c r="E324" s="8" t="n">
        <f aca="true">NORMINV(RAND(),Assumptions!$B$14,Assumptions!$B$15)</f>
        <v>0.125404266393504</v>
      </c>
      <c r="F324" s="8" t="n">
        <f aca="true">NORMINV(RAND(),Assumptions!$B$14,Assumptions!$B$15)</f>
        <v>0.0239171117911275</v>
      </c>
      <c r="G324" s="8" t="n">
        <f aca="true">NORMINV(RAND(),Assumptions!$B$14,Assumptions!$B$15)</f>
        <v>0.0407955801038038</v>
      </c>
      <c r="H324" s="8" t="n">
        <f aca="true">NORMINV(RAND(),Assumptions!$B$14,Assumptions!$B$15)</f>
        <v>0.0569542116928142</v>
      </c>
      <c r="I324" s="8" t="n">
        <f aca="true">NORMINV(RAND(),Assumptions!$B$14,Assumptions!$B$15)</f>
        <v>0.0941060359083729</v>
      </c>
      <c r="J324" s="8" t="n">
        <f aca="true">NORMINV(RAND(),Assumptions!$B$14,Assumptions!$B$15)</f>
        <v>0.0974691493034779</v>
      </c>
      <c r="K324" s="8" t="n">
        <f aca="true">NORMINV(RAND(),Assumptions!$B$14,Assumptions!$B$15)</f>
        <v>0.080383102081661</v>
      </c>
      <c r="L324" s="8" t="n">
        <f aca="true">NORMINV(RAND(),Assumptions!$B$14,Assumptions!$B$15)</f>
        <v>0.0351244213929293</v>
      </c>
      <c r="M324" s="6" t="n">
        <f aca="false">B324-Assumptions!$B$29</f>
        <v>391263.996662504</v>
      </c>
      <c r="N324" s="6" t="n">
        <f aca="false">W324-Assumptions!$B$29</f>
        <v>347922.597673495</v>
      </c>
      <c r="O324" s="6" t="n">
        <f aca="false">X324-Assumptions!$B$29</f>
        <v>313428.577399093</v>
      </c>
      <c r="P324" s="6" t="n">
        <f aca="false">Y324-Assumptions!$B$29</f>
        <v>302733.858214585</v>
      </c>
      <c r="Q324" s="6" t="n">
        <f aca="false">Z324-Assumptions!$B$29</f>
        <v>259974.377744463</v>
      </c>
      <c r="R324" s="6" t="n">
        <f aca="false">AA324-Assumptions!$B$29</f>
        <v>220580.183296674</v>
      </c>
      <c r="S324" s="6" t="n">
        <f aca="false">AB324-Assumptions!$B$29</f>
        <v>183143.153751392</v>
      </c>
      <c r="T324" s="6" t="n">
        <f aca="false">AC324-Assumptions!$B$29</f>
        <v>150378.029954693</v>
      </c>
      <c r="U324" s="6" t="n">
        <f aca="false">AD324-Assumptions!$B$29</f>
        <v>115035.24860831</v>
      </c>
      <c r="V324" s="6" t="n">
        <f aca="false">AE324-Assumptions!$B$29</f>
        <v>74282.1387401814</v>
      </c>
      <c r="W324" s="6" t="n">
        <f aca="false">M324*(1+C324)</f>
        <v>397922.597673495</v>
      </c>
      <c r="X324" s="6" t="n">
        <f aca="false">N324*(1+D324)</f>
        <v>363428.577399093</v>
      </c>
      <c r="Y324" s="6" t="n">
        <f aca="false">O324*(1+E324)</f>
        <v>352733.858214585</v>
      </c>
      <c r="Z324" s="6" t="n">
        <f aca="false">P324*(1+F324)</f>
        <v>309974.377744463</v>
      </c>
      <c r="AA324" s="6" t="n">
        <f aca="false">Q324*(1+G324)</f>
        <v>270580.183296674</v>
      </c>
      <c r="AB324" s="6" t="n">
        <f aca="false">R324*(1+H324)</f>
        <v>233143.153751392</v>
      </c>
      <c r="AC324" s="6" t="n">
        <f aca="false">S324*(1+I324)</f>
        <v>200378.029954693</v>
      </c>
      <c r="AD324" s="6" t="n">
        <f aca="false">T324*(1+J324)</f>
        <v>165035.24860831</v>
      </c>
      <c r="AE324" s="6" t="n">
        <f aca="false">U324*(1+K324)</f>
        <v>124282.138740181</v>
      </c>
      <c r="AF324" s="6" t="n">
        <f aca="false">V324*(1+L324)</f>
        <v>76891.2558832596</v>
      </c>
      <c r="AG324" s="6" t="n">
        <f aca="false">MIN(M324:V324)</f>
        <v>74282.1387401814</v>
      </c>
      <c r="AH324" s="19" t="n">
        <f aca="false">IF(AG324&gt;=0,1,0)</f>
        <v>1</v>
      </c>
    </row>
    <row r="325" customFormat="false" ht="15" hidden="false" customHeight="false" outlineLevel="0" collapsed="false">
      <c r="A325" s="0" t="n">
        <f aca="false">ROW()-1</f>
        <v>324</v>
      </c>
      <c r="B325" s="6" t="n">
        <f aca="false">Assumptions!$B$35</f>
        <v>441263.996662504</v>
      </c>
      <c r="C325" s="8" t="n">
        <f aca="true">NORMINV(RAND(),Assumptions!$B$14,Assumptions!$B$15)</f>
        <v>0.0355809967814978</v>
      </c>
      <c r="D325" s="8" t="n">
        <f aca="true">NORMINV(RAND(),Assumptions!$B$14,Assumptions!$B$15)</f>
        <v>-0.00308127127474708</v>
      </c>
      <c r="E325" s="8" t="n">
        <f aca="true">NORMINV(RAND(),Assumptions!$B$14,Assumptions!$B$15)</f>
        <v>0.0763305016143655</v>
      </c>
      <c r="F325" s="8" t="n">
        <f aca="true">NORMINV(RAND(),Assumptions!$B$14,Assumptions!$B$15)</f>
        <v>0.086773953339082</v>
      </c>
      <c r="G325" s="8" t="n">
        <f aca="true">NORMINV(RAND(),Assumptions!$B$14,Assumptions!$B$15)</f>
        <v>0.01117984686638</v>
      </c>
      <c r="H325" s="8" t="n">
        <f aca="true">NORMINV(RAND(),Assumptions!$B$14,Assumptions!$B$15)</f>
        <v>-0.0237722986595979</v>
      </c>
      <c r="I325" s="8" t="n">
        <f aca="true">NORMINV(RAND(),Assumptions!$B$14,Assumptions!$B$15)</f>
        <v>0.0717782734983005</v>
      </c>
      <c r="J325" s="8" t="n">
        <f aca="true">NORMINV(RAND(),Assumptions!$B$14,Assumptions!$B$15)</f>
        <v>0.063289328139194</v>
      </c>
      <c r="K325" s="8" t="n">
        <f aca="true">NORMINV(RAND(),Assumptions!$B$14,Assumptions!$B$15)</f>
        <v>0.105306092870075</v>
      </c>
      <c r="L325" s="8" t="n">
        <f aca="true">NORMINV(RAND(),Assumptions!$B$14,Assumptions!$B$15)</f>
        <v>0.0760758917772585</v>
      </c>
      <c r="M325" s="6" t="n">
        <f aca="false">B325-Assumptions!$B$29</f>
        <v>391263.996662504</v>
      </c>
      <c r="N325" s="6" t="n">
        <f aca="false">W325-Assumptions!$B$29</f>
        <v>355185.559668468</v>
      </c>
      <c r="O325" s="6" t="n">
        <f aca="false">X325-Assumptions!$B$29</f>
        <v>304091.136606257</v>
      </c>
      <c r="P325" s="6" t="n">
        <f aca="false">Y325-Assumptions!$B$29</f>
        <v>277302.565599895</v>
      </c>
      <c r="Q325" s="6" t="n">
        <f aca="false">Z325-Assumptions!$B$29</f>
        <v>251365.205488068</v>
      </c>
      <c r="R325" s="6" t="n">
        <f aca="false">AA325-Assumptions!$B$29</f>
        <v>204175.42999296</v>
      </c>
      <c r="S325" s="6" t="n">
        <f aca="false">AB325-Assumptions!$B$29</f>
        <v>149321.710692216</v>
      </c>
      <c r="T325" s="6" t="n">
        <f aca="false">AC325-Assumptions!$B$29</f>
        <v>110039.765281516</v>
      </c>
      <c r="U325" s="6" t="n">
        <f aca="false">AD325-Assumptions!$B$29</f>
        <v>67004.1080947777</v>
      </c>
      <c r="V325" s="6" t="n">
        <f aca="false">AE325-Assumptions!$B$29</f>
        <v>24060.0489244829</v>
      </c>
      <c r="W325" s="6" t="n">
        <f aca="false">M325*(1+C325)</f>
        <v>405185.559668468</v>
      </c>
      <c r="X325" s="6" t="n">
        <f aca="false">N325*(1+D325)</f>
        <v>354091.136606257</v>
      </c>
      <c r="Y325" s="6" t="n">
        <f aca="false">O325*(1+E325)</f>
        <v>327302.565599895</v>
      </c>
      <c r="Z325" s="6" t="n">
        <f aca="false">P325*(1+F325)</f>
        <v>301365.205488068</v>
      </c>
      <c r="AA325" s="6" t="n">
        <f aca="false">Q325*(1+G325)</f>
        <v>254175.42999296</v>
      </c>
      <c r="AB325" s="6" t="n">
        <f aca="false">R325*(1+H325)</f>
        <v>199321.710692216</v>
      </c>
      <c r="AC325" s="6" t="n">
        <f aca="false">S325*(1+I325)</f>
        <v>160039.765281516</v>
      </c>
      <c r="AD325" s="6" t="n">
        <f aca="false">T325*(1+J325)</f>
        <v>117004.108094778</v>
      </c>
      <c r="AE325" s="6" t="n">
        <f aca="false">U325*(1+K325)</f>
        <v>74060.0489244829</v>
      </c>
      <c r="AF325" s="6" t="n">
        <f aca="false">V325*(1+L325)</f>
        <v>25890.4386026174</v>
      </c>
      <c r="AG325" s="6" t="n">
        <f aca="false">MIN(M325:V325)</f>
        <v>24060.0489244829</v>
      </c>
      <c r="AH325" s="19" t="n">
        <f aca="false">IF(AG325&gt;=0,1,0)</f>
        <v>1</v>
      </c>
    </row>
    <row r="326" customFormat="false" ht="15" hidden="false" customHeight="false" outlineLevel="0" collapsed="false">
      <c r="A326" s="0" t="n">
        <f aca="false">ROW()-1</f>
        <v>325</v>
      </c>
      <c r="B326" s="6" t="n">
        <f aca="false">Assumptions!$B$35</f>
        <v>441263.996662504</v>
      </c>
      <c r="C326" s="8" t="n">
        <f aca="true">NORMINV(RAND(),Assumptions!$B$14,Assumptions!$B$15)</f>
        <v>0.093825946590704</v>
      </c>
      <c r="D326" s="8" t="n">
        <f aca="true">NORMINV(RAND(),Assumptions!$B$14,Assumptions!$B$15)</f>
        <v>0.030167727378342</v>
      </c>
      <c r="E326" s="8" t="n">
        <f aca="true">NORMINV(RAND(),Assumptions!$B$14,Assumptions!$B$15)</f>
        <v>0.0308789818708205</v>
      </c>
      <c r="F326" s="8" t="n">
        <f aca="true">NORMINV(RAND(),Assumptions!$B$14,Assumptions!$B$15)</f>
        <v>0.0595021009909451</v>
      </c>
      <c r="G326" s="8" t="n">
        <f aca="true">NORMINV(RAND(),Assumptions!$B$14,Assumptions!$B$15)</f>
        <v>0.0315307716679596</v>
      </c>
      <c r="H326" s="8" t="n">
        <f aca="true">NORMINV(RAND(),Assumptions!$B$14,Assumptions!$B$15)</f>
        <v>0.0136807223403699</v>
      </c>
      <c r="I326" s="8" t="n">
        <f aca="true">NORMINV(RAND(),Assumptions!$B$14,Assumptions!$B$15)</f>
        <v>0.0569883890084307</v>
      </c>
      <c r="J326" s="8" t="n">
        <f aca="true">NORMINV(RAND(),Assumptions!$B$14,Assumptions!$B$15)</f>
        <v>0.050387747039124</v>
      </c>
      <c r="K326" s="8" t="n">
        <f aca="true">NORMINV(RAND(),Assumptions!$B$14,Assumptions!$B$15)</f>
        <v>0.00966503687656142</v>
      </c>
      <c r="L326" s="8" t="n">
        <f aca="true">NORMINV(RAND(),Assumptions!$B$14,Assumptions!$B$15)</f>
        <v>0.0553084827568501</v>
      </c>
      <c r="M326" s="6" t="n">
        <f aca="false">B326-Assumptions!$B$29</f>
        <v>391263.996662504</v>
      </c>
      <c r="N326" s="6" t="n">
        <f aca="false">W326-Assumptions!$B$29</f>
        <v>377974.711516225</v>
      </c>
      <c r="O326" s="6" t="n">
        <f aca="false">X326-Assumptions!$B$29</f>
        <v>339377.349569154</v>
      </c>
      <c r="P326" s="6" t="n">
        <f aca="false">Y326-Assumptions!$B$29</f>
        <v>299856.976593867</v>
      </c>
      <c r="Q326" s="6" t="n">
        <f aca="false">Z326-Assumptions!$B$29</f>
        <v>267699.096697995</v>
      </c>
      <c r="R326" s="6" t="n">
        <f aca="false">AA326-Assumptions!$B$29</f>
        <v>226139.855791698</v>
      </c>
      <c r="S326" s="6" t="n">
        <f aca="false">AB326-Assumptions!$B$29</f>
        <v>179233.612368876</v>
      </c>
      <c r="T326" s="6" t="n">
        <f aca="false">AC326-Assumptions!$B$29</f>
        <v>139447.847193939</v>
      </c>
      <c r="U326" s="6" t="n">
        <f aca="false">AD326-Assumptions!$B$29</f>
        <v>96474.310043498</v>
      </c>
      <c r="V326" s="6" t="n">
        <f aca="false">AE326-Assumptions!$B$29</f>
        <v>47406.7378077093</v>
      </c>
      <c r="W326" s="6" t="n">
        <f aca="false">M326*(1+C326)</f>
        <v>427974.711516225</v>
      </c>
      <c r="X326" s="6" t="n">
        <f aca="false">N326*(1+D326)</f>
        <v>389377.349569154</v>
      </c>
      <c r="Y326" s="6" t="n">
        <f aca="false">O326*(1+E326)</f>
        <v>349856.976593867</v>
      </c>
      <c r="Z326" s="6" t="n">
        <f aca="false">P326*(1+F326)</f>
        <v>317699.096697995</v>
      </c>
      <c r="AA326" s="6" t="n">
        <f aca="false">Q326*(1+G326)</f>
        <v>276139.855791698</v>
      </c>
      <c r="AB326" s="6" t="n">
        <f aca="false">R326*(1+H326)</f>
        <v>229233.612368876</v>
      </c>
      <c r="AC326" s="6" t="n">
        <f aca="false">S326*(1+I326)</f>
        <v>189447.847193939</v>
      </c>
      <c r="AD326" s="6" t="n">
        <f aca="false">T326*(1+J326)</f>
        <v>146474.310043498</v>
      </c>
      <c r="AE326" s="6" t="n">
        <f aca="false">U326*(1+K326)</f>
        <v>97406.7378077093</v>
      </c>
      <c r="AF326" s="6" t="n">
        <f aca="false">V326*(1+L326)</f>
        <v>50028.7325483055</v>
      </c>
      <c r="AG326" s="6" t="n">
        <f aca="false">MIN(M326:V326)</f>
        <v>47406.7378077093</v>
      </c>
      <c r="AH326" s="19" t="n">
        <f aca="false">IF(AG326&gt;=0,1,0)</f>
        <v>1</v>
      </c>
    </row>
    <row r="327" customFormat="false" ht="15" hidden="false" customHeight="false" outlineLevel="0" collapsed="false">
      <c r="A327" s="0" t="n">
        <f aca="false">ROW()-1</f>
        <v>326</v>
      </c>
      <c r="B327" s="6" t="n">
        <f aca="false">Assumptions!$B$35</f>
        <v>441263.996662504</v>
      </c>
      <c r="C327" s="8" t="n">
        <f aca="true">NORMINV(RAND(),Assumptions!$B$14,Assumptions!$B$15)</f>
        <v>0.0745917998783161</v>
      </c>
      <c r="D327" s="8" t="n">
        <f aca="true">NORMINV(RAND(),Assumptions!$B$14,Assumptions!$B$15)</f>
        <v>0.0909512187154849</v>
      </c>
      <c r="E327" s="8" t="n">
        <f aca="true">NORMINV(RAND(),Assumptions!$B$14,Assumptions!$B$15)</f>
        <v>0.0500218841837946</v>
      </c>
      <c r="F327" s="8" t="n">
        <f aca="true">NORMINV(RAND(),Assumptions!$B$14,Assumptions!$B$15)</f>
        <v>0.0383376499682781</v>
      </c>
      <c r="G327" s="8" t="n">
        <f aca="true">NORMINV(RAND(),Assumptions!$B$14,Assumptions!$B$15)</f>
        <v>0.0289246797381833</v>
      </c>
      <c r="H327" s="8" t="n">
        <f aca="true">NORMINV(RAND(),Assumptions!$B$14,Assumptions!$B$15)</f>
        <v>0.0289403456329057</v>
      </c>
      <c r="I327" s="8" t="n">
        <f aca="true">NORMINV(RAND(),Assumptions!$B$14,Assumptions!$B$15)</f>
        <v>0.0382051507201899</v>
      </c>
      <c r="J327" s="8" t="n">
        <f aca="true">NORMINV(RAND(),Assumptions!$B$14,Assumptions!$B$15)</f>
        <v>0.0753514252898363</v>
      </c>
      <c r="K327" s="8" t="n">
        <f aca="true">NORMINV(RAND(),Assumptions!$B$14,Assumptions!$B$15)</f>
        <v>0.0288186882448406</v>
      </c>
      <c r="L327" s="8" t="n">
        <f aca="true">NORMINV(RAND(),Assumptions!$B$14,Assumptions!$B$15)</f>
        <v>0.038922194304017</v>
      </c>
      <c r="M327" s="6" t="n">
        <f aca="false">B327-Assumptions!$B$29</f>
        <v>391263.996662504</v>
      </c>
      <c r="N327" s="6" t="n">
        <f aca="false">W327-Assumptions!$B$29</f>
        <v>370449.082401143</v>
      </c>
      <c r="O327" s="6" t="n">
        <f aca="false">X327-Assumptions!$B$29</f>
        <v>354141.87791756</v>
      </c>
      <c r="P327" s="6" t="n">
        <f aca="false">Y327-Assumptions!$B$29</f>
        <v>321856.721919384</v>
      </c>
      <c r="Q327" s="6" t="n">
        <f aca="false">Z327-Assumptions!$B$29</f>
        <v>284195.952264267</v>
      </c>
      <c r="R327" s="6" t="n">
        <f aca="false">AA327-Assumptions!$B$29</f>
        <v>242416.229166398</v>
      </c>
      <c r="S327" s="6" t="n">
        <f aca="false">AB327-Assumptions!$B$29</f>
        <v>199431.8386255</v>
      </c>
      <c r="T327" s="6" t="n">
        <f aca="false">AC327-Assumptions!$B$29</f>
        <v>157051.162078592</v>
      </c>
      <c r="U327" s="6" t="n">
        <f aca="false">AD327-Assumptions!$B$29</f>
        <v>118885.190984639</v>
      </c>
      <c r="V327" s="6" t="n">
        <f aca="false">AE327-Assumptions!$B$29</f>
        <v>72311.3062405531</v>
      </c>
      <c r="W327" s="6" t="n">
        <f aca="false">M327*(1+C327)</f>
        <v>420449.082401143</v>
      </c>
      <c r="X327" s="6" t="n">
        <f aca="false">N327*(1+D327)</f>
        <v>404141.87791756</v>
      </c>
      <c r="Y327" s="6" t="n">
        <f aca="false">O327*(1+E327)</f>
        <v>371856.721919384</v>
      </c>
      <c r="Z327" s="6" t="n">
        <f aca="false">P327*(1+F327)</f>
        <v>334195.952264267</v>
      </c>
      <c r="AA327" s="6" t="n">
        <f aca="false">Q327*(1+G327)</f>
        <v>292416.229166398</v>
      </c>
      <c r="AB327" s="6" t="n">
        <f aca="false">R327*(1+H327)</f>
        <v>249431.8386255</v>
      </c>
      <c r="AC327" s="6" t="n">
        <f aca="false">S327*(1+I327)</f>
        <v>207051.162078592</v>
      </c>
      <c r="AD327" s="6" t="n">
        <f aca="false">T327*(1+J327)</f>
        <v>168885.190984639</v>
      </c>
      <c r="AE327" s="6" t="n">
        <f aca="false">U327*(1+K327)</f>
        <v>122311.306240553</v>
      </c>
      <c r="AF327" s="6" t="n">
        <f aca="false">V327*(1+L327)</f>
        <v>75125.8209524252</v>
      </c>
      <c r="AG327" s="6" t="n">
        <f aca="false">MIN(M327:V327)</f>
        <v>72311.3062405531</v>
      </c>
      <c r="AH327" s="19" t="n">
        <f aca="false">IF(AG327&gt;=0,1,0)</f>
        <v>1</v>
      </c>
    </row>
    <row r="328" customFormat="false" ht="15" hidden="false" customHeight="false" outlineLevel="0" collapsed="false">
      <c r="A328" s="0" t="n">
        <f aca="false">ROW()-1</f>
        <v>327</v>
      </c>
      <c r="B328" s="6" t="n">
        <f aca="false">Assumptions!$B$35</f>
        <v>441263.996662504</v>
      </c>
      <c r="C328" s="8" t="n">
        <f aca="true">NORMINV(RAND(),Assumptions!$B$14,Assumptions!$B$15)</f>
        <v>0.0827544629722758</v>
      </c>
      <c r="D328" s="8" t="n">
        <f aca="true">NORMINV(RAND(),Assumptions!$B$14,Assumptions!$B$15)</f>
        <v>-0.00401690607719563</v>
      </c>
      <c r="E328" s="8" t="n">
        <f aca="true">NORMINV(RAND(),Assumptions!$B$14,Assumptions!$B$15)</f>
        <v>0.0885512192401242</v>
      </c>
      <c r="F328" s="8" t="n">
        <f aca="true">NORMINV(RAND(),Assumptions!$B$14,Assumptions!$B$15)</f>
        <v>0.0558613482899499</v>
      </c>
      <c r="G328" s="8" t="n">
        <f aca="true">NORMINV(RAND(),Assumptions!$B$14,Assumptions!$B$15)</f>
        <v>0.0825181326195087</v>
      </c>
      <c r="H328" s="8" t="n">
        <f aca="true">NORMINV(RAND(),Assumptions!$B$14,Assumptions!$B$15)</f>
        <v>0.0573095705236807</v>
      </c>
      <c r="I328" s="8" t="n">
        <f aca="true">NORMINV(RAND(),Assumptions!$B$14,Assumptions!$B$15)</f>
        <v>0.0515512874842512</v>
      </c>
      <c r="J328" s="8" t="n">
        <f aca="true">NORMINV(RAND(),Assumptions!$B$14,Assumptions!$B$15)</f>
        <v>0.0521675985355785</v>
      </c>
      <c r="K328" s="8" t="n">
        <f aca="true">NORMINV(RAND(),Assumptions!$B$14,Assumptions!$B$15)</f>
        <v>-0.00603014364839598</v>
      </c>
      <c r="L328" s="8" t="n">
        <f aca="true">NORMINV(RAND(),Assumptions!$B$14,Assumptions!$B$15)</f>
        <v>0.022993198036811</v>
      </c>
      <c r="M328" s="6" t="n">
        <f aca="false">B328-Assumptions!$B$29</f>
        <v>391263.996662504</v>
      </c>
      <c r="N328" s="6" t="n">
        <f aca="false">W328-Assumptions!$B$29</f>
        <v>373642.838586695</v>
      </c>
      <c r="O328" s="6" t="n">
        <f aca="false">X328-Assumptions!$B$29</f>
        <v>322141.950397676</v>
      </c>
      <c r="P328" s="6" t="n">
        <f aca="false">Y328-Assumptions!$B$29</f>
        <v>300668.012873782</v>
      </c>
      <c r="Q328" s="6" t="n">
        <f aca="false">Z328-Assumptions!$B$29</f>
        <v>267463.733460571</v>
      </c>
      <c r="R328" s="6" t="n">
        <f aca="false">AA328-Assumptions!$B$29</f>
        <v>239534.341289179</v>
      </c>
      <c r="S328" s="6" t="n">
        <f aca="false">AB328-Assumptions!$B$29</f>
        <v>203261.951514135</v>
      </c>
      <c r="T328" s="6" t="n">
        <f aca="false">AC328-Assumptions!$B$29</f>
        <v>163740.36681125</v>
      </c>
      <c r="U328" s="6" t="n">
        <f aca="false">AD328-Assumptions!$B$29</f>
        <v>122282.308531128</v>
      </c>
      <c r="V328" s="6" t="n">
        <f aca="false">AE328-Assumptions!$B$29</f>
        <v>71544.9286450275</v>
      </c>
      <c r="W328" s="6" t="n">
        <f aca="false">M328*(1+C328)</f>
        <v>423642.838586695</v>
      </c>
      <c r="X328" s="6" t="n">
        <f aca="false">N328*(1+D328)</f>
        <v>372141.950397676</v>
      </c>
      <c r="Y328" s="6" t="n">
        <f aca="false">O328*(1+E328)</f>
        <v>350668.012873782</v>
      </c>
      <c r="Z328" s="6" t="n">
        <f aca="false">P328*(1+F328)</f>
        <v>317463.733460571</v>
      </c>
      <c r="AA328" s="6" t="n">
        <f aca="false">Q328*(1+G328)</f>
        <v>289534.341289179</v>
      </c>
      <c r="AB328" s="6" t="n">
        <f aca="false">R328*(1+H328)</f>
        <v>253261.951514135</v>
      </c>
      <c r="AC328" s="6" t="n">
        <f aca="false">S328*(1+I328)</f>
        <v>213740.36681125</v>
      </c>
      <c r="AD328" s="6" t="n">
        <f aca="false">T328*(1+J328)</f>
        <v>172282.308531128</v>
      </c>
      <c r="AE328" s="6" t="n">
        <f aca="false">U328*(1+K328)</f>
        <v>121544.928645028</v>
      </c>
      <c r="AF328" s="6" t="n">
        <f aca="false">V328*(1+L328)</f>
        <v>73189.9753578922</v>
      </c>
      <c r="AG328" s="6" t="n">
        <f aca="false">MIN(M328:V328)</f>
        <v>71544.9286450275</v>
      </c>
      <c r="AH328" s="19" t="n">
        <f aca="false">IF(AG328&gt;=0,1,0)</f>
        <v>1</v>
      </c>
    </row>
    <row r="329" customFormat="false" ht="15" hidden="false" customHeight="false" outlineLevel="0" collapsed="false">
      <c r="A329" s="0" t="n">
        <f aca="false">ROW()-1</f>
        <v>328</v>
      </c>
      <c r="B329" s="6" t="n">
        <f aca="false">Assumptions!$B$35</f>
        <v>441263.996662504</v>
      </c>
      <c r="C329" s="8" t="n">
        <f aca="true">NORMINV(RAND(),Assumptions!$B$14,Assumptions!$B$15)</f>
        <v>0.0575964044142162</v>
      </c>
      <c r="D329" s="8" t="n">
        <f aca="true">NORMINV(RAND(),Assumptions!$B$14,Assumptions!$B$15)</f>
        <v>0.0677712975231373</v>
      </c>
      <c r="E329" s="8" t="n">
        <f aca="true">NORMINV(RAND(),Assumptions!$B$14,Assumptions!$B$15)</f>
        <v>0.0494934381343566</v>
      </c>
      <c r="F329" s="8" t="n">
        <f aca="true">NORMINV(RAND(),Assumptions!$B$14,Assumptions!$B$15)</f>
        <v>0.040396547320872</v>
      </c>
      <c r="G329" s="8" t="n">
        <f aca="true">NORMINV(RAND(),Assumptions!$B$14,Assumptions!$B$15)</f>
        <v>0.0910338534077201</v>
      </c>
      <c r="H329" s="8" t="n">
        <f aca="true">NORMINV(RAND(),Assumptions!$B$14,Assumptions!$B$15)</f>
        <v>0.0124001827612894</v>
      </c>
      <c r="I329" s="8" t="n">
        <f aca="true">NORMINV(RAND(),Assumptions!$B$14,Assumptions!$B$15)</f>
        <v>0.104945687104883</v>
      </c>
      <c r="J329" s="8" t="n">
        <f aca="true">NORMINV(RAND(),Assumptions!$B$14,Assumptions!$B$15)</f>
        <v>0.0816646936693556</v>
      </c>
      <c r="K329" s="8" t="n">
        <f aca="true">NORMINV(RAND(),Assumptions!$B$14,Assumptions!$B$15)</f>
        <v>0.0806011974018339</v>
      </c>
      <c r="L329" s="8" t="n">
        <f aca="true">NORMINV(RAND(),Assumptions!$B$14,Assumptions!$B$15)</f>
        <v>0.000269708822317409</v>
      </c>
      <c r="M329" s="6" t="n">
        <f aca="false">B329-Assumptions!$B$29</f>
        <v>391263.996662504</v>
      </c>
      <c r="N329" s="6" t="n">
        <f aca="false">W329-Assumptions!$B$29</f>
        <v>363799.396047</v>
      </c>
      <c r="O329" s="6" t="n">
        <f aca="false">X329-Assumptions!$B$29</f>
        <v>338454.553155239</v>
      </c>
      <c r="P329" s="6" t="n">
        <f aca="false">Y329-Assumptions!$B$29</f>
        <v>305205.832643119</v>
      </c>
      <c r="Q329" s="6" t="n">
        <f aca="false">Z329-Assumptions!$B$29</f>
        <v>267535.094504093</v>
      </c>
      <c r="R329" s="6" t="n">
        <f aca="false">AA329-Assumptions!$B$29</f>
        <v>241889.845078599</v>
      </c>
      <c r="S329" s="6" t="n">
        <f aca="false">AB329-Assumptions!$B$29</f>
        <v>194889.323365673</v>
      </c>
      <c r="T329" s="6" t="n">
        <f aca="false">AC329-Assumptions!$B$29</f>
        <v>165342.117315689</v>
      </c>
      <c r="U329" s="6" t="n">
        <f aca="false">AD329-Assumptions!$B$29</f>
        <v>128844.730676918</v>
      </c>
      <c r="V329" s="6" t="n">
        <f aca="false">AE329-Assumptions!$B$29</f>
        <v>89229.7702483943</v>
      </c>
      <c r="W329" s="6" t="n">
        <f aca="false">M329*(1+C329)</f>
        <v>413799.396047</v>
      </c>
      <c r="X329" s="6" t="n">
        <f aca="false">N329*(1+D329)</f>
        <v>388454.553155239</v>
      </c>
      <c r="Y329" s="6" t="n">
        <f aca="false">O329*(1+E329)</f>
        <v>355205.832643119</v>
      </c>
      <c r="Z329" s="6" t="n">
        <f aca="false">P329*(1+F329)</f>
        <v>317535.094504093</v>
      </c>
      <c r="AA329" s="6" t="n">
        <f aca="false">Q329*(1+G329)</f>
        <v>291889.845078599</v>
      </c>
      <c r="AB329" s="6" t="n">
        <f aca="false">R329*(1+H329)</f>
        <v>244889.323365673</v>
      </c>
      <c r="AC329" s="6" t="n">
        <f aca="false">S329*(1+I329)</f>
        <v>215342.117315689</v>
      </c>
      <c r="AD329" s="6" t="n">
        <f aca="false">T329*(1+J329)</f>
        <v>178844.730676918</v>
      </c>
      <c r="AE329" s="6" t="n">
        <f aca="false">U329*(1+K329)</f>
        <v>139229.770248394</v>
      </c>
      <c r="AF329" s="6" t="n">
        <f aca="false">V329*(1+L329)</f>
        <v>89253.8363046437</v>
      </c>
      <c r="AG329" s="6" t="n">
        <f aca="false">MIN(M329:V329)</f>
        <v>89229.7702483943</v>
      </c>
      <c r="AH329" s="19" t="n">
        <f aca="false">IF(AG329&gt;=0,1,0)</f>
        <v>1</v>
      </c>
    </row>
    <row r="330" customFormat="false" ht="15" hidden="false" customHeight="false" outlineLevel="0" collapsed="false">
      <c r="A330" s="0" t="n">
        <f aca="false">ROW()-1</f>
        <v>329</v>
      </c>
      <c r="B330" s="6" t="n">
        <f aca="false">Assumptions!$B$35</f>
        <v>441263.996662504</v>
      </c>
      <c r="C330" s="8" t="n">
        <f aca="true">NORMINV(RAND(),Assumptions!$B$14,Assumptions!$B$15)</f>
        <v>0.0649862202056673</v>
      </c>
      <c r="D330" s="8" t="n">
        <f aca="true">NORMINV(RAND(),Assumptions!$B$14,Assumptions!$B$15)</f>
        <v>0.0402468378787851</v>
      </c>
      <c r="E330" s="8" t="n">
        <f aca="true">NORMINV(RAND(),Assumptions!$B$14,Assumptions!$B$15)</f>
        <v>0.0461201697914184</v>
      </c>
      <c r="F330" s="8" t="n">
        <f aca="true">NORMINV(RAND(),Assumptions!$B$14,Assumptions!$B$15)</f>
        <v>0.0400246058015718</v>
      </c>
      <c r="G330" s="8" t="n">
        <f aca="true">NORMINV(RAND(),Assumptions!$B$14,Assumptions!$B$15)</f>
        <v>0.00290917675665282</v>
      </c>
      <c r="H330" s="8" t="n">
        <f aca="true">NORMINV(RAND(),Assumptions!$B$14,Assumptions!$B$15)</f>
        <v>0.0616897276611935</v>
      </c>
      <c r="I330" s="8" t="n">
        <f aca="true">NORMINV(RAND(),Assumptions!$B$14,Assumptions!$B$15)</f>
        <v>0.0415938961124276</v>
      </c>
      <c r="J330" s="8" t="n">
        <f aca="true">NORMINV(RAND(),Assumptions!$B$14,Assumptions!$B$15)</f>
        <v>0.0113006810721761</v>
      </c>
      <c r="K330" s="8" t="n">
        <f aca="true">NORMINV(RAND(),Assumptions!$B$14,Assumptions!$B$15)</f>
        <v>0.0602986805121044</v>
      </c>
      <c r="L330" s="8" t="n">
        <f aca="true">NORMINV(RAND(),Assumptions!$B$14,Assumptions!$B$15)</f>
        <v>0.0354659765003553</v>
      </c>
      <c r="M330" s="6" t="n">
        <f aca="false">B330-Assumptions!$B$29</f>
        <v>391263.996662504</v>
      </c>
      <c r="N330" s="6" t="n">
        <f aca="false">W330-Assumptions!$B$29</f>
        <v>366690.764908162</v>
      </c>
      <c r="O330" s="6" t="n">
        <f aca="false">X330-Assumptions!$B$29</f>
        <v>331448.908675069</v>
      </c>
      <c r="P330" s="6" t="n">
        <f aca="false">Y330-Assumptions!$B$29</f>
        <v>296735.388620343</v>
      </c>
      <c r="Q330" s="6" t="n">
        <f aca="false">Z330-Assumptions!$B$29</f>
        <v>258612.105577249</v>
      </c>
      <c r="R330" s="6" t="n">
        <f aca="false">AA330-Assumptions!$B$29</f>
        <v>209364.453903783</v>
      </c>
      <c r="S330" s="6" t="n">
        <f aca="false">AB330-Assumptions!$B$29</f>
        <v>172280.090047042</v>
      </c>
      <c r="T330" s="6" t="n">
        <f aca="false">AC330-Assumptions!$B$29</f>
        <v>129445.890214699</v>
      </c>
      <c r="U330" s="6" t="n">
        <f aca="false">AD330-Assumptions!$B$29</f>
        <v>80908.7169361188</v>
      </c>
      <c r="V330" s="6" t="n">
        <f aca="false">AE330-Assumptions!$B$29</f>
        <v>35787.4058092941</v>
      </c>
      <c r="W330" s="6" t="n">
        <f aca="false">M330*(1+C330)</f>
        <v>416690.764908162</v>
      </c>
      <c r="X330" s="6" t="n">
        <f aca="false">N330*(1+D330)</f>
        <v>381448.908675069</v>
      </c>
      <c r="Y330" s="6" t="n">
        <f aca="false">O330*(1+E330)</f>
        <v>346735.388620343</v>
      </c>
      <c r="Z330" s="6" t="n">
        <f aca="false">P330*(1+F330)</f>
        <v>308612.105577249</v>
      </c>
      <c r="AA330" s="6" t="n">
        <f aca="false">Q330*(1+G330)</f>
        <v>259364.453903783</v>
      </c>
      <c r="AB330" s="6" t="n">
        <f aca="false">R330*(1+H330)</f>
        <v>222280.090047042</v>
      </c>
      <c r="AC330" s="6" t="n">
        <f aca="false">S330*(1+I330)</f>
        <v>179445.890214699</v>
      </c>
      <c r="AD330" s="6" t="n">
        <f aca="false">T330*(1+J330)</f>
        <v>130908.716936119</v>
      </c>
      <c r="AE330" s="6" t="n">
        <f aca="false">U330*(1+K330)</f>
        <v>85787.4058092941</v>
      </c>
      <c r="AF330" s="6" t="n">
        <f aca="false">V330*(1+L330)</f>
        <v>37056.6411027352</v>
      </c>
      <c r="AG330" s="6" t="n">
        <f aca="false">MIN(M330:V330)</f>
        <v>35787.4058092941</v>
      </c>
      <c r="AH330" s="19" t="n">
        <f aca="false">IF(AG330&gt;=0,1,0)</f>
        <v>1</v>
      </c>
    </row>
    <row r="331" customFormat="false" ht="15" hidden="false" customHeight="false" outlineLevel="0" collapsed="false">
      <c r="A331" s="0" t="n">
        <f aca="false">ROW()-1</f>
        <v>330</v>
      </c>
      <c r="B331" s="6" t="n">
        <f aca="false">Assumptions!$B$35</f>
        <v>441263.996662504</v>
      </c>
      <c r="C331" s="8" t="n">
        <f aca="true">NORMINV(RAND(),Assumptions!$B$14,Assumptions!$B$15)</f>
        <v>0.0237066862845396</v>
      </c>
      <c r="D331" s="8" t="n">
        <f aca="true">NORMINV(RAND(),Assumptions!$B$14,Assumptions!$B$15)</f>
        <v>0.0638277298325911</v>
      </c>
      <c r="E331" s="8" t="n">
        <f aca="true">NORMINV(RAND(),Assumptions!$B$14,Assumptions!$B$15)</f>
        <v>0.0755507332223302</v>
      </c>
      <c r="F331" s="8" t="n">
        <f aca="true">NORMINV(RAND(),Assumptions!$B$14,Assumptions!$B$15)</f>
        <v>0.0507783306091101</v>
      </c>
      <c r="G331" s="8" t="n">
        <f aca="true">NORMINV(RAND(),Assumptions!$B$14,Assumptions!$B$15)</f>
        <v>0.0862324679584524</v>
      </c>
      <c r="H331" s="8" t="n">
        <f aca="true">NORMINV(RAND(),Assumptions!$B$14,Assumptions!$B$15)</f>
        <v>0.0479107421685001</v>
      </c>
      <c r="I331" s="8" t="n">
        <f aca="true">NORMINV(RAND(),Assumptions!$B$14,Assumptions!$B$15)</f>
        <v>0.05852738383606</v>
      </c>
      <c r="J331" s="8" t="n">
        <f aca="true">NORMINV(RAND(),Assumptions!$B$14,Assumptions!$B$15)</f>
        <v>0.0343153336262201</v>
      </c>
      <c r="K331" s="8" t="n">
        <f aca="true">NORMINV(RAND(),Assumptions!$B$14,Assumptions!$B$15)</f>
        <v>0.0489434772784949</v>
      </c>
      <c r="L331" s="8" t="n">
        <f aca="true">NORMINV(RAND(),Assumptions!$B$14,Assumptions!$B$15)</f>
        <v>0.0918424845694753</v>
      </c>
      <c r="M331" s="6" t="n">
        <f aca="false">B331-Assumptions!$B$29</f>
        <v>391263.996662504</v>
      </c>
      <c r="N331" s="6" t="n">
        <f aca="false">W331-Assumptions!$B$29</f>
        <v>350539.569485817</v>
      </c>
      <c r="O331" s="6" t="n">
        <f aca="false">X331-Assumptions!$B$29</f>
        <v>322913.71442259</v>
      </c>
      <c r="P331" s="6" t="n">
        <f aca="false">Y331-Assumptions!$B$29</f>
        <v>297310.082314763</v>
      </c>
      <c r="Q331" s="6" t="n">
        <f aca="false">Z331-Assumptions!$B$29</f>
        <v>262406.991967964</v>
      </c>
      <c r="R331" s="6" t="n">
        <f aca="false">AA331-Assumptions!$B$29</f>
        <v>235034.994494915</v>
      </c>
      <c r="S331" s="6" t="n">
        <f aca="false">AB331-Assumptions!$B$29</f>
        <v>196295.695516736</v>
      </c>
      <c r="T331" s="6" t="n">
        <f aca="false">AC331-Assumptions!$B$29</f>
        <v>157784.36903361</v>
      </c>
      <c r="U331" s="6" t="n">
        <f aca="false">AD331-Assumptions!$B$29</f>
        <v>113198.792298001</v>
      </c>
      <c r="V331" s="6" t="n">
        <f aca="false">AE331-Assumptions!$B$29</f>
        <v>68739.1348167913</v>
      </c>
      <c r="W331" s="6" t="n">
        <f aca="false">M331*(1+C331)</f>
        <v>400539.569485817</v>
      </c>
      <c r="X331" s="6" t="n">
        <f aca="false">N331*(1+D331)</f>
        <v>372913.71442259</v>
      </c>
      <c r="Y331" s="6" t="n">
        <f aca="false">O331*(1+E331)</f>
        <v>347310.082314763</v>
      </c>
      <c r="Z331" s="6" t="n">
        <f aca="false">P331*(1+F331)</f>
        <v>312406.991967964</v>
      </c>
      <c r="AA331" s="6" t="n">
        <f aca="false">Q331*(1+G331)</f>
        <v>285034.994494915</v>
      </c>
      <c r="AB331" s="6" t="n">
        <f aca="false">R331*(1+H331)</f>
        <v>246295.695516736</v>
      </c>
      <c r="AC331" s="6" t="n">
        <f aca="false">S331*(1+I331)</f>
        <v>207784.36903361</v>
      </c>
      <c r="AD331" s="6" t="n">
        <f aca="false">T331*(1+J331)</f>
        <v>163198.792298001</v>
      </c>
      <c r="AE331" s="6" t="n">
        <f aca="false">U331*(1+K331)</f>
        <v>118739.134816791</v>
      </c>
      <c r="AF331" s="6" t="n">
        <f aca="false">V331*(1+L331)</f>
        <v>75052.3077455216</v>
      </c>
      <c r="AG331" s="6" t="n">
        <f aca="false">MIN(M331:V331)</f>
        <v>68739.1348167913</v>
      </c>
      <c r="AH331" s="19" t="n">
        <f aca="false">IF(AG331&gt;=0,1,0)</f>
        <v>1</v>
      </c>
    </row>
    <row r="332" customFormat="false" ht="15" hidden="false" customHeight="false" outlineLevel="0" collapsed="false">
      <c r="A332" s="0" t="n">
        <f aca="false">ROW()-1</f>
        <v>331</v>
      </c>
      <c r="B332" s="6" t="n">
        <f aca="false">Assumptions!$B$35</f>
        <v>441263.996662504</v>
      </c>
      <c r="C332" s="8" t="n">
        <f aca="true">NORMINV(RAND(),Assumptions!$B$14,Assumptions!$B$15)</f>
        <v>-0.013833955904954</v>
      </c>
      <c r="D332" s="8" t="n">
        <f aca="true">NORMINV(RAND(),Assumptions!$B$14,Assumptions!$B$15)</f>
        <v>0.0316957914684597</v>
      </c>
      <c r="E332" s="8" t="n">
        <f aca="true">NORMINV(RAND(),Assumptions!$B$14,Assumptions!$B$15)</f>
        <v>0.0874301052768508</v>
      </c>
      <c r="F332" s="8" t="n">
        <f aca="true">NORMINV(RAND(),Assumptions!$B$14,Assumptions!$B$15)</f>
        <v>0.00688441022907173</v>
      </c>
      <c r="G332" s="8" t="n">
        <f aca="true">NORMINV(RAND(),Assumptions!$B$14,Assumptions!$B$15)</f>
        <v>0.0622087658296387</v>
      </c>
      <c r="H332" s="8" t="n">
        <f aca="true">NORMINV(RAND(),Assumptions!$B$14,Assumptions!$B$15)</f>
        <v>0.0359508941660231</v>
      </c>
      <c r="I332" s="8" t="n">
        <f aca="true">NORMINV(RAND(),Assumptions!$B$14,Assumptions!$B$15)</f>
        <v>0.0349220152630385</v>
      </c>
      <c r="J332" s="8" t="n">
        <f aca="true">NORMINV(RAND(),Assumptions!$B$14,Assumptions!$B$15)</f>
        <v>0.0767232981212529</v>
      </c>
      <c r="K332" s="8" t="n">
        <f aca="true">NORMINV(RAND(),Assumptions!$B$14,Assumptions!$B$15)</f>
        <v>0.0782036564770297</v>
      </c>
      <c r="L332" s="8" t="n">
        <f aca="true">NORMINV(RAND(),Assumptions!$B$14,Assumptions!$B$15)</f>
        <v>0.0118708863359301</v>
      </c>
      <c r="M332" s="6" t="n">
        <f aca="false">B332-Assumptions!$B$29</f>
        <v>391263.996662504</v>
      </c>
      <c r="N332" s="6" t="n">
        <f aca="false">W332-Assumptions!$B$29</f>
        <v>335851.267785478</v>
      </c>
      <c r="O332" s="6" t="n">
        <f aca="false">X332-Assumptions!$B$29</f>
        <v>296496.339533625</v>
      </c>
      <c r="P332" s="6" t="n">
        <f aca="false">Y332-Assumptions!$B$29</f>
        <v>272419.04571325</v>
      </c>
      <c r="Q332" s="6" t="n">
        <f aca="false">Z332-Assumptions!$B$29</f>
        <v>224294.490178153</v>
      </c>
      <c r="R332" s="6" t="n">
        <f aca="false">AA332-Assumptions!$B$29</f>
        <v>188247.573594524</v>
      </c>
      <c r="S332" s="6" t="n">
        <f aca="false">AB332-Assumptions!$B$29</f>
        <v>145015.242189831</v>
      </c>
      <c r="T332" s="6" t="n">
        <f aca="false">AC332-Assumptions!$B$29</f>
        <v>100079.466690957</v>
      </c>
      <c r="U332" s="6" t="n">
        <f aca="false">AD332-Assumptions!$B$29</f>
        <v>57757.8934497038</v>
      </c>
      <c r="V332" s="6" t="n">
        <f aca="false">AE332-Assumptions!$B$29</f>
        <v>12274.7719078813</v>
      </c>
      <c r="W332" s="6" t="n">
        <f aca="false">M332*(1+C332)</f>
        <v>385851.267785478</v>
      </c>
      <c r="X332" s="6" t="n">
        <f aca="false">N332*(1+D332)</f>
        <v>346496.339533625</v>
      </c>
      <c r="Y332" s="6" t="n">
        <f aca="false">O332*(1+E332)</f>
        <v>322419.04571325</v>
      </c>
      <c r="Z332" s="6" t="n">
        <f aca="false">P332*(1+F332)</f>
        <v>274294.490178153</v>
      </c>
      <c r="AA332" s="6" t="n">
        <f aca="false">Q332*(1+G332)</f>
        <v>238247.573594524</v>
      </c>
      <c r="AB332" s="6" t="n">
        <f aca="false">R332*(1+H332)</f>
        <v>195015.242189831</v>
      </c>
      <c r="AC332" s="6" t="n">
        <f aca="false">S332*(1+I332)</f>
        <v>150079.466690958</v>
      </c>
      <c r="AD332" s="6" t="n">
        <f aca="false">T332*(1+J332)</f>
        <v>107757.893449704</v>
      </c>
      <c r="AE332" s="6" t="n">
        <f aca="false">U332*(1+K332)</f>
        <v>62274.7719078813</v>
      </c>
      <c r="AF332" s="6" t="n">
        <f aca="false">V332*(1+L332)</f>
        <v>12420.4843299993</v>
      </c>
      <c r="AG332" s="6" t="n">
        <f aca="false">MIN(M332:V332)</f>
        <v>12274.7719078813</v>
      </c>
      <c r="AH332" s="19" t="n">
        <f aca="false">IF(AG332&gt;=0,1,0)</f>
        <v>1</v>
      </c>
    </row>
    <row r="333" customFormat="false" ht="15" hidden="false" customHeight="false" outlineLevel="0" collapsed="false">
      <c r="A333" s="0" t="n">
        <f aca="false">ROW()-1</f>
        <v>332</v>
      </c>
      <c r="B333" s="6" t="n">
        <f aca="false">Assumptions!$B$35</f>
        <v>441263.996662504</v>
      </c>
      <c r="C333" s="8" t="n">
        <f aca="true">NORMINV(RAND(),Assumptions!$B$14,Assumptions!$B$15)</f>
        <v>0.0708467337961071</v>
      </c>
      <c r="D333" s="8" t="n">
        <f aca="true">NORMINV(RAND(),Assumptions!$B$14,Assumptions!$B$15)</f>
        <v>0.0459409335824322</v>
      </c>
      <c r="E333" s="8" t="n">
        <f aca="true">NORMINV(RAND(),Assumptions!$B$14,Assumptions!$B$15)</f>
        <v>0.0455123068632234</v>
      </c>
      <c r="F333" s="8" t="n">
        <f aca="true">NORMINV(RAND(),Assumptions!$B$14,Assumptions!$B$15)</f>
        <v>0.023438704358105</v>
      </c>
      <c r="G333" s="8" t="n">
        <f aca="true">NORMINV(RAND(),Assumptions!$B$14,Assumptions!$B$15)</f>
        <v>0.0684448379118861</v>
      </c>
      <c r="H333" s="8" t="n">
        <f aca="true">NORMINV(RAND(),Assumptions!$B$14,Assumptions!$B$15)</f>
        <v>0.0796607933977719</v>
      </c>
      <c r="I333" s="8" t="n">
        <f aca="true">NORMINV(RAND(),Assumptions!$B$14,Assumptions!$B$15)</f>
        <v>0.0472184561450163</v>
      </c>
      <c r="J333" s="8" t="n">
        <f aca="true">NORMINV(RAND(),Assumptions!$B$14,Assumptions!$B$15)</f>
        <v>0.0458601361597394</v>
      </c>
      <c r="K333" s="8" t="n">
        <f aca="true">NORMINV(RAND(),Assumptions!$B$14,Assumptions!$B$15)</f>
        <v>0.0409234422086095</v>
      </c>
      <c r="L333" s="8" t="n">
        <f aca="true">NORMINV(RAND(),Assumptions!$B$14,Assumptions!$B$15)</f>
        <v>0.0402799312248941</v>
      </c>
      <c r="M333" s="6" t="n">
        <f aca="false">B333-Assumptions!$B$29</f>
        <v>391263.996662504</v>
      </c>
      <c r="N333" s="6" t="n">
        <f aca="false">W333-Assumptions!$B$29</f>
        <v>368983.772878053</v>
      </c>
      <c r="O333" s="6" t="n">
        <f aca="false">X333-Assumptions!$B$29</f>
        <v>335935.231880839</v>
      </c>
      <c r="P333" s="6" t="n">
        <f aca="false">Y333-Assumptions!$B$29</f>
        <v>301224.419240368</v>
      </c>
      <c r="Q333" s="6" t="n">
        <f aca="false">Z333-Assumptions!$B$29</f>
        <v>258284.729348384</v>
      </c>
      <c r="R333" s="6" t="n">
        <f aca="false">AA333-Assumptions!$B$29</f>
        <v>225962.98578375</v>
      </c>
      <c r="S333" s="6" t="n">
        <f aca="false">AB333-Assumptions!$B$29</f>
        <v>193963.376509813</v>
      </c>
      <c r="T333" s="6" t="n">
        <f aca="false">AC333-Assumptions!$B$29</f>
        <v>153122.027697281</v>
      </c>
      <c r="U333" s="6" t="n">
        <f aca="false">AD333-Assumptions!$B$29</f>
        <v>110144.224736533</v>
      </c>
      <c r="V333" s="6" t="n">
        <f aca="false">AE333-Assumptions!$B$29</f>
        <v>64651.705552151</v>
      </c>
      <c r="W333" s="6" t="n">
        <f aca="false">M333*(1+C333)</f>
        <v>418983.772878053</v>
      </c>
      <c r="X333" s="6" t="n">
        <f aca="false">N333*(1+D333)</f>
        <v>385935.231880839</v>
      </c>
      <c r="Y333" s="6" t="n">
        <f aca="false">O333*(1+E333)</f>
        <v>351224.419240368</v>
      </c>
      <c r="Z333" s="6" t="n">
        <f aca="false">P333*(1+F333)</f>
        <v>308284.729348384</v>
      </c>
      <c r="AA333" s="6" t="n">
        <f aca="false">Q333*(1+G333)</f>
        <v>275962.98578375</v>
      </c>
      <c r="AB333" s="6" t="n">
        <f aca="false">R333*(1+H333)</f>
        <v>243963.376509813</v>
      </c>
      <c r="AC333" s="6" t="n">
        <f aca="false">S333*(1+I333)</f>
        <v>203122.027697281</v>
      </c>
      <c r="AD333" s="6" t="n">
        <f aca="false">T333*(1+J333)</f>
        <v>160144.224736533</v>
      </c>
      <c r="AE333" s="6" t="n">
        <f aca="false">U333*(1+K333)</f>
        <v>114651.705552151</v>
      </c>
      <c r="AF333" s="6" t="n">
        <f aca="false">V333*(1+L333)</f>
        <v>67255.8718053638</v>
      </c>
      <c r="AG333" s="6" t="n">
        <f aca="false">MIN(M333:V333)</f>
        <v>64651.705552151</v>
      </c>
      <c r="AH333" s="19" t="n">
        <f aca="false">IF(AG333&gt;=0,1,0)</f>
        <v>1</v>
      </c>
    </row>
    <row r="334" customFormat="false" ht="15" hidden="false" customHeight="false" outlineLevel="0" collapsed="false">
      <c r="A334" s="0" t="n">
        <f aca="false">ROW()-1</f>
        <v>333</v>
      </c>
      <c r="B334" s="6" t="n">
        <f aca="false">Assumptions!$B$35</f>
        <v>441263.996662504</v>
      </c>
      <c r="C334" s="8" t="n">
        <f aca="true">NORMINV(RAND(),Assumptions!$B$14,Assumptions!$B$15)</f>
        <v>0.0719564076843657</v>
      </c>
      <c r="D334" s="8" t="n">
        <f aca="true">NORMINV(RAND(),Assumptions!$B$14,Assumptions!$B$15)</f>
        <v>0.0560889086597744</v>
      </c>
      <c r="E334" s="8" t="n">
        <f aca="true">NORMINV(RAND(),Assumptions!$B$14,Assumptions!$B$15)</f>
        <v>0.0185023293802057</v>
      </c>
      <c r="F334" s="8" t="n">
        <f aca="true">NORMINV(RAND(),Assumptions!$B$14,Assumptions!$B$15)</f>
        <v>0.0485184211954845</v>
      </c>
      <c r="G334" s="8" t="n">
        <f aca="true">NORMINV(RAND(),Assumptions!$B$14,Assumptions!$B$15)</f>
        <v>0.0129682032746407</v>
      </c>
      <c r="H334" s="8" t="n">
        <f aca="true">NORMINV(RAND(),Assumptions!$B$14,Assumptions!$B$15)</f>
        <v>0.0484815447434331</v>
      </c>
      <c r="I334" s="8" t="n">
        <f aca="true">NORMINV(RAND(),Assumptions!$B$14,Assumptions!$B$15)</f>
        <v>0.0555801855569502</v>
      </c>
      <c r="J334" s="8" t="n">
        <f aca="true">NORMINV(RAND(),Assumptions!$B$14,Assumptions!$B$15)</f>
        <v>0.0710887459582817</v>
      </c>
      <c r="K334" s="8" t="n">
        <f aca="true">NORMINV(RAND(),Assumptions!$B$14,Assumptions!$B$15)</f>
        <v>0.00867711718055125</v>
      </c>
      <c r="L334" s="8" t="n">
        <f aca="true">NORMINV(RAND(),Assumptions!$B$14,Assumptions!$B$15)</f>
        <v>0.00608986097401365</v>
      </c>
      <c r="M334" s="6" t="n">
        <f aca="false">B334-Assumptions!$B$29</f>
        <v>391263.996662504</v>
      </c>
      <c r="N334" s="6" t="n">
        <f aca="false">W334-Assumptions!$B$29</f>
        <v>369417.948318565</v>
      </c>
      <c r="O334" s="6" t="n">
        <f aca="false">X334-Assumptions!$B$29</f>
        <v>340138.197879086</v>
      </c>
      <c r="P334" s="6" t="n">
        <f aca="false">Y334-Assumptions!$B$29</f>
        <v>296431.546851035</v>
      </c>
      <c r="Q334" s="6" t="n">
        <f aca="false">Z334-Assumptions!$B$29</f>
        <v>260813.937496782</v>
      </c>
      <c r="R334" s="6" t="n">
        <f aca="false">AA334-Assumptions!$B$29</f>
        <v>214196.2256551</v>
      </c>
      <c r="S334" s="6" t="n">
        <f aca="false">AB334-Assumptions!$B$29</f>
        <v>174580.789553072</v>
      </c>
      <c r="T334" s="6" t="n">
        <f aca="false">AC334-Assumptions!$B$29</f>
        <v>134284.022231111</v>
      </c>
      <c r="U334" s="6" t="n">
        <f aca="false">AD334-Assumptions!$B$29</f>
        <v>93830.1049737543</v>
      </c>
      <c r="V334" s="6" t="n">
        <f aca="false">AE334-Assumptions!$B$29</f>
        <v>44644.279789675</v>
      </c>
      <c r="W334" s="6" t="n">
        <f aca="false">M334*(1+C334)</f>
        <v>419417.948318565</v>
      </c>
      <c r="X334" s="6" t="n">
        <f aca="false">N334*(1+D334)</f>
        <v>390138.197879086</v>
      </c>
      <c r="Y334" s="6" t="n">
        <f aca="false">O334*(1+E334)</f>
        <v>346431.546851035</v>
      </c>
      <c r="Z334" s="6" t="n">
        <f aca="false">P334*(1+F334)</f>
        <v>310813.937496782</v>
      </c>
      <c r="AA334" s="6" t="n">
        <f aca="false">Q334*(1+G334)</f>
        <v>264196.2256551</v>
      </c>
      <c r="AB334" s="6" t="n">
        <f aca="false">R334*(1+H334)</f>
        <v>224580.789553072</v>
      </c>
      <c r="AC334" s="6" t="n">
        <f aca="false">S334*(1+I334)</f>
        <v>184284.022231111</v>
      </c>
      <c r="AD334" s="6" t="n">
        <f aca="false">T334*(1+J334)</f>
        <v>143830.104973754</v>
      </c>
      <c r="AE334" s="6" t="n">
        <f aca="false">U334*(1+K334)</f>
        <v>94644.279789675</v>
      </c>
      <c r="AF334" s="6" t="n">
        <f aca="false">V334*(1+L334)</f>
        <v>44916.157246879</v>
      </c>
      <c r="AG334" s="6" t="n">
        <f aca="false">MIN(M334:V334)</f>
        <v>44644.279789675</v>
      </c>
      <c r="AH334" s="19" t="n">
        <f aca="false">IF(AG334&gt;=0,1,0)</f>
        <v>1</v>
      </c>
    </row>
    <row r="335" customFormat="false" ht="15" hidden="false" customHeight="false" outlineLevel="0" collapsed="false">
      <c r="A335" s="0" t="n">
        <f aca="false">ROW()-1</f>
        <v>334</v>
      </c>
      <c r="B335" s="6" t="n">
        <f aca="false">Assumptions!$B$35</f>
        <v>441263.996662504</v>
      </c>
      <c r="C335" s="8" t="n">
        <f aca="true">NORMINV(RAND(),Assumptions!$B$14,Assumptions!$B$15)</f>
        <v>0.0039689044705514</v>
      </c>
      <c r="D335" s="8" t="n">
        <f aca="true">NORMINV(RAND(),Assumptions!$B$14,Assumptions!$B$15)</f>
        <v>0.0797888085649504</v>
      </c>
      <c r="E335" s="8" t="n">
        <f aca="true">NORMINV(RAND(),Assumptions!$B$14,Assumptions!$B$15)</f>
        <v>0.032345665697473</v>
      </c>
      <c r="F335" s="8" t="n">
        <f aca="true">NORMINV(RAND(),Assumptions!$B$14,Assumptions!$B$15)</f>
        <v>0.0603669071138575</v>
      </c>
      <c r="G335" s="8" t="n">
        <f aca="true">NORMINV(RAND(),Assumptions!$B$14,Assumptions!$B$15)</f>
        <v>0.043971035885377</v>
      </c>
      <c r="H335" s="8" t="n">
        <f aca="true">NORMINV(RAND(),Assumptions!$B$14,Assumptions!$B$15)</f>
        <v>0.0849593347226984</v>
      </c>
      <c r="I335" s="8" t="n">
        <f aca="true">NORMINV(RAND(),Assumptions!$B$14,Assumptions!$B$15)</f>
        <v>0.033277615961505</v>
      </c>
      <c r="J335" s="8" t="n">
        <f aca="true">NORMINV(RAND(),Assumptions!$B$14,Assumptions!$B$15)</f>
        <v>0.0282209433780435</v>
      </c>
      <c r="K335" s="8" t="n">
        <f aca="true">NORMINV(RAND(),Assumptions!$B$14,Assumptions!$B$15)</f>
        <v>0.0500337247718318</v>
      </c>
      <c r="L335" s="8" t="n">
        <f aca="true">NORMINV(RAND(),Assumptions!$B$14,Assumptions!$B$15)</f>
        <v>0.0674152545822178</v>
      </c>
      <c r="M335" s="6" t="n">
        <f aca="false">B335-Assumptions!$B$29</f>
        <v>391263.996662504</v>
      </c>
      <c r="N335" s="6" t="n">
        <f aca="false">W335-Assumptions!$B$29</f>
        <v>342816.886088023</v>
      </c>
      <c r="O335" s="6" t="n">
        <f aca="false">X335-Assumptions!$B$29</f>
        <v>320169.836984933</v>
      </c>
      <c r="P335" s="6" t="n">
        <f aca="false">Y335-Assumptions!$B$29</f>
        <v>280525.943498462</v>
      </c>
      <c r="Q335" s="6" t="n">
        <f aca="false">Z335-Assumptions!$B$29</f>
        <v>247460.427072661</v>
      </c>
      <c r="R335" s="6" t="n">
        <f aca="false">AA335-Assumptions!$B$29</f>
        <v>208341.518391683</v>
      </c>
      <c r="S335" s="6" t="n">
        <f aca="false">AB335-Assumptions!$B$29</f>
        <v>176042.075189358</v>
      </c>
      <c r="T335" s="6" t="n">
        <f aca="false">AC335-Assumptions!$B$29</f>
        <v>131900.335760576</v>
      </c>
      <c r="U335" s="6" t="n">
        <f aca="false">AD335-Assumptions!$B$29</f>
        <v>85622.6876676196</v>
      </c>
      <c r="V335" s="6" t="n">
        <f aca="false">AE335-Assumptions!$B$29</f>
        <v>39906.7096566058</v>
      </c>
      <c r="W335" s="6" t="n">
        <f aca="false">M335*(1+C335)</f>
        <v>392816.886088023</v>
      </c>
      <c r="X335" s="6" t="n">
        <f aca="false">N335*(1+D335)</f>
        <v>370169.836984933</v>
      </c>
      <c r="Y335" s="6" t="n">
        <f aca="false">O335*(1+E335)</f>
        <v>330525.943498462</v>
      </c>
      <c r="Z335" s="6" t="n">
        <f aca="false">P335*(1+F335)</f>
        <v>297460.427072661</v>
      </c>
      <c r="AA335" s="6" t="n">
        <f aca="false">Q335*(1+G335)</f>
        <v>258341.518391683</v>
      </c>
      <c r="AB335" s="6" t="n">
        <f aca="false">R335*(1+H335)</f>
        <v>226042.075189358</v>
      </c>
      <c r="AC335" s="6" t="n">
        <f aca="false">S335*(1+I335)</f>
        <v>181900.335760576</v>
      </c>
      <c r="AD335" s="6" t="n">
        <f aca="false">T335*(1+J335)</f>
        <v>135622.68766762</v>
      </c>
      <c r="AE335" s="6" t="n">
        <f aca="false">U335*(1+K335)</f>
        <v>89906.7096566058</v>
      </c>
      <c r="AF335" s="6" t="n">
        <f aca="false">V335*(1+L335)</f>
        <v>42597.0306476446</v>
      </c>
      <c r="AG335" s="6" t="n">
        <f aca="false">MIN(M335:V335)</f>
        <v>39906.7096566058</v>
      </c>
      <c r="AH335" s="19" t="n">
        <f aca="false">IF(AG335&gt;=0,1,0)</f>
        <v>1</v>
      </c>
    </row>
    <row r="336" customFormat="false" ht="15" hidden="false" customHeight="false" outlineLevel="0" collapsed="false">
      <c r="A336" s="0" t="n">
        <f aca="false">ROW()-1</f>
        <v>335</v>
      </c>
      <c r="B336" s="6" t="n">
        <f aca="false">Assumptions!$B$35</f>
        <v>441263.996662504</v>
      </c>
      <c r="C336" s="8" t="n">
        <f aca="true">NORMINV(RAND(),Assumptions!$B$14,Assumptions!$B$15)</f>
        <v>0.0317738992013045</v>
      </c>
      <c r="D336" s="8" t="n">
        <f aca="true">NORMINV(RAND(),Assumptions!$B$14,Assumptions!$B$15)</f>
        <v>0.0434542332474482</v>
      </c>
      <c r="E336" s="8" t="n">
        <f aca="true">NORMINV(RAND(),Assumptions!$B$14,Assumptions!$B$15)</f>
        <v>0.0425726066267414</v>
      </c>
      <c r="F336" s="8" t="n">
        <f aca="true">NORMINV(RAND(),Assumptions!$B$14,Assumptions!$B$15)</f>
        <v>0.0510207299457148</v>
      </c>
      <c r="G336" s="8" t="n">
        <f aca="true">NORMINV(RAND(),Assumptions!$B$14,Assumptions!$B$15)</f>
        <v>0.0601734975573977</v>
      </c>
      <c r="H336" s="8" t="n">
        <f aca="true">NORMINV(RAND(),Assumptions!$B$14,Assumptions!$B$15)</f>
        <v>0.0688098664942836</v>
      </c>
      <c r="I336" s="8" t="n">
        <f aca="true">NORMINV(RAND(),Assumptions!$B$14,Assumptions!$B$15)</f>
        <v>0.0696562360079389</v>
      </c>
      <c r="J336" s="8" t="n">
        <f aca="true">NORMINV(RAND(),Assumptions!$B$14,Assumptions!$B$15)</f>
        <v>0.0434982774937612</v>
      </c>
      <c r="K336" s="8" t="n">
        <f aca="true">NORMINV(RAND(),Assumptions!$B$14,Assumptions!$B$15)</f>
        <v>0.0307863939320024</v>
      </c>
      <c r="L336" s="8" t="n">
        <f aca="true">NORMINV(RAND(),Assumptions!$B$14,Assumptions!$B$15)</f>
        <v>0.0588236581502205</v>
      </c>
      <c r="M336" s="6" t="n">
        <f aca="false">B336-Assumptions!$B$29</f>
        <v>391263.996662504</v>
      </c>
      <c r="N336" s="6" t="n">
        <f aca="false">W336-Assumptions!$B$29</f>
        <v>353695.979453557</v>
      </c>
      <c r="O336" s="6" t="n">
        <f aca="false">X336-Assumptions!$B$29</f>
        <v>319065.567043417</v>
      </c>
      <c r="P336" s="6" t="n">
        <f aca="false">Y336-Assumptions!$B$29</f>
        <v>282649.019917295</v>
      </c>
      <c r="Q336" s="6" t="n">
        <f aca="false">Z336-Assumptions!$B$29</f>
        <v>247069.979231916</v>
      </c>
      <c r="R336" s="6" t="n">
        <f aca="false">AA336-Assumptions!$B$29</f>
        <v>211937.044023734</v>
      </c>
      <c r="S336" s="6" t="n">
        <f aca="false">AB336-Assumptions!$B$29</f>
        <v>176520.4037282</v>
      </c>
      <c r="T336" s="6" t="n">
        <f aca="false">AC336-Assumptions!$B$29</f>
        <v>138816.150630508</v>
      </c>
      <c r="U336" s="6" t="n">
        <f aca="false">AD336-Assumptions!$B$29</f>
        <v>94854.4140712497</v>
      </c>
      <c r="V336" s="6" t="n">
        <f aca="false">AE336-Assumptions!$B$29</f>
        <v>47774.6394290365</v>
      </c>
      <c r="W336" s="6" t="n">
        <f aca="false">M336*(1+C336)</f>
        <v>403695.979453557</v>
      </c>
      <c r="X336" s="6" t="n">
        <f aca="false">N336*(1+D336)</f>
        <v>369065.567043417</v>
      </c>
      <c r="Y336" s="6" t="n">
        <f aca="false">O336*(1+E336)</f>
        <v>332649.019917295</v>
      </c>
      <c r="Z336" s="6" t="n">
        <f aca="false">P336*(1+F336)</f>
        <v>297069.979231916</v>
      </c>
      <c r="AA336" s="6" t="n">
        <f aca="false">Q336*(1+G336)</f>
        <v>261937.044023734</v>
      </c>
      <c r="AB336" s="6" t="n">
        <f aca="false">R336*(1+H336)</f>
        <v>226520.4037282</v>
      </c>
      <c r="AC336" s="6" t="n">
        <f aca="false">S336*(1+I336)</f>
        <v>188816.150630508</v>
      </c>
      <c r="AD336" s="6" t="n">
        <f aca="false">T336*(1+J336)</f>
        <v>144854.41407125</v>
      </c>
      <c r="AE336" s="6" t="n">
        <f aca="false">U336*(1+K336)</f>
        <v>97774.6394290365</v>
      </c>
      <c r="AF336" s="6" t="n">
        <f aca="false">V336*(1+L336)</f>
        <v>50584.9184870602</v>
      </c>
      <c r="AG336" s="6" t="n">
        <f aca="false">MIN(M336:V336)</f>
        <v>47774.6394290365</v>
      </c>
      <c r="AH336" s="19" t="n">
        <f aca="false">IF(AG336&gt;=0,1,0)</f>
        <v>1</v>
      </c>
    </row>
    <row r="337" customFormat="false" ht="15" hidden="false" customHeight="false" outlineLevel="0" collapsed="false">
      <c r="A337" s="0" t="n">
        <f aca="false">ROW()-1</f>
        <v>336</v>
      </c>
      <c r="B337" s="6" t="n">
        <f aca="false">Assumptions!$B$35</f>
        <v>441263.996662504</v>
      </c>
      <c r="C337" s="8" t="n">
        <f aca="true">NORMINV(RAND(),Assumptions!$B$14,Assumptions!$B$15)</f>
        <v>0.0379985833947523</v>
      </c>
      <c r="D337" s="8" t="n">
        <f aca="true">NORMINV(RAND(),Assumptions!$B$14,Assumptions!$B$15)</f>
        <v>0.0213782542773376</v>
      </c>
      <c r="E337" s="8" t="n">
        <f aca="true">NORMINV(RAND(),Assumptions!$B$14,Assumptions!$B$15)</f>
        <v>0.0702571169757123</v>
      </c>
      <c r="F337" s="8" t="n">
        <f aca="true">NORMINV(RAND(),Assumptions!$B$14,Assumptions!$B$15)</f>
        <v>0.0417641902965466</v>
      </c>
      <c r="G337" s="8" t="n">
        <f aca="true">NORMINV(RAND(),Assumptions!$B$14,Assumptions!$B$15)</f>
        <v>0.0281780031150347</v>
      </c>
      <c r="H337" s="8" t="n">
        <f aca="true">NORMINV(RAND(),Assumptions!$B$14,Assumptions!$B$15)</f>
        <v>0.060972194612667</v>
      </c>
      <c r="I337" s="8" t="n">
        <f aca="true">NORMINV(RAND(),Assumptions!$B$14,Assumptions!$B$15)</f>
        <v>0.0103405301585742</v>
      </c>
      <c r="J337" s="8" t="n">
        <f aca="true">NORMINV(RAND(),Assumptions!$B$14,Assumptions!$B$15)</f>
        <v>0.0524731676396224</v>
      </c>
      <c r="K337" s="8" t="n">
        <f aca="true">NORMINV(RAND(),Assumptions!$B$14,Assumptions!$B$15)</f>
        <v>0.0537765258318885</v>
      </c>
      <c r="L337" s="8" t="n">
        <f aca="true">NORMINV(RAND(),Assumptions!$B$14,Assumptions!$B$15)</f>
        <v>0.00915792697956337</v>
      </c>
      <c r="M337" s="6" t="n">
        <f aca="false">B337-Assumptions!$B$29</f>
        <v>391263.996662504</v>
      </c>
      <c r="N337" s="6" t="n">
        <f aca="false">W337-Assumptions!$B$29</f>
        <v>356131.474269048</v>
      </c>
      <c r="O337" s="6" t="n">
        <f aca="false">X337-Assumptions!$B$29</f>
        <v>313744.943482135</v>
      </c>
      <c r="P337" s="6" t="n">
        <f aca="false">Y337-Assumptions!$B$29</f>
        <v>285787.758676897</v>
      </c>
      <c r="Q337" s="6" t="n">
        <f aca="false">Z337-Assumptions!$B$29</f>
        <v>247723.453014703</v>
      </c>
      <c r="R337" s="6" t="n">
        <f aca="false">AA337-Assumptions!$B$29</f>
        <v>204703.805245418</v>
      </c>
      <c r="S337" s="6" t="n">
        <f aca="false">AB337-Assumptions!$B$29</f>
        <v>167185.045496795</v>
      </c>
      <c r="T337" s="6" t="n">
        <f aca="false">AC337-Assumptions!$B$29</f>
        <v>118913.827501817</v>
      </c>
      <c r="U337" s="6" t="n">
        <f aca="false">AD337-Assumptions!$B$29</f>
        <v>75153.6127069893</v>
      </c>
      <c r="V337" s="6" t="n">
        <f aca="false">AE337-Assumptions!$B$29</f>
        <v>29195.1129020865</v>
      </c>
      <c r="W337" s="6" t="n">
        <f aca="false">M337*(1+C337)</f>
        <v>406131.474269048</v>
      </c>
      <c r="X337" s="6" t="n">
        <f aca="false">N337*(1+D337)</f>
        <v>363744.943482135</v>
      </c>
      <c r="Y337" s="6" t="n">
        <f aca="false">O337*(1+E337)</f>
        <v>335787.758676897</v>
      </c>
      <c r="Z337" s="6" t="n">
        <f aca="false">P337*(1+F337)</f>
        <v>297723.453014703</v>
      </c>
      <c r="AA337" s="6" t="n">
        <f aca="false">Q337*(1+G337)</f>
        <v>254703.805245418</v>
      </c>
      <c r="AB337" s="6" t="n">
        <f aca="false">R337*(1+H337)</f>
        <v>217185.045496795</v>
      </c>
      <c r="AC337" s="6" t="n">
        <f aca="false">S337*(1+I337)</f>
        <v>168913.827501817</v>
      </c>
      <c r="AD337" s="6" t="n">
        <f aca="false">T337*(1+J337)</f>
        <v>125153.612706989</v>
      </c>
      <c r="AE337" s="6" t="n">
        <f aca="false">U337*(1+K337)</f>
        <v>79195.1129020865</v>
      </c>
      <c r="AF337" s="6" t="n">
        <f aca="false">V337*(1+L337)</f>
        <v>29462.4796142039</v>
      </c>
      <c r="AG337" s="6" t="n">
        <f aca="false">MIN(M337:V337)</f>
        <v>29195.1129020865</v>
      </c>
      <c r="AH337" s="19" t="n">
        <f aca="false">IF(AG337&gt;=0,1,0)</f>
        <v>1</v>
      </c>
    </row>
    <row r="338" customFormat="false" ht="15" hidden="false" customHeight="false" outlineLevel="0" collapsed="false">
      <c r="A338" s="0" t="n">
        <f aca="false">ROW()-1</f>
        <v>337</v>
      </c>
      <c r="B338" s="6" t="n">
        <f aca="false">Assumptions!$B$35</f>
        <v>441263.996662504</v>
      </c>
      <c r="C338" s="8" t="n">
        <f aca="true">NORMINV(RAND(),Assumptions!$B$14,Assumptions!$B$15)</f>
        <v>0.0146596173871422</v>
      </c>
      <c r="D338" s="8" t="n">
        <f aca="true">NORMINV(RAND(),Assumptions!$B$14,Assumptions!$B$15)</f>
        <v>0.0786294209963369</v>
      </c>
      <c r="E338" s="8" t="n">
        <f aca="true">NORMINV(RAND(),Assumptions!$B$14,Assumptions!$B$15)</f>
        <v>0.0184934872633166</v>
      </c>
      <c r="F338" s="8" t="n">
        <f aca="true">NORMINV(RAND(),Assumptions!$B$14,Assumptions!$B$15)</f>
        <v>0.0487632354981788</v>
      </c>
      <c r="G338" s="8" t="n">
        <f aca="true">NORMINV(RAND(),Assumptions!$B$14,Assumptions!$B$15)</f>
        <v>0.0483271856657434</v>
      </c>
      <c r="H338" s="8" t="n">
        <f aca="true">NORMINV(RAND(),Assumptions!$B$14,Assumptions!$B$15)</f>
        <v>0.0685001084301858</v>
      </c>
      <c r="I338" s="8" t="n">
        <f aca="true">NORMINV(RAND(),Assumptions!$B$14,Assumptions!$B$15)</f>
        <v>0.0492987032904077</v>
      </c>
      <c r="J338" s="8" t="n">
        <f aca="true">NORMINV(RAND(),Assumptions!$B$14,Assumptions!$B$15)</f>
        <v>0.0450462512299765</v>
      </c>
      <c r="K338" s="8" t="n">
        <f aca="true">NORMINV(RAND(),Assumptions!$B$14,Assumptions!$B$15)</f>
        <v>0.00790929686697772</v>
      </c>
      <c r="L338" s="8" t="n">
        <f aca="true">NORMINV(RAND(),Assumptions!$B$14,Assumptions!$B$15)</f>
        <v>0.0542974579624198</v>
      </c>
      <c r="M338" s="6" t="n">
        <f aca="false">B338-Assumptions!$B$29</f>
        <v>391263.996662504</v>
      </c>
      <c r="N338" s="6" t="n">
        <f aca="false">W338-Assumptions!$B$29</f>
        <v>346999.77715094</v>
      </c>
      <c r="O338" s="6" t="n">
        <f aca="false">X338-Assumptions!$B$29</f>
        <v>324284.168714176</v>
      </c>
      <c r="P338" s="6" t="n">
        <f aca="false">Y338-Assumptions!$B$29</f>
        <v>280281.313857987</v>
      </c>
      <c r="Q338" s="6" t="n">
        <f aca="false">Z338-Assumptions!$B$29</f>
        <v>243948.737571383</v>
      </c>
      <c r="R338" s="6" t="n">
        <f aca="false">AA338-Assumptions!$B$29</f>
        <v>205738.093504919</v>
      </c>
      <c r="S338" s="6" t="n">
        <f aca="false">AB338-Assumptions!$B$29</f>
        <v>169831.175218226</v>
      </c>
      <c r="T338" s="6" t="n">
        <f aca="false">AC338-Assumptions!$B$29</f>
        <v>128203.63193477</v>
      </c>
      <c r="U338" s="6" t="n">
        <f aca="false">AD338-Assumptions!$B$29</f>
        <v>83978.7249474994</v>
      </c>
      <c r="V338" s="6" t="n">
        <f aca="false">AE338-Assumptions!$B$29</f>
        <v>34642.9376136194</v>
      </c>
      <c r="W338" s="6" t="n">
        <f aca="false">M338*(1+C338)</f>
        <v>396999.77715094</v>
      </c>
      <c r="X338" s="6" t="n">
        <f aca="false">N338*(1+D338)</f>
        <v>374284.168714176</v>
      </c>
      <c r="Y338" s="6" t="n">
        <f aca="false">O338*(1+E338)</f>
        <v>330281.313857987</v>
      </c>
      <c r="Z338" s="6" t="n">
        <f aca="false">P338*(1+F338)</f>
        <v>293948.737571383</v>
      </c>
      <c r="AA338" s="6" t="n">
        <f aca="false">Q338*(1+G338)</f>
        <v>255738.093504919</v>
      </c>
      <c r="AB338" s="6" t="n">
        <f aca="false">R338*(1+H338)</f>
        <v>219831.175218226</v>
      </c>
      <c r="AC338" s="6" t="n">
        <f aca="false">S338*(1+I338)</f>
        <v>178203.63193477</v>
      </c>
      <c r="AD338" s="6" t="n">
        <f aca="false">T338*(1+J338)</f>
        <v>133978.724947499</v>
      </c>
      <c r="AE338" s="6" t="n">
        <f aca="false">U338*(1+K338)</f>
        <v>84642.9376136194</v>
      </c>
      <c r="AF338" s="6" t="n">
        <f aca="false">V338*(1+L338)</f>
        <v>36523.9610623897</v>
      </c>
      <c r="AG338" s="6" t="n">
        <f aca="false">MIN(M338:V338)</f>
        <v>34642.9376136194</v>
      </c>
      <c r="AH338" s="19" t="n">
        <f aca="false">IF(AG338&gt;=0,1,0)</f>
        <v>1</v>
      </c>
    </row>
    <row r="339" customFormat="false" ht="15" hidden="false" customHeight="false" outlineLevel="0" collapsed="false">
      <c r="A339" s="0" t="n">
        <f aca="false">ROW()-1</f>
        <v>338</v>
      </c>
      <c r="B339" s="6" t="n">
        <f aca="false">Assumptions!$B$35</f>
        <v>441263.996662504</v>
      </c>
      <c r="C339" s="8" t="n">
        <f aca="true">NORMINV(RAND(),Assumptions!$B$14,Assumptions!$B$15)</f>
        <v>0.039127095273141</v>
      </c>
      <c r="D339" s="8" t="n">
        <f aca="true">NORMINV(RAND(),Assumptions!$B$14,Assumptions!$B$15)</f>
        <v>0.0461978160152904</v>
      </c>
      <c r="E339" s="8" t="n">
        <f aca="true">NORMINV(RAND(),Assumptions!$B$14,Assumptions!$B$15)</f>
        <v>0.0389936753909088</v>
      </c>
      <c r="F339" s="8" t="n">
        <f aca="true">NORMINV(RAND(),Assumptions!$B$14,Assumptions!$B$15)</f>
        <v>0.0339452969037555</v>
      </c>
      <c r="G339" s="8" t="n">
        <f aca="true">NORMINV(RAND(),Assumptions!$B$14,Assumptions!$B$15)</f>
        <v>0.0457620113098009</v>
      </c>
      <c r="H339" s="8" t="n">
        <f aca="true">NORMINV(RAND(),Assumptions!$B$14,Assumptions!$B$15)</f>
        <v>0.00640944969394282</v>
      </c>
      <c r="I339" s="8" t="n">
        <f aca="true">NORMINV(RAND(),Assumptions!$B$14,Assumptions!$B$15)</f>
        <v>0.0239411566400658</v>
      </c>
      <c r="J339" s="8" t="n">
        <f aca="true">NORMINV(RAND(),Assumptions!$B$14,Assumptions!$B$15)</f>
        <v>0.0384479566081238</v>
      </c>
      <c r="K339" s="8" t="n">
        <f aca="true">NORMINV(RAND(),Assumptions!$B$14,Assumptions!$B$15)</f>
        <v>0.0298866808696239</v>
      </c>
      <c r="L339" s="8" t="n">
        <f aca="true">NORMINV(RAND(),Assumptions!$B$14,Assumptions!$B$15)</f>
        <v>0.0770226249368426</v>
      </c>
      <c r="M339" s="6" t="n">
        <f aca="false">B339-Assumptions!$B$29</f>
        <v>391263.996662504</v>
      </c>
      <c r="N339" s="6" t="n">
        <f aca="false">W339-Assumptions!$B$29</f>
        <v>356573.020336867</v>
      </c>
      <c r="O339" s="6" t="n">
        <f aca="false">X339-Assumptions!$B$29</f>
        <v>323045.915126406</v>
      </c>
      <c r="P339" s="6" t="n">
        <f aca="false">Y339-Assumptions!$B$29</f>
        <v>285642.662677204</v>
      </c>
      <c r="Q339" s="6" t="n">
        <f aca="false">Z339-Assumptions!$B$29</f>
        <v>245338.887670161</v>
      </c>
      <c r="R339" s="6" t="n">
        <f aca="false">AA339-Assumptions!$B$29</f>
        <v>206566.088622457</v>
      </c>
      <c r="S339" s="6" t="n">
        <f aca="false">AB339-Assumptions!$B$29</f>
        <v>157890.063575958</v>
      </c>
      <c r="T339" s="6" t="n">
        <f aca="false">AC339-Assumptions!$B$29</f>
        <v>111670.134319939</v>
      </c>
      <c r="U339" s="6" t="n">
        <f aca="false">AD339-Assumptions!$B$29</f>
        <v>65963.6227986959</v>
      </c>
      <c r="V339" s="6" t="n">
        <f aca="false">AE339-Assumptions!$B$29</f>
        <v>17935.0565422847</v>
      </c>
      <c r="W339" s="6" t="n">
        <f aca="false">M339*(1+C339)</f>
        <v>406573.020336867</v>
      </c>
      <c r="X339" s="6" t="n">
        <f aca="false">N339*(1+D339)</f>
        <v>373045.915126406</v>
      </c>
      <c r="Y339" s="6" t="n">
        <f aca="false">O339*(1+E339)</f>
        <v>335642.662677204</v>
      </c>
      <c r="Z339" s="6" t="n">
        <f aca="false">P339*(1+F339)</f>
        <v>295338.887670161</v>
      </c>
      <c r="AA339" s="6" t="n">
        <f aca="false">Q339*(1+G339)</f>
        <v>256566.088622457</v>
      </c>
      <c r="AB339" s="6" t="n">
        <f aca="false">R339*(1+H339)</f>
        <v>207890.063575958</v>
      </c>
      <c r="AC339" s="6" t="n">
        <f aca="false">S339*(1+I339)</f>
        <v>161670.134319939</v>
      </c>
      <c r="AD339" s="6" t="n">
        <f aca="false">T339*(1+J339)</f>
        <v>115963.622798696</v>
      </c>
      <c r="AE339" s="6" t="n">
        <f aca="false">U339*(1+K339)</f>
        <v>67935.0565422847</v>
      </c>
      <c r="AF339" s="6" t="n">
        <f aca="false">V339*(1+L339)</f>
        <v>19316.4616755622</v>
      </c>
      <c r="AG339" s="6" t="n">
        <f aca="false">MIN(M339:V339)</f>
        <v>17935.0565422847</v>
      </c>
      <c r="AH339" s="19" t="n">
        <f aca="false">IF(AG339&gt;=0,1,0)</f>
        <v>1</v>
      </c>
    </row>
    <row r="340" customFormat="false" ht="15" hidden="false" customHeight="false" outlineLevel="0" collapsed="false">
      <c r="A340" s="0" t="n">
        <f aca="false">ROW()-1</f>
        <v>339</v>
      </c>
      <c r="B340" s="6" t="n">
        <f aca="false">Assumptions!$B$35</f>
        <v>441263.996662504</v>
      </c>
      <c r="C340" s="8" t="n">
        <f aca="true">NORMINV(RAND(),Assumptions!$B$14,Assumptions!$B$15)</f>
        <v>0.0420951113260051</v>
      </c>
      <c r="D340" s="8" t="n">
        <f aca="true">NORMINV(RAND(),Assumptions!$B$14,Assumptions!$B$15)</f>
        <v>0.0168409909534734</v>
      </c>
      <c r="E340" s="8" t="n">
        <f aca="true">NORMINV(RAND(),Assumptions!$B$14,Assumptions!$B$15)</f>
        <v>0.0689031144324295</v>
      </c>
      <c r="F340" s="8" t="n">
        <f aca="true">NORMINV(RAND(),Assumptions!$B$14,Assumptions!$B$15)</f>
        <v>0.134856189629499</v>
      </c>
      <c r="G340" s="8" t="n">
        <f aca="true">NORMINV(RAND(),Assumptions!$B$14,Assumptions!$B$15)</f>
        <v>0.0631179917289025</v>
      </c>
      <c r="H340" s="8" t="n">
        <f aca="true">NORMINV(RAND(),Assumptions!$B$14,Assumptions!$B$15)</f>
        <v>0.032140545999195</v>
      </c>
      <c r="I340" s="8" t="n">
        <f aca="true">NORMINV(RAND(),Assumptions!$B$14,Assumptions!$B$15)</f>
        <v>0.0365645579459287</v>
      </c>
      <c r="J340" s="8" t="n">
        <f aca="true">NORMINV(RAND(),Assumptions!$B$14,Assumptions!$B$15)</f>
        <v>0.0526157651848612</v>
      </c>
      <c r="K340" s="8" t="n">
        <f aca="true">NORMINV(RAND(),Assumptions!$B$14,Assumptions!$B$15)</f>
        <v>0.0415256205254437</v>
      </c>
      <c r="L340" s="8" t="n">
        <f aca="true">NORMINV(RAND(),Assumptions!$B$14,Assumptions!$B$15)</f>
        <v>0.0804776270415593</v>
      </c>
      <c r="M340" s="6" t="n">
        <f aca="false">B340-Assumptions!$B$29</f>
        <v>391263.996662504</v>
      </c>
      <c r="N340" s="6" t="n">
        <f aca="false">W340-Assumptions!$B$29</f>
        <v>357734.298159869</v>
      </c>
      <c r="O340" s="6" t="n">
        <f aca="false">X340-Assumptions!$B$29</f>
        <v>313758.898238927</v>
      </c>
      <c r="P340" s="6" t="n">
        <f aca="false">Y340-Assumptions!$B$29</f>
        <v>285377.863508477</v>
      </c>
      <c r="Q340" s="6" t="n">
        <f aca="false">Z340-Assumptions!$B$29</f>
        <v>273862.834785837</v>
      </c>
      <c r="R340" s="6" t="n">
        <f aca="false">AA340-Assumptions!$B$29</f>
        <v>241148.506926703</v>
      </c>
      <c r="S340" s="6" t="n">
        <f aca="false">AB340-Assumptions!$B$29</f>
        <v>198899.151606218</v>
      </c>
      <c r="T340" s="6" t="n">
        <f aca="false">AC340-Assumptions!$B$29</f>
        <v>156171.81116052</v>
      </c>
      <c r="U340" s="6" t="n">
        <f aca="false">AD340-Assumptions!$B$29</f>
        <v>114388.910505036</v>
      </c>
      <c r="V340" s="6" t="n">
        <f aca="false">AE340-Assumptions!$B$29</f>
        <v>69138.9809949872</v>
      </c>
      <c r="W340" s="6" t="n">
        <f aca="false">M340*(1+C340)</f>
        <v>407734.298159869</v>
      </c>
      <c r="X340" s="6" t="n">
        <f aca="false">N340*(1+D340)</f>
        <v>363758.898238927</v>
      </c>
      <c r="Y340" s="6" t="n">
        <f aca="false">O340*(1+E340)</f>
        <v>335377.863508477</v>
      </c>
      <c r="Z340" s="6" t="n">
        <f aca="false">P340*(1+F340)</f>
        <v>323862.834785837</v>
      </c>
      <c r="AA340" s="6" t="n">
        <f aca="false">Q340*(1+G340)</f>
        <v>291148.506926703</v>
      </c>
      <c r="AB340" s="6" t="n">
        <f aca="false">R340*(1+H340)</f>
        <v>248899.151606218</v>
      </c>
      <c r="AC340" s="6" t="n">
        <f aca="false">S340*(1+I340)</f>
        <v>206171.81116052</v>
      </c>
      <c r="AD340" s="6" t="n">
        <f aca="false">T340*(1+J340)</f>
        <v>164388.910505036</v>
      </c>
      <c r="AE340" s="6" t="n">
        <f aca="false">U340*(1+K340)</f>
        <v>119138.980994987</v>
      </c>
      <c r="AF340" s="6" t="n">
        <f aca="false">V340*(1+L340)</f>
        <v>74703.1221215352</v>
      </c>
      <c r="AG340" s="6" t="n">
        <f aca="false">MIN(M340:V340)</f>
        <v>69138.9809949872</v>
      </c>
      <c r="AH340" s="19" t="n">
        <f aca="false">IF(AG340&gt;=0,1,0)</f>
        <v>1</v>
      </c>
    </row>
    <row r="341" customFormat="false" ht="15" hidden="false" customHeight="false" outlineLevel="0" collapsed="false">
      <c r="A341" s="0" t="n">
        <f aca="false">ROW()-1</f>
        <v>340</v>
      </c>
      <c r="B341" s="6" t="n">
        <f aca="false">Assumptions!$B$35</f>
        <v>441263.996662504</v>
      </c>
      <c r="C341" s="8" t="n">
        <f aca="true">NORMINV(RAND(),Assumptions!$B$14,Assumptions!$B$15)</f>
        <v>0.0486973101034226</v>
      </c>
      <c r="D341" s="8" t="n">
        <f aca="true">NORMINV(RAND(),Assumptions!$B$14,Assumptions!$B$15)</f>
        <v>0.025400716841239</v>
      </c>
      <c r="E341" s="8" t="n">
        <f aca="true">NORMINV(RAND(),Assumptions!$B$14,Assumptions!$B$15)</f>
        <v>0.0350154042807003</v>
      </c>
      <c r="F341" s="8" t="n">
        <f aca="true">NORMINV(RAND(),Assumptions!$B$14,Assumptions!$B$15)</f>
        <v>-0.0144978800189453</v>
      </c>
      <c r="G341" s="8" t="n">
        <f aca="true">NORMINV(RAND(),Assumptions!$B$14,Assumptions!$B$15)</f>
        <v>-0.00899138346645711</v>
      </c>
      <c r="H341" s="8" t="n">
        <f aca="true">NORMINV(RAND(),Assumptions!$B$14,Assumptions!$B$15)</f>
        <v>0.0799287425793573</v>
      </c>
      <c r="I341" s="8" t="n">
        <f aca="true">NORMINV(RAND(),Assumptions!$B$14,Assumptions!$B$15)</f>
        <v>0.0103655635718658</v>
      </c>
      <c r="J341" s="8" t="n">
        <f aca="true">NORMINV(RAND(),Assumptions!$B$14,Assumptions!$B$15)</f>
        <v>0.0161982060102929</v>
      </c>
      <c r="K341" s="8" t="n">
        <f aca="true">NORMINV(RAND(),Assumptions!$B$14,Assumptions!$B$15)</f>
        <v>0.0639767433146724</v>
      </c>
      <c r="L341" s="8" t="n">
        <f aca="true">NORMINV(RAND(),Assumptions!$B$14,Assumptions!$B$15)</f>
        <v>0.0964198872599745</v>
      </c>
      <c r="M341" s="6" t="n">
        <f aca="false">B341-Assumptions!$B$29</f>
        <v>391263.996662504</v>
      </c>
      <c r="N341" s="6" t="n">
        <f aca="false">W341-Assumptions!$B$29</f>
        <v>360317.500840282</v>
      </c>
      <c r="O341" s="6" t="n">
        <f aca="false">X341-Assumptions!$B$29</f>
        <v>319469.823652069</v>
      </c>
      <c r="P341" s="6" t="n">
        <f aca="false">Y341-Assumptions!$B$29</f>
        <v>280656.18868273</v>
      </c>
      <c r="Q341" s="6" t="n">
        <f aca="false">Z341-Assumptions!$B$29</f>
        <v>226587.268932633</v>
      </c>
      <c r="R341" s="6" t="n">
        <f aca="false">AA341-Assumptions!$B$29</f>
        <v>174549.935909043</v>
      </c>
      <c r="S341" s="6" t="n">
        <f aca="false">AB341-Assumptions!$B$29</f>
        <v>138501.49280356</v>
      </c>
      <c r="T341" s="6" t="n">
        <f aca="false">AC341-Assumptions!$B$29</f>
        <v>89937.1388320137</v>
      </c>
      <c r="U341" s="6" t="n">
        <f aca="false">AD341-Assumptions!$B$29</f>
        <v>41393.9591347909</v>
      </c>
      <c r="V341" s="6" t="n">
        <f aca="false">AE341-Assumptions!$B$29</f>
        <v>-5957.79016686451</v>
      </c>
      <c r="W341" s="6" t="n">
        <f aca="false">M341*(1+C341)</f>
        <v>410317.500840282</v>
      </c>
      <c r="X341" s="6" t="n">
        <f aca="false">N341*(1+D341)</f>
        <v>369469.823652069</v>
      </c>
      <c r="Y341" s="6" t="n">
        <f aca="false">O341*(1+E341)</f>
        <v>330656.18868273</v>
      </c>
      <c r="Z341" s="6" t="n">
        <f aca="false">P341*(1+F341)</f>
        <v>276587.268932633</v>
      </c>
      <c r="AA341" s="6" t="n">
        <f aca="false">Q341*(1+G341)</f>
        <v>224549.935909043</v>
      </c>
      <c r="AB341" s="6" t="n">
        <f aca="false">R341*(1+H341)</f>
        <v>188501.49280356</v>
      </c>
      <c r="AC341" s="6" t="n">
        <f aca="false">S341*(1+I341)</f>
        <v>139937.138832014</v>
      </c>
      <c r="AD341" s="6" t="n">
        <f aca="false">T341*(1+J341)</f>
        <v>91393.9591347909</v>
      </c>
      <c r="AE341" s="6" t="n">
        <f aca="false">U341*(1+K341)</f>
        <v>44042.2098331355</v>
      </c>
      <c r="AF341" s="6" t="n">
        <f aca="false">V341*(1+L341)</f>
        <v>-6532.23962307217</v>
      </c>
      <c r="AG341" s="6" t="n">
        <f aca="false">MIN(M341:V341)</f>
        <v>-5957.79016686451</v>
      </c>
      <c r="AH341" s="19" t="n">
        <f aca="false">IF(AG341&gt;=0,1,0)</f>
        <v>0</v>
      </c>
    </row>
    <row r="342" customFormat="false" ht="15" hidden="false" customHeight="false" outlineLevel="0" collapsed="false">
      <c r="A342" s="0" t="n">
        <f aca="false">ROW()-1</f>
        <v>341</v>
      </c>
      <c r="B342" s="6" t="n">
        <f aca="false">Assumptions!$B$35</f>
        <v>441263.996662504</v>
      </c>
      <c r="C342" s="8" t="n">
        <f aca="true">NORMINV(RAND(),Assumptions!$B$14,Assumptions!$B$15)</f>
        <v>0.0628766442885489</v>
      </c>
      <c r="D342" s="8" t="n">
        <f aca="true">NORMINV(RAND(),Assumptions!$B$14,Assumptions!$B$15)</f>
        <v>0.0722416706842194</v>
      </c>
      <c r="E342" s="8" t="n">
        <f aca="true">NORMINV(RAND(),Assumptions!$B$14,Assumptions!$B$15)</f>
        <v>0.011942830591678</v>
      </c>
      <c r="F342" s="8" t="n">
        <f aca="true">NORMINV(RAND(),Assumptions!$B$14,Assumptions!$B$15)</f>
        <v>0.0365190266968215</v>
      </c>
      <c r="G342" s="8" t="n">
        <f aca="true">NORMINV(RAND(),Assumptions!$B$14,Assumptions!$B$15)</f>
        <v>0.0886092463563096</v>
      </c>
      <c r="H342" s="8" t="n">
        <f aca="true">NORMINV(RAND(),Assumptions!$B$14,Assumptions!$B$15)</f>
        <v>0.0681625185856189</v>
      </c>
      <c r="I342" s="8" t="n">
        <f aca="true">NORMINV(RAND(),Assumptions!$B$14,Assumptions!$B$15)</f>
        <v>0.0674573551924105</v>
      </c>
      <c r="J342" s="8" t="n">
        <f aca="true">NORMINV(RAND(),Assumptions!$B$14,Assumptions!$B$15)</f>
        <v>0.0508812624759595</v>
      </c>
      <c r="K342" s="8" t="n">
        <f aca="true">NORMINV(RAND(),Assumptions!$B$14,Assumptions!$B$15)</f>
        <v>0.031700996134682</v>
      </c>
      <c r="L342" s="8" t="n">
        <f aca="true">NORMINV(RAND(),Assumptions!$B$14,Assumptions!$B$15)</f>
        <v>0.0136832006941195</v>
      </c>
      <c r="M342" s="6" t="n">
        <f aca="false">B342-Assumptions!$B$29</f>
        <v>391263.996662504</v>
      </c>
      <c r="N342" s="6" t="n">
        <f aca="false">W342-Assumptions!$B$29</f>
        <v>365865.363803568</v>
      </c>
      <c r="O342" s="6" t="n">
        <f aca="false">X342-Assumptions!$B$29</f>
        <v>342296.088930227</v>
      </c>
      <c r="P342" s="6" t="n">
        <f aca="false">Y342-Assumptions!$B$29</f>
        <v>296384.073132515</v>
      </c>
      <c r="Q342" s="6" t="n">
        <f aca="false">Z342-Assumptions!$B$29</f>
        <v>257207.731011754</v>
      </c>
      <c r="R342" s="6" t="n">
        <f aca="false">AA342-Assumptions!$B$29</f>
        <v>229998.714213722</v>
      </c>
      <c r="S342" s="6" t="n">
        <f aca="false">AB342-Assumptions!$B$29</f>
        <v>195676.005845983</v>
      </c>
      <c r="T342" s="6" t="n">
        <f aca="false">AC342-Assumptions!$B$29</f>
        <v>158875.791674968</v>
      </c>
      <c r="U342" s="6" t="n">
        <f aca="false">AD342-Assumptions!$B$29</f>
        <v>116959.592532258</v>
      </c>
      <c r="V342" s="6" t="n">
        <f aca="false">AE342-Assumptions!$B$29</f>
        <v>70667.3281230366</v>
      </c>
      <c r="W342" s="6" t="n">
        <f aca="false">M342*(1+C342)</f>
        <v>415865.363803568</v>
      </c>
      <c r="X342" s="6" t="n">
        <f aca="false">N342*(1+D342)</f>
        <v>392296.088930227</v>
      </c>
      <c r="Y342" s="6" t="n">
        <f aca="false">O342*(1+E342)</f>
        <v>346384.073132515</v>
      </c>
      <c r="Z342" s="6" t="n">
        <f aca="false">P342*(1+F342)</f>
        <v>307207.731011754</v>
      </c>
      <c r="AA342" s="6" t="n">
        <f aca="false">Q342*(1+G342)</f>
        <v>279998.714213722</v>
      </c>
      <c r="AB342" s="6" t="n">
        <f aca="false">R342*(1+H342)</f>
        <v>245676.005845983</v>
      </c>
      <c r="AC342" s="6" t="n">
        <f aca="false">S342*(1+I342)</f>
        <v>208875.791674968</v>
      </c>
      <c r="AD342" s="6" t="n">
        <f aca="false">T342*(1+J342)</f>
        <v>166959.592532258</v>
      </c>
      <c r="AE342" s="6" t="n">
        <f aca="false">U342*(1+K342)</f>
        <v>120667.328123037</v>
      </c>
      <c r="AF342" s="6" t="n">
        <f aca="false">V342*(1+L342)</f>
        <v>71634.2833562613</v>
      </c>
      <c r="AG342" s="6" t="n">
        <f aca="false">MIN(M342:V342)</f>
        <v>70667.3281230366</v>
      </c>
      <c r="AH342" s="19" t="n">
        <f aca="false">IF(AG342&gt;=0,1,0)</f>
        <v>1</v>
      </c>
    </row>
    <row r="343" customFormat="false" ht="15" hidden="false" customHeight="false" outlineLevel="0" collapsed="false">
      <c r="A343" s="0" t="n">
        <f aca="false">ROW()-1</f>
        <v>342</v>
      </c>
      <c r="B343" s="6" t="n">
        <f aca="false">Assumptions!$B$35</f>
        <v>441263.996662504</v>
      </c>
      <c r="C343" s="8" t="n">
        <f aca="true">NORMINV(RAND(),Assumptions!$B$14,Assumptions!$B$15)</f>
        <v>0.0267681904147311</v>
      </c>
      <c r="D343" s="8" t="n">
        <f aca="true">NORMINV(RAND(),Assumptions!$B$14,Assumptions!$B$15)</f>
        <v>0.0333976468349093</v>
      </c>
      <c r="E343" s="8" t="n">
        <f aca="true">NORMINV(RAND(),Assumptions!$B$14,Assumptions!$B$15)</f>
        <v>0.0151494665479646</v>
      </c>
      <c r="F343" s="8" t="n">
        <f aca="true">NORMINV(RAND(),Assumptions!$B$14,Assumptions!$B$15)</f>
        <v>0.0439039178382584</v>
      </c>
      <c r="G343" s="8" t="n">
        <f aca="true">NORMINV(RAND(),Assumptions!$B$14,Assumptions!$B$15)</f>
        <v>0.073490294659152</v>
      </c>
      <c r="H343" s="8" t="n">
        <f aca="true">NORMINV(RAND(),Assumptions!$B$14,Assumptions!$B$15)</f>
        <v>0.0681406552533067</v>
      </c>
      <c r="I343" s="8" t="n">
        <f aca="true">NORMINV(RAND(),Assumptions!$B$14,Assumptions!$B$15)</f>
        <v>0.0573227471797573</v>
      </c>
      <c r="J343" s="8" t="n">
        <f aca="true">NORMINV(RAND(),Assumptions!$B$14,Assumptions!$B$15)</f>
        <v>0.0616806053729246</v>
      </c>
      <c r="K343" s="8" t="n">
        <f aca="true">NORMINV(RAND(),Assumptions!$B$14,Assumptions!$B$15)</f>
        <v>0.0434173775747824</v>
      </c>
      <c r="L343" s="8" t="n">
        <f aca="true">NORMINV(RAND(),Assumptions!$B$14,Assumptions!$B$15)</f>
        <v>0.0649179431402442</v>
      </c>
      <c r="M343" s="6" t="n">
        <f aca="false">B343-Assumptions!$B$29</f>
        <v>391263.996662504</v>
      </c>
      <c r="N343" s="6" t="n">
        <f aca="false">W343-Assumptions!$B$29</f>
        <v>351737.425827594</v>
      </c>
      <c r="O343" s="6" t="n">
        <f aca="false">X343-Assumptions!$B$29</f>
        <v>313484.628154004</v>
      </c>
      <c r="P343" s="6" t="n">
        <f aca="false">Y343-Assumptions!$B$29</f>
        <v>268233.753041525</v>
      </c>
      <c r="Q343" s="6" t="n">
        <f aca="false">Z343-Assumptions!$B$29</f>
        <v>230010.265696507</v>
      </c>
      <c r="R343" s="6" t="n">
        <f aca="false">AA343-Assumptions!$B$29</f>
        <v>196913.787897173</v>
      </c>
      <c r="S343" s="6" t="n">
        <f aca="false">AB343-Assumptions!$B$29</f>
        <v>160331.622432898</v>
      </c>
      <c r="T343" s="6" t="n">
        <f aca="false">AC343-Assumptions!$B$29</f>
        <v>119522.271490539</v>
      </c>
      <c r="U343" s="6" t="n">
        <f aca="false">AD343-Assumptions!$B$29</f>
        <v>76894.4775516223</v>
      </c>
      <c r="V343" s="6" t="n">
        <f aca="false">AE343-Assumptions!$B$29</f>
        <v>30233.0341168967</v>
      </c>
      <c r="W343" s="6" t="n">
        <f aca="false">M343*(1+C343)</f>
        <v>401737.425827594</v>
      </c>
      <c r="X343" s="6" t="n">
        <f aca="false">N343*(1+D343)</f>
        <v>363484.628154004</v>
      </c>
      <c r="Y343" s="6" t="n">
        <f aca="false">O343*(1+E343)</f>
        <v>318233.753041525</v>
      </c>
      <c r="Z343" s="6" t="n">
        <f aca="false">P343*(1+F343)</f>
        <v>280010.265696507</v>
      </c>
      <c r="AA343" s="6" t="n">
        <f aca="false">Q343*(1+G343)</f>
        <v>246913.787897173</v>
      </c>
      <c r="AB343" s="6" t="n">
        <f aca="false">R343*(1+H343)</f>
        <v>210331.622432898</v>
      </c>
      <c r="AC343" s="6" t="n">
        <f aca="false">S343*(1+I343)</f>
        <v>169522.271490539</v>
      </c>
      <c r="AD343" s="6" t="n">
        <f aca="false">T343*(1+J343)</f>
        <v>126894.477551622</v>
      </c>
      <c r="AE343" s="6" t="n">
        <f aca="false">U343*(1+K343)</f>
        <v>80233.0341168967</v>
      </c>
      <c r="AF343" s="6" t="n">
        <f aca="false">V343*(1+L343)</f>
        <v>32195.7005066544</v>
      </c>
      <c r="AG343" s="6" t="n">
        <f aca="false">MIN(M343:V343)</f>
        <v>30233.0341168967</v>
      </c>
      <c r="AH343" s="19" t="n">
        <f aca="false">IF(AG343&gt;=0,1,0)</f>
        <v>1</v>
      </c>
    </row>
    <row r="344" customFormat="false" ht="15" hidden="false" customHeight="false" outlineLevel="0" collapsed="false">
      <c r="A344" s="0" t="n">
        <f aca="false">ROW()-1</f>
        <v>343</v>
      </c>
      <c r="B344" s="6" t="n">
        <f aca="false">Assumptions!$B$35</f>
        <v>441263.996662504</v>
      </c>
      <c r="C344" s="8" t="n">
        <f aca="true">NORMINV(RAND(),Assumptions!$B$14,Assumptions!$B$15)</f>
        <v>0.0457263544189765</v>
      </c>
      <c r="D344" s="8" t="n">
        <f aca="true">NORMINV(RAND(),Assumptions!$B$14,Assumptions!$B$15)</f>
        <v>0.0433695306842212</v>
      </c>
      <c r="E344" s="8" t="n">
        <f aca="true">NORMINV(RAND(),Assumptions!$B$14,Assumptions!$B$15)</f>
        <v>0.0959416103881648</v>
      </c>
      <c r="F344" s="8" t="n">
        <f aca="true">NORMINV(RAND(),Assumptions!$B$14,Assumptions!$B$15)</f>
        <v>0.0850761971817327</v>
      </c>
      <c r="G344" s="8" t="n">
        <f aca="true">NORMINV(RAND(),Assumptions!$B$14,Assumptions!$B$15)</f>
        <v>0.075820487705461</v>
      </c>
      <c r="H344" s="8" t="n">
        <f aca="true">NORMINV(RAND(),Assumptions!$B$14,Assumptions!$B$15)</f>
        <v>0.0886916703691214</v>
      </c>
      <c r="I344" s="8" t="n">
        <f aca="true">NORMINV(RAND(),Assumptions!$B$14,Assumptions!$B$15)</f>
        <v>0.0774229241321962</v>
      </c>
      <c r="J344" s="8" t="n">
        <f aca="true">NORMINV(RAND(),Assumptions!$B$14,Assumptions!$B$15)</f>
        <v>0.0215529318643812</v>
      </c>
      <c r="K344" s="8" t="n">
        <f aca="true">NORMINV(RAND(),Assumptions!$B$14,Assumptions!$B$15)</f>
        <v>0.135180855357359</v>
      </c>
      <c r="L344" s="8" t="n">
        <f aca="true">NORMINV(RAND(),Assumptions!$B$14,Assumptions!$B$15)</f>
        <v>0.0236597342134278</v>
      </c>
      <c r="M344" s="6" t="n">
        <f aca="false">B344-Assumptions!$B$29</f>
        <v>391263.996662504</v>
      </c>
      <c r="N344" s="6" t="n">
        <f aca="false">W344-Assumptions!$B$29</f>
        <v>359155.072845278</v>
      </c>
      <c r="O344" s="6" t="n">
        <f aca="false">X344-Assumptions!$B$29</f>
        <v>324731.459797435</v>
      </c>
      <c r="P344" s="6" t="n">
        <f aca="false">Y344-Assumptions!$B$29</f>
        <v>305886.718994101</v>
      </c>
      <c r="Q344" s="6" t="n">
        <f aca="false">Z344-Assumptions!$B$29</f>
        <v>281910.397814516</v>
      </c>
      <c r="R344" s="6" t="n">
        <f aca="false">AA344-Assumptions!$B$29</f>
        <v>253284.981666054</v>
      </c>
      <c r="S344" s="6" t="n">
        <f aca="false">AB344-Assumptions!$B$29</f>
        <v>225749.249769428</v>
      </c>
      <c r="T344" s="6" t="n">
        <f aca="false">AC344-Assumptions!$B$29</f>
        <v>193227.416807227</v>
      </c>
      <c r="U344" s="6" t="n">
        <f aca="false">AD344-Assumptions!$B$29</f>
        <v>147392.034156003</v>
      </c>
      <c r="V344" s="6" t="n">
        <f aca="false">AE344-Assumptions!$B$29</f>
        <v>117316.615406073</v>
      </c>
      <c r="W344" s="6" t="n">
        <f aca="false">M344*(1+C344)</f>
        <v>409155.072845278</v>
      </c>
      <c r="X344" s="6" t="n">
        <f aca="false">N344*(1+D344)</f>
        <v>374731.459797435</v>
      </c>
      <c r="Y344" s="6" t="n">
        <f aca="false">O344*(1+E344)</f>
        <v>355886.718994101</v>
      </c>
      <c r="Z344" s="6" t="n">
        <f aca="false">P344*(1+F344)</f>
        <v>331910.397814516</v>
      </c>
      <c r="AA344" s="6" t="n">
        <f aca="false">Q344*(1+G344)</f>
        <v>303284.981666054</v>
      </c>
      <c r="AB344" s="6" t="n">
        <f aca="false">R344*(1+H344)</f>
        <v>275749.249769428</v>
      </c>
      <c r="AC344" s="6" t="n">
        <f aca="false">S344*(1+I344)</f>
        <v>243227.416807227</v>
      </c>
      <c r="AD344" s="6" t="n">
        <f aca="false">T344*(1+J344)</f>
        <v>197392.034156003</v>
      </c>
      <c r="AE344" s="6" t="n">
        <f aca="false">U344*(1+K344)</f>
        <v>167316.615406073</v>
      </c>
      <c r="AF344" s="6" t="n">
        <f aca="false">V344*(1+L344)</f>
        <v>120092.2953454</v>
      </c>
      <c r="AG344" s="6" t="n">
        <f aca="false">MIN(M344:V344)</f>
        <v>117316.615406073</v>
      </c>
      <c r="AH344" s="19" t="n">
        <f aca="false">IF(AG344&gt;=0,1,0)</f>
        <v>1</v>
      </c>
    </row>
    <row r="345" customFormat="false" ht="15" hidden="false" customHeight="false" outlineLevel="0" collapsed="false">
      <c r="A345" s="0" t="n">
        <f aca="false">ROW()-1</f>
        <v>344</v>
      </c>
      <c r="B345" s="6" t="n">
        <f aca="false">Assumptions!$B$35</f>
        <v>441263.996662504</v>
      </c>
      <c r="C345" s="8" t="n">
        <f aca="true">NORMINV(RAND(),Assumptions!$B$14,Assumptions!$B$15)</f>
        <v>0.0854213815498338</v>
      </c>
      <c r="D345" s="8" t="n">
        <f aca="true">NORMINV(RAND(),Assumptions!$B$14,Assumptions!$B$15)</f>
        <v>0.0408025288497628</v>
      </c>
      <c r="E345" s="8" t="n">
        <f aca="true">NORMINV(RAND(),Assumptions!$B$14,Assumptions!$B$15)</f>
        <v>0.0574003738423869</v>
      </c>
      <c r="F345" s="8" t="n">
        <f aca="true">NORMINV(RAND(),Assumptions!$B$14,Assumptions!$B$15)</f>
        <v>0.0460077550178943</v>
      </c>
      <c r="G345" s="8" t="n">
        <f aca="true">NORMINV(RAND(),Assumptions!$B$14,Assumptions!$B$15)</f>
        <v>0.022304087536651</v>
      </c>
      <c r="H345" s="8" t="n">
        <f aca="true">NORMINV(RAND(),Assumptions!$B$14,Assumptions!$B$15)</f>
        <v>0.0464239047254614</v>
      </c>
      <c r="I345" s="8" t="n">
        <f aca="true">NORMINV(RAND(),Assumptions!$B$14,Assumptions!$B$15)</f>
        <v>0.0378698758765213</v>
      </c>
      <c r="J345" s="8" t="n">
        <f aca="true">NORMINV(RAND(),Assumptions!$B$14,Assumptions!$B$15)</f>
        <v>0.0752649787954722</v>
      </c>
      <c r="K345" s="8" t="n">
        <f aca="true">NORMINV(RAND(),Assumptions!$B$14,Assumptions!$B$15)</f>
        <v>0.0668540625532645</v>
      </c>
      <c r="L345" s="8" t="n">
        <f aca="true">NORMINV(RAND(),Assumptions!$B$14,Assumptions!$B$15)</f>
        <v>0.0582212602458742</v>
      </c>
      <c r="M345" s="6" t="n">
        <f aca="false">B345-Assumptions!$B$29</f>
        <v>391263.996662504</v>
      </c>
      <c r="N345" s="6" t="n">
        <f aca="false">W345-Assumptions!$B$29</f>
        <v>374686.307808124</v>
      </c>
      <c r="O345" s="6" t="n">
        <f aca="false">X345-Assumptions!$B$29</f>
        <v>339974.456692076</v>
      </c>
      <c r="P345" s="6" t="n">
        <f aca="false">Y345-Assumptions!$B$29</f>
        <v>309489.117603064</v>
      </c>
      <c r="Q345" s="6" t="n">
        <f aca="false">Z345-Assumptions!$B$29</f>
        <v>273728.01710645</v>
      </c>
      <c r="R345" s="6" t="n">
        <f aca="false">AA345-Assumptions!$B$29</f>
        <v>229833.270761226</v>
      </c>
      <c r="S345" s="6" t="n">
        <f aca="false">AB345-Assumptions!$B$29</f>
        <v>190503.028625786</v>
      </c>
      <c r="T345" s="6" t="n">
        <f aca="false">AC345-Assumptions!$B$29</f>
        <v>147717.354673946</v>
      </c>
      <c r="U345" s="6" t="n">
        <f aca="false">AD345-Assumptions!$B$29</f>
        <v>108835.298241204</v>
      </c>
      <c r="V345" s="6" t="n">
        <f aca="false">AE345-Assumptions!$B$29</f>
        <v>66111.3800778248</v>
      </c>
      <c r="W345" s="6" t="n">
        <f aca="false">M345*(1+C345)</f>
        <v>424686.307808124</v>
      </c>
      <c r="X345" s="6" t="n">
        <f aca="false">N345*(1+D345)</f>
        <v>389974.456692076</v>
      </c>
      <c r="Y345" s="6" t="n">
        <f aca="false">O345*(1+E345)</f>
        <v>359489.117603064</v>
      </c>
      <c r="Z345" s="6" t="n">
        <f aca="false">P345*(1+F345)</f>
        <v>323728.01710645</v>
      </c>
      <c r="AA345" s="6" t="n">
        <f aca="false">Q345*(1+G345)</f>
        <v>279833.270761226</v>
      </c>
      <c r="AB345" s="6" t="n">
        <f aca="false">R345*(1+H345)</f>
        <v>240503.028625786</v>
      </c>
      <c r="AC345" s="6" t="n">
        <f aca="false">S345*(1+I345)</f>
        <v>197717.354673946</v>
      </c>
      <c r="AD345" s="6" t="n">
        <f aca="false">T345*(1+J345)</f>
        <v>158835.298241204</v>
      </c>
      <c r="AE345" s="6" t="n">
        <f aca="false">U345*(1+K345)</f>
        <v>116111.380077825</v>
      </c>
      <c r="AF345" s="6" t="n">
        <f aca="false">V345*(1+L345)</f>
        <v>69960.4679425498</v>
      </c>
      <c r="AG345" s="6" t="n">
        <f aca="false">MIN(M345:V345)</f>
        <v>66111.3800778248</v>
      </c>
      <c r="AH345" s="19" t="n">
        <f aca="false">IF(AG345&gt;=0,1,0)</f>
        <v>1</v>
      </c>
    </row>
    <row r="346" customFormat="false" ht="15" hidden="false" customHeight="false" outlineLevel="0" collapsed="false">
      <c r="A346" s="0" t="n">
        <f aca="false">ROW()-1</f>
        <v>345</v>
      </c>
      <c r="B346" s="6" t="n">
        <f aca="false">Assumptions!$B$35</f>
        <v>441263.996662504</v>
      </c>
      <c r="C346" s="8" t="n">
        <f aca="true">NORMINV(RAND(),Assumptions!$B$14,Assumptions!$B$15)</f>
        <v>0.0775843361978894</v>
      </c>
      <c r="D346" s="8" t="n">
        <f aca="true">NORMINV(RAND(),Assumptions!$B$14,Assumptions!$B$15)</f>
        <v>0.0376147077262864</v>
      </c>
      <c r="E346" s="8" t="n">
        <f aca="true">NORMINV(RAND(),Assumptions!$B$14,Assumptions!$B$15)</f>
        <v>0.0473700405929816</v>
      </c>
      <c r="F346" s="8" t="n">
        <f aca="true">NORMINV(RAND(),Assumptions!$B$14,Assumptions!$B$15)</f>
        <v>0.0814696383771234</v>
      </c>
      <c r="G346" s="8" t="n">
        <f aca="true">NORMINV(RAND(),Assumptions!$B$14,Assumptions!$B$15)</f>
        <v>0.00764516730683956</v>
      </c>
      <c r="H346" s="8" t="n">
        <f aca="true">NORMINV(RAND(),Assumptions!$B$14,Assumptions!$B$15)</f>
        <v>0.046731841357843</v>
      </c>
      <c r="I346" s="8" t="n">
        <f aca="true">NORMINV(RAND(),Assumptions!$B$14,Assumptions!$B$15)</f>
        <v>0.0251833873732274</v>
      </c>
      <c r="J346" s="8" t="n">
        <f aca="true">NORMINV(RAND(),Assumptions!$B$14,Assumptions!$B$15)</f>
        <v>0.0316069542441012</v>
      </c>
      <c r="K346" s="8" t="n">
        <f aca="true">NORMINV(RAND(),Assumptions!$B$14,Assumptions!$B$15)</f>
        <v>0.0528678411437365</v>
      </c>
      <c r="L346" s="8" t="n">
        <f aca="true">NORMINV(RAND(),Assumptions!$B$14,Assumptions!$B$15)</f>
        <v>0.0694915267698605</v>
      </c>
      <c r="M346" s="6" t="n">
        <f aca="false">B346-Assumptions!$B$29</f>
        <v>391263.996662504</v>
      </c>
      <c r="N346" s="6" t="n">
        <f aca="false">W346-Assumptions!$B$29</f>
        <v>371619.954121697</v>
      </c>
      <c r="O346" s="6" t="n">
        <f aca="false">X346-Assumptions!$B$29</f>
        <v>335598.330081241</v>
      </c>
      <c r="P346" s="6" t="n">
        <f aca="false">Y346-Assumptions!$B$29</f>
        <v>301495.636600126</v>
      </c>
      <c r="Q346" s="6" t="n">
        <f aca="false">Z346-Assumptions!$B$29</f>
        <v>276058.377086219</v>
      </c>
      <c r="R346" s="6" t="n">
        <f aca="false">AA346-Assumptions!$B$29</f>
        <v>228168.889565498</v>
      </c>
      <c r="S346" s="6" t="n">
        <f aca="false">AB346-Assumptions!$B$29</f>
        <v>188831.641915468</v>
      </c>
      <c r="T346" s="6" t="n">
        <f aca="false">AC346-Assumptions!$B$29</f>
        <v>143587.062302147</v>
      </c>
      <c r="U346" s="6" t="n">
        <f aca="false">AD346-Assumptions!$B$29</f>
        <v>98125.4120103763</v>
      </c>
      <c r="V346" s="6" t="n">
        <f aca="false">AE346-Assumptions!$B$29</f>
        <v>53313.0907047045</v>
      </c>
      <c r="W346" s="6" t="n">
        <f aca="false">M346*(1+C346)</f>
        <v>421619.954121697</v>
      </c>
      <c r="X346" s="6" t="n">
        <f aca="false">N346*(1+D346)</f>
        <v>385598.330081241</v>
      </c>
      <c r="Y346" s="6" t="n">
        <f aca="false">O346*(1+E346)</f>
        <v>351495.636600126</v>
      </c>
      <c r="Z346" s="6" t="n">
        <f aca="false">P346*(1+F346)</f>
        <v>326058.377086219</v>
      </c>
      <c r="AA346" s="6" t="n">
        <f aca="false">Q346*(1+G346)</f>
        <v>278168.889565498</v>
      </c>
      <c r="AB346" s="6" t="n">
        <f aca="false">R346*(1+H346)</f>
        <v>238831.641915468</v>
      </c>
      <c r="AC346" s="6" t="n">
        <f aca="false">S346*(1+I346)</f>
        <v>193587.062302147</v>
      </c>
      <c r="AD346" s="6" t="n">
        <f aca="false">T346*(1+J346)</f>
        <v>148125.412010376</v>
      </c>
      <c r="AE346" s="6" t="n">
        <f aca="false">U346*(1+K346)</f>
        <v>103313.090704705</v>
      </c>
      <c r="AF346" s="6" t="n">
        <f aca="false">V346*(1+L346)</f>
        <v>57017.8987745945</v>
      </c>
      <c r="AG346" s="6" t="n">
        <f aca="false">MIN(M346:V346)</f>
        <v>53313.0907047045</v>
      </c>
      <c r="AH346" s="19" t="n">
        <f aca="false">IF(AG346&gt;=0,1,0)</f>
        <v>1</v>
      </c>
    </row>
    <row r="347" customFormat="false" ht="15" hidden="false" customHeight="false" outlineLevel="0" collapsed="false">
      <c r="A347" s="0" t="n">
        <f aca="false">ROW()-1</f>
        <v>346</v>
      </c>
      <c r="B347" s="6" t="n">
        <f aca="false">Assumptions!$B$35</f>
        <v>441263.996662504</v>
      </c>
      <c r="C347" s="8" t="n">
        <f aca="true">NORMINV(RAND(),Assumptions!$B$14,Assumptions!$B$15)</f>
        <v>0.0407541743385457</v>
      </c>
      <c r="D347" s="8" t="n">
        <f aca="true">NORMINV(RAND(),Assumptions!$B$14,Assumptions!$B$15)</f>
        <v>0.03327692884374</v>
      </c>
      <c r="E347" s="8" t="n">
        <f aca="true">NORMINV(RAND(),Assumptions!$B$14,Assumptions!$B$15)</f>
        <v>0.0218364410413205</v>
      </c>
      <c r="F347" s="8" t="n">
        <f aca="true">NORMINV(RAND(),Assumptions!$B$14,Assumptions!$B$15)</f>
        <v>0.0625045222152937</v>
      </c>
      <c r="G347" s="8" t="n">
        <f aca="true">NORMINV(RAND(),Assumptions!$B$14,Assumptions!$B$15)</f>
        <v>0.0580779718023354</v>
      </c>
      <c r="H347" s="8" t="n">
        <f aca="true">NORMINV(RAND(),Assumptions!$B$14,Assumptions!$B$15)</f>
        <v>0.0734823718660211</v>
      </c>
      <c r="I347" s="8" t="n">
        <f aca="true">NORMINV(RAND(),Assumptions!$B$14,Assumptions!$B$15)</f>
        <v>0.0709034727574014</v>
      </c>
      <c r="J347" s="8" t="n">
        <f aca="true">NORMINV(RAND(),Assumptions!$B$14,Assumptions!$B$15)</f>
        <v>0.0671375270709587</v>
      </c>
      <c r="K347" s="8" t="n">
        <f aca="true">NORMINV(RAND(),Assumptions!$B$14,Assumptions!$B$15)</f>
        <v>0.0165946493688594</v>
      </c>
      <c r="L347" s="8" t="n">
        <f aca="true">NORMINV(RAND(),Assumptions!$B$14,Assumptions!$B$15)</f>
        <v>0.0544390121346864</v>
      </c>
      <c r="M347" s="6" t="n">
        <f aca="false">B347-Assumptions!$B$29</f>
        <v>391263.996662504</v>
      </c>
      <c r="N347" s="6" t="n">
        <f aca="false">W347-Assumptions!$B$29</f>
        <v>357209.637794883</v>
      </c>
      <c r="O347" s="6" t="n">
        <f aca="false">X347-Assumptions!$B$29</f>
        <v>319096.477494082</v>
      </c>
      <c r="P347" s="6" t="n">
        <f aca="false">Y347-Assumptions!$B$29</f>
        <v>276064.408911374</v>
      </c>
      <c r="Q347" s="6" t="n">
        <f aca="false">Z347-Assumptions!$B$29</f>
        <v>243319.682891027</v>
      </c>
      <c r="R347" s="6" t="n">
        <f aca="false">AA347-Assumptions!$B$29</f>
        <v>207451.196572926</v>
      </c>
      <c r="S347" s="6" t="n">
        <f aca="false">AB347-Assumptions!$B$29</f>
        <v>172695.202543548</v>
      </c>
      <c r="T347" s="6" t="n">
        <f aca="false">AC347-Assumptions!$B$29</f>
        <v>134939.892132429</v>
      </c>
      <c r="U347" s="6" t="n">
        <f aca="false">AD347-Assumptions!$B$29</f>
        <v>93999.422793422</v>
      </c>
      <c r="V347" s="6" t="n">
        <f aca="false">AE347-Assumptions!$B$29</f>
        <v>45559.310255554</v>
      </c>
      <c r="W347" s="6" t="n">
        <f aca="false">M347*(1+C347)</f>
        <v>407209.637794883</v>
      </c>
      <c r="X347" s="6" t="n">
        <f aca="false">N347*(1+D347)</f>
        <v>369096.477494082</v>
      </c>
      <c r="Y347" s="6" t="n">
        <f aca="false">O347*(1+E347)</f>
        <v>326064.408911374</v>
      </c>
      <c r="Z347" s="6" t="n">
        <f aca="false">P347*(1+F347)</f>
        <v>293319.682891027</v>
      </c>
      <c r="AA347" s="6" t="n">
        <f aca="false">Q347*(1+G347)</f>
        <v>257451.196572926</v>
      </c>
      <c r="AB347" s="6" t="n">
        <f aca="false">R347*(1+H347)</f>
        <v>222695.202543548</v>
      </c>
      <c r="AC347" s="6" t="n">
        <f aca="false">S347*(1+I347)</f>
        <v>184939.892132429</v>
      </c>
      <c r="AD347" s="6" t="n">
        <f aca="false">T347*(1+J347)</f>
        <v>143999.422793422</v>
      </c>
      <c r="AE347" s="6" t="n">
        <f aca="false">U347*(1+K347)</f>
        <v>95559.310255554</v>
      </c>
      <c r="AF347" s="6" t="n">
        <f aca="false">V347*(1+L347)</f>
        <v>48039.514099404</v>
      </c>
      <c r="AG347" s="6" t="n">
        <f aca="false">MIN(M347:V347)</f>
        <v>45559.310255554</v>
      </c>
      <c r="AH347" s="19" t="n">
        <f aca="false">IF(AG347&gt;=0,1,0)</f>
        <v>1</v>
      </c>
    </row>
    <row r="348" customFormat="false" ht="15" hidden="false" customHeight="false" outlineLevel="0" collapsed="false">
      <c r="A348" s="0" t="n">
        <f aca="false">ROW()-1</f>
        <v>347</v>
      </c>
      <c r="B348" s="6" t="n">
        <f aca="false">Assumptions!$B$35</f>
        <v>441263.996662504</v>
      </c>
      <c r="C348" s="8" t="n">
        <f aca="true">NORMINV(RAND(),Assumptions!$B$14,Assumptions!$B$15)</f>
        <v>0.0748978822074212</v>
      </c>
      <c r="D348" s="8" t="n">
        <f aca="true">NORMINV(RAND(),Assumptions!$B$14,Assumptions!$B$15)</f>
        <v>0.0194743281722162</v>
      </c>
      <c r="E348" s="8" t="n">
        <f aca="true">NORMINV(RAND(),Assumptions!$B$14,Assumptions!$B$15)</f>
        <v>0.0337802284721866</v>
      </c>
      <c r="F348" s="8" t="n">
        <f aca="true">NORMINV(RAND(),Assumptions!$B$14,Assumptions!$B$15)</f>
        <v>0.0624422904950749</v>
      </c>
      <c r="G348" s="8" t="n">
        <f aca="true">NORMINV(RAND(),Assumptions!$B$14,Assumptions!$B$15)</f>
        <v>0.0454090795007575</v>
      </c>
      <c r="H348" s="8" t="n">
        <f aca="true">NORMINV(RAND(),Assumptions!$B$14,Assumptions!$B$15)</f>
        <v>0.0781984725877355</v>
      </c>
      <c r="I348" s="8" t="n">
        <f aca="true">NORMINV(RAND(),Assumptions!$B$14,Assumptions!$B$15)</f>
        <v>0.0812723366127399</v>
      </c>
      <c r="J348" s="8" t="n">
        <f aca="true">NORMINV(RAND(),Assumptions!$B$14,Assumptions!$B$15)</f>
        <v>0.0730005164682906</v>
      </c>
      <c r="K348" s="8" t="n">
        <f aca="true">NORMINV(RAND(),Assumptions!$B$14,Assumptions!$B$15)</f>
        <v>0.0139608676496065</v>
      </c>
      <c r="L348" s="8" t="n">
        <f aca="true">NORMINV(RAND(),Assumptions!$B$14,Assumptions!$B$15)</f>
        <v>0.0276318326844574</v>
      </c>
      <c r="M348" s="6" t="n">
        <f aca="false">B348-Assumptions!$B$29</f>
        <v>391263.996662504</v>
      </c>
      <c r="N348" s="6" t="n">
        <f aca="false">W348-Assumptions!$B$29</f>
        <v>370568.841396537</v>
      </c>
      <c r="O348" s="6" t="n">
        <f aca="false">X348-Assumptions!$B$29</f>
        <v>327785.420624291</v>
      </c>
      <c r="P348" s="6" t="n">
        <f aca="false">Y348-Assumptions!$B$29</f>
        <v>288858.087022831</v>
      </c>
      <c r="Q348" s="6" t="n">
        <f aca="false">Z348-Assumptions!$B$29</f>
        <v>256895.047604562</v>
      </c>
      <c r="R348" s="6" t="n">
        <f aca="false">AA348-Assumptions!$B$29</f>
        <v>218560.415244589</v>
      </c>
      <c r="S348" s="6" t="n">
        <f aca="false">AB348-Assumptions!$B$29</f>
        <v>185651.505884857</v>
      </c>
      <c r="T348" s="6" t="n">
        <f aca="false">AC348-Assumptions!$B$29</f>
        <v>150739.837563793</v>
      </c>
      <c r="U348" s="6" t="n">
        <f aca="false">AD348-Assumptions!$B$29</f>
        <v>111743.923558296</v>
      </c>
      <c r="V348" s="6" t="n">
        <f aca="false">AE348-Assumptions!$B$29</f>
        <v>63303.9656857411</v>
      </c>
      <c r="W348" s="6" t="n">
        <f aca="false">M348*(1+C348)</f>
        <v>420568.841396537</v>
      </c>
      <c r="X348" s="6" t="n">
        <f aca="false">N348*(1+D348)</f>
        <v>377785.420624291</v>
      </c>
      <c r="Y348" s="6" t="n">
        <f aca="false">O348*(1+E348)</f>
        <v>338858.087022831</v>
      </c>
      <c r="Z348" s="6" t="n">
        <f aca="false">P348*(1+F348)</f>
        <v>306895.047604562</v>
      </c>
      <c r="AA348" s="6" t="n">
        <f aca="false">Q348*(1+G348)</f>
        <v>268560.415244589</v>
      </c>
      <c r="AB348" s="6" t="n">
        <f aca="false">R348*(1+H348)</f>
        <v>235651.505884857</v>
      </c>
      <c r="AC348" s="6" t="n">
        <f aca="false">S348*(1+I348)</f>
        <v>200739.837563793</v>
      </c>
      <c r="AD348" s="6" t="n">
        <f aca="false">T348*(1+J348)</f>
        <v>161743.923558296</v>
      </c>
      <c r="AE348" s="6" t="n">
        <f aca="false">U348*(1+K348)</f>
        <v>113303.965685741</v>
      </c>
      <c r="AF348" s="6" t="n">
        <f aca="false">V348*(1+L348)</f>
        <v>65053.1702738321</v>
      </c>
      <c r="AG348" s="6" t="n">
        <f aca="false">MIN(M348:V348)</f>
        <v>63303.9656857411</v>
      </c>
      <c r="AH348" s="19" t="n">
        <f aca="false">IF(AG348&gt;=0,1,0)</f>
        <v>1</v>
      </c>
    </row>
    <row r="349" customFormat="false" ht="15" hidden="false" customHeight="false" outlineLevel="0" collapsed="false">
      <c r="A349" s="0" t="n">
        <f aca="false">ROW()-1</f>
        <v>348</v>
      </c>
      <c r="B349" s="6" t="n">
        <f aca="false">Assumptions!$B$35</f>
        <v>441263.996662504</v>
      </c>
      <c r="C349" s="8" t="n">
        <f aca="true">NORMINV(RAND(),Assumptions!$B$14,Assumptions!$B$15)</f>
        <v>0.0643809343935565</v>
      </c>
      <c r="D349" s="8" t="n">
        <f aca="true">NORMINV(RAND(),Assumptions!$B$14,Assumptions!$B$15)</f>
        <v>0.0556437329442689</v>
      </c>
      <c r="E349" s="8" t="n">
        <f aca="true">NORMINV(RAND(),Assumptions!$B$14,Assumptions!$B$15)</f>
        <v>0.0775508822085324</v>
      </c>
      <c r="F349" s="8" t="n">
        <f aca="true">NORMINV(RAND(),Assumptions!$B$14,Assumptions!$B$15)</f>
        <v>0.078345768971184</v>
      </c>
      <c r="G349" s="8" t="n">
        <f aca="true">NORMINV(RAND(),Assumptions!$B$14,Assumptions!$B$15)</f>
        <v>0.123262814911609</v>
      </c>
      <c r="H349" s="8" t="n">
        <f aca="true">NORMINV(RAND(),Assumptions!$B$14,Assumptions!$B$15)</f>
        <v>0.0607862884050584</v>
      </c>
      <c r="I349" s="8" t="n">
        <f aca="true">NORMINV(RAND(),Assumptions!$B$14,Assumptions!$B$15)</f>
        <v>0.0756969069735211</v>
      </c>
      <c r="J349" s="8" t="n">
        <f aca="true">NORMINV(RAND(),Assumptions!$B$14,Assumptions!$B$15)</f>
        <v>0.0340066851044766</v>
      </c>
      <c r="K349" s="8" t="n">
        <f aca="true">NORMINV(RAND(),Assumptions!$B$14,Assumptions!$B$15)</f>
        <v>0.0588555656092015</v>
      </c>
      <c r="L349" s="8" t="n">
        <f aca="true">NORMINV(RAND(),Assumptions!$B$14,Assumptions!$B$15)</f>
        <v>0.053972560186822</v>
      </c>
      <c r="M349" s="6" t="n">
        <f aca="false">B349-Assumptions!$B$29</f>
        <v>391263.996662504</v>
      </c>
      <c r="N349" s="6" t="n">
        <f aca="false">W349-Assumptions!$B$29</f>
        <v>366453.938362193</v>
      </c>
      <c r="O349" s="6" t="n">
        <f aca="false">X349-Assumptions!$B$29</f>
        <v>336844.803444794</v>
      </c>
      <c r="P349" s="6" t="n">
        <f aca="false">Y349-Assumptions!$B$29</f>
        <v>312967.415119298</v>
      </c>
      <c r="Q349" s="6" t="n">
        <f aca="false">Z349-Assumptions!$B$29</f>
        <v>287487.087919743</v>
      </c>
      <c r="R349" s="6" t="n">
        <f aca="false">AA349-Assumptions!$B$29</f>
        <v>272923.555627472</v>
      </c>
      <c r="S349" s="6" t="n">
        <f aca="false">AB349-Assumptions!$B$29</f>
        <v>239513.565592377</v>
      </c>
      <c r="T349" s="6" t="n">
        <f aca="false">AC349-Assumptions!$B$29</f>
        <v>207644.00168592</v>
      </c>
      <c r="U349" s="6" t="n">
        <f aca="false">AD349-Assumptions!$B$29</f>
        <v>164705.285865086</v>
      </c>
      <c r="V349" s="6" t="n">
        <f aca="false">AE349-Assumptions!$B$29</f>
        <v>124399.108623501</v>
      </c>
      <c r="W349" s="6" t="n">
        <f aca="false">M349*(1+C349)</f>
        <v>416453.938362193</v>
      </c>
      <c r="X349" s="6" t="n">
        <f aca="false">N349*(1+D349)</f>
        <v>386844.803444794</v>
      </c>
      <c r="Y349" s="6" t="n">
        <f aca="false">O349*(1+E349)</f>
        <v>362967.415119298</v>
      </c>
      <c r="Z349" s="6" t="n">
        <f aca="false">P349*(1+F349)</f>
        <v>337487.087919743</v>
      </c>
      <c r="AA349" s="6" t="n">
        <f aca="false">Q349*(1+G349)</f>
        <v>322923.555627472</v>
      </c>
      <c r="AB349" s="6" t="n">
        <f aca="false">R349*(1+H349)</f>
        <v>289513.565592377</v>
      </c>
      <c r="AC349" s="6" t="n">
        <f aca="false">S349*(1+I349)</f>
        <v>257644.00168592</v>
      </c>
      <c r="AD349" s="6" t="n">
        <f aca="false">T349*(1+J349)</f>
        <v>214705.285865086</v>
      </c>
      <c r="AE349" s="6" t="n">
        <f aca="false">U349*(1+K349)</f>
        <v>174399.108623501</v>
      </c>
      <c r="AF349" s="6" t="n">
        <f aca="false">V349*(1+L349)</f>
        <v>131113.24700087</v>
      </c>
      <c r="AG349" s="6" t="n">
        <f aca="false">MIN(M349:V349)</f>
        <v>124399.108623501</v>
      </c>
      <c r="AH349" s="19" t="n">
        <f aca="false">IF(AG349&gt;=0,1,0)</f>
        <v>1</v>
      </c>
    </row>
    <row r="350" customFormat="false" ht="15" hidden="false" customHeight="false" outlineLevel="0" collapsed="false">
      <c r="A350" s="0" t="n">
        <f aca="false">ROW()-1</f>
        <v>349</v>
      </c>
      <c r="B350" s="6" t="n">
        <f aca="false">Assumptions!$B$35</f>
        <v>441263.996662504</v>
      </c>
      <c r="C350" s="8" t="n">
        <f aca="true">NORMINV(RAND(),Assumptions!$B$14,Assumptions!$B$15)</f>
        <v>0.0484563932108247</v>
      </c>
      <c r="D350" s="8" t="n">
        <f aca="true">NORMINV(RAND(),Assumptions!$B$14,Assumptions!$B$15)</f>
        <v>0.0410418450805826</v>
      </c>
      <c r="E350" s="8" t="n">
        <f aca="true">NORMINV(RAND(),Assumptions!$B$14,Assumptions!$B$15)</f>
        <v>0.0509843113811181</v>
      </c>
      <c r="F350" s="8" t="n">
        <f aca="true">NORMINV(RAND(),Assumptions!$B$14,Assumptions!$B$15)</f>
        <v>0.0457811991792313</v>
      </c>
      <c r="G350" s="8" t="n">
        <f aca="true">NORMINV(RAND(),Assumptions!$B$14,Assumptions!$B$15)</f>
        <v>0.0524706005722973</v>
      </c>
      <c r="H350" s="8" t="n">
        <f aca="true">NORMINV(RAND(),Assumptions!$B$14,Assumptions!$B$15)</f>
        <v>0.0233633373625737</v>
      </c>
      <c r="I350" s="8" t="n">
        <f aca="true">NORMINV(RAND(),Assumptions!$B$14,Assumptions!$B$15)</f>
        <v>-0.000202971986652083</v>
      </c>
      <c r="J350" s="8" t="n">
        <f aca="true">NORMINV(RAND(),Assumptions!$B$14,Assumptions!$B$15)</f>
        <v>0.0376785274472193</v>
      </c>
      <c r="K350" s="8" t="n">
        <f aca="true">NORMINV(RAND(),Assumptions!$B$14,Assumptions!$B$15)</f>
        <v>0.0267044024612435</v>
      </c>
      <c r="L350" s="8" t="n">
        <f aca="true">NORMINV(RAND(),Assumptions!$B$14,Assumptions!$B$15)</f>
        <v>0.0281308337115207</v>
      </c>
      <c r="M350" s="6" t="n">
        <f aca="false">B350-Assumptions!$B$29</f>
        <v>391263.996662504</v>
      </c>
      <c r="N350" s="6" t="n">
        <f aca="false">W350-Assumptions!$B$29</f>
        <v>360223.238734021</v>
      </c>
      <c r="O350" s="6" t="n">
        <f aca="false">X350-Assumptions!$B$29</f>
        <v>325007.465092568</v>
      </c>
      <c r="P350" s="6" t="n">
        <f aca="false">Y350-Assumptions!$B$29</f>
        <v>291577.746894035</v>
      </c>
      <c r="Q350" s="6" t="n">
        <f aca="false">Z350-Assumptions!$B$29</f>
        <v>254926.525800823</v>
      </c>
      <c r="R350" s="6" t="n">
        <f aca="false">AA350-Assumptions!$B$29</f>
        <v>218302.673711401</v>
      </c>
      <c r="S350" s="6" t="n">
        <f aca="false">AB350-Assumptions!$B$29</f>
        <v>173402.952724472</v>
      </c>
      <c r="T350" s="6" t="n">
        <f aca="false">AC350-Assumptions!$B$29</f>
        <v>123367.756782666</v>
      </c>
      <c r="U350" s="6" t="n">
        <f aca="false">AD350-Assumptions!$B$29</f>
        <v>78016.072192704</v>
      </c>
      <c r="V350" s="6" t="n">
        <f aca="false">AE350-Assumptions!$B$29</f>
        <v>30099.4447829834</v>
      </c>
      <c r="W350" s="6" t="n">
        <f aca="false">M350*(1+C350)</f>
        <v>410223.238734021</v>
      </c>
      <c r="X350" s="6" t="n">
        <f aca="false">N350*(1+D350)</f>
        <v>375007.465092568</v>
      </c>
      <c r="Y350" s="6" t="n">
        <f aca="false">O350*(1+E350)</f>
        <v>341577.746894035</v>
      </c>
      <c r="Z350" s="6" t="n">
        <f aca="false">P350*(1+F350)</f>
        <v>304926.525800823</v>
      </c>
      <c r="AA350" s="6" t="n">
        <f aca="false">Q350*(1+G350)</f>
        <v>268302.673711401</v>
      </c>
      <c r="AB350" s="6" t="n">
        <f aca="false">R350*(1+H350)</f>
        <v>223402.952724472</v>
      </c>
      <c r="AC350" s="6" t="n">
        <f aca="false">S350*(1+I350)</f>
        <v>173367.756782666</v>
      </c>
      <c r="AD350" s="6" t="n">
        <f aca="false">T350*(1+J350)</f>
        <v>128016.072192704</v>
      </c>
      <c r="AE350" s="6" t="n">
        <f aca="false">U350*(1+K350)</f>
        <v>80099.4447829834</v>
      </c>
      <c r="AF350" s="6" t="n">
        <f aca="false">V350*(1+L350)</f>
        <v>30946.1672589826</v>
      </c>
      <c r="AG350" s="6" t="n">
        <f aca="false">MIN(M350:V350)</f>
        <v>30099.4447829834</v>
      </c>
      <c r="AH350" s="19" t="n">
        <f aca="false">IF(AG350&gt;=0,1,0)</f>
        <v>1</v>
      </c>
    </row>
    <row r="351" customFormat="false" ht="15" hidden="false" customHeight="false" outlineLevel="0" collapsed="false">
      <c r="A351" s="0" t="n">
        <f aca="false">ROW()-1</f>
        <v>350</v>
      </c>
      <c r="B351" s="6" t="n">
        <f aca="false">Assumptions!$B$35</f>
        <v>441263.996662504</v>
      </c>
      <c r="C351" s="8" t="n">
        <f aca="true">NORMINV(RAND(),Assumptions!$B$14,Assumptions!$B$15)</f>
        <v>0.0384259909331834</v>
      </c>
      <c r="D351" s="8" t="n">
        <f aca="true">NORMINV(RAND(),Assumptions!$B$14,Assumptions!$B$15)</f>
        <v>0.0390225830699487</v>
      </c>
      <c r="E351" s="8" t="n">
        <f aca="true">NORMINV(RAND(),Assumptions!$B$14,Assumptions!$B$15)</f>
        <v>0.0579436038954095</v>
      </c>
      <c r="F351" s="8" t="n">
        <f aca="true">NORMINV(RAND(),Assumptions!$B$14,Assumptions!$B$15)</f>
        <v>0.0684759998486789</v>
      </c>
      <c r="G351" s="8" t="n">
        <f aca="true">NORMINV(RAND(),Assumptions!$B$14,Assumptions!$B$15)</f>
        <v>0.0729759159679142</v>
      </c>
      <c r="H351" s="8" t="n">
        <f aca="true">NORMINV(RAND(),Assumptions!$B$14,Assumptions!$B$15)</f>
        <v>0.0457826945221494</v>
      </c>
      <c r="I351" s="8" t="n">
        <f aca="true">NORMINV(RAND(),Assumptions!$B$14,Assumptions!$B$15)</f>
        <v>0.0171626142926493</v>
      </c>
      <c r="J351" s="8" t="n">
        <f aca="true">NORMINV(RAND(),Assumptions!$B$14,Assumptions!$B$15)</f>
        <v>0.0578112628283379</v>
      </c>
      <c r="K351" s="8" t="n">
        <f aca="true">NORMINV(RAND(),Assumptions!$B$14,Assumptions!$B$15)</f>
        <v>-0.00241451725820353</v>
      </c>
      <c r="L351" s="8" t="n">
        <f aca="true">NORMINV(RAND(),Assumptions!$B$14,Assumptions!$B$15)</f>
        <v>0.0532535677778961</v>
      </c>
      <c r="M351" s="6" t="n">
        <f aca="false">B351-Assumptions!$B$29</f>
        <v>391263.996662504</v>
      </c>
      <c r="N351" s="6" t="n">
        <f aca="false">W351-Assumptions!$B$29</f>
        <v>356298.703450738</v>
      </c>
      <c r="O351" s="6" t="n">
        <f aca="false">X351-Assumptions!$B$29</f>
        <v>320202.399203859</v>
      </c>
      <c r="P351" s="6" t="n">
        <f aca="false">Y351-Assumptions!$B$29</f>
        <v>288756.080189688</v>
      </c>
      <c r="Q351" s="6" t="n">
        <f aca="false">Z351-Assumptions!$B$29</f>
        <v>258528.941493062</v>
      </c>
      <c r="R351" s="6" t="n">
        <f aca="false">AA351-Assumptions!$B$29</f>
        <v>227395.327802733</v>
      </c>
      <c r="S351" s="6" t="n">
        <f aca="false">AB351-Assumptions!$B$29</f>
        <v>187806.09863129</v>
      </c>
      <c r="T351" s="6" t="n">
        <f aca="false">AC351-Assumptions!$B$29</f>
        <v>141029.342263906</v>
      </c>
      <c r="U351" s="6" t="n">
        <f aca="false">AD351-Assumptions!$B$29</f>
        <v>99182.426636032</v>
      </c>
      <c r="V351" s="6" t="n">
        <f aca="false">AE351-Assumptions!$B$29</f>
        <v>48942.9489552088</v>
      </c>
      <c r="W351" s="6" t="n">
        <f aca="false">M351*(1+C351)</f>
        <v>406298.703450738</v>
      </c>
      <c r="X351" s="6" t="n">
        <f aca="false">N351*(1+D351)</f>
        <v>370202.399203859</v>
      </c>
      <c r="Y351" s="6" t="n">
        <f aca="false">O351*(1+E351)</f>
        <v>338756.080189688</v>
      </c>
      <c r="Z351" s="6" t="n">
        <f aca="false">P351*(1+F351)</f>
        <v>308528.941493062</v>
      </c>
      <c r="AA351" s="6" t="n">
        <f aca="false">Q351*(1+G351)</f>
        <v>277395.327802733</v>
      </c>
      <c r="AB351" s="6" t="n">
        <f aca="false">R351*(1+H351)</f>
        <v>237806.09863129</v>
      </c>
      <c r="AC351" s="6" t="n">
        <f aca="false">S351*(1+I351)</f>
        <v>191029.342263906</v>
      </c>
      <c r="AD351" s="6" t="n">
        <f aca="false">T351*(1+J351)</f>
        <v>149182.426636032</v>
      </c>
      <c r="AE351" s="6" t="n">
        <f aca="false">U351*(1+K351)</f>
        <v>98942.9489552088</v>
      </c>
      <c r="AF351" s="6" t="n">
        <f aca="false">V351*(1+L351)</f>
        <v>51549.3356046452</v>
      </c>
      <c r="AG351" s="6" t="n">
        <f aca="false">MIN(M351:V351)</f>
        <v>48942.9489552088</v>
      </c>
      <c r="AH351" s="19" t="n">
        <f aca="false">IF(AG351&gt;=0,1,0)</f>
        <v>1</v>
      </c>
    </row>
    <row r="352" customFormat="false" ht="15" hidden="false" customHeight="false" outlineLevel="0" collapsed="false">
      <c r="A352" s="0" t="n">
        <f aca="false">ROW()-1</f>
        <v>351</v>
      </c>
      <c r="B352" s="6" t="n">
        <f aca="false">Assumptions!$B$35</f>
        <v>441263.996662504</v>
      </c>
      <c r="C352" s="8" t="n">
        <f aca="true">NORMINV(RAND(),Assumptions!$B$14,Assumptions!$B$15)</f>
        <v>0.0751951197415946</v>
      </c>
      <c r="D352" s="8" t="n">
        <f aca="true">NORMINV(RAND(),Assumptions!$B$14,Assumptions!$B$15)</f>
        <v>0.0664687137732534</v>
      </c>
      <c r="E352" s="8" t="n">
        <f aca="true">NORMINV(RAND(),Assumptions!$B$14,Assumptions!$B$15)</f>
        <v>0.0701437902957393</v>
      </c>
      <c r="F352" s="8" t="n">
        <f aca="true">NORMINV(RAND(),Assumptions!$B$14,Assumptions!$B$15)</f>
        <v>0.083663219693764</v>
      </c>
      <c r="G352" s="8" t="n">
        <f aca="true">NORMINV(RAND(),Assumptions!$B$14,Assumptions!$B$15)</f>
        <v>0.0197245167454509</v>
      </c>
      <c r="H352" s="8" t="n">
        <f aca="true">NORMINV(RAND(),Assumptions!$B$14,Assumptions!$B$15)</f>
        <v>0.0740115034561005</v>
      </c>
      <c r="I352" s="8" t="n">
        <f aca="true">NORMINV(RAND(),Assumptions!$B$14,Assumptions!$B$15)</f>
        <v>0.0327887594548913</v>
      </c>
      <c r="J352" s="8" t="n">
        <f aca="true">NORMINV(RAND(),Assumptions!$B$14,Assumptions!$B$15)</f>
        <v>0.0887694877703428</v>
      </c>
      <c r="K352" s="8" t="n">
        <f aca="true">NORMINV(RAND(),Assumptions!$B$14,Assumptions!$B$15)</f>
        <v>0.0864483162151553</v>
      </c>
      <c r="L352" s="8" t="n">
        <f aca="true">NORMINV(RAND(),Assumptions!$B$14,Assumptions!$B$15)</f>
        <v>0.0883865399806601</v>
      </c>
      <c r="M352" s="6" t="n">
        <f aca="false">B352-Assumptions!$B$29</f>
        <v>391263.996662504</v>
      </c>
      <c r="N352" s="6" t="n">
        <f aca="false">W352-Assumptions!$B$29</f>
        <v>370685.139742115</v>
      </c>
      <c r="O352" s="6" t="n">
        <f aca="false">X352-Assumptions!$B$29</f>
        <v>345324.104195632</v>
      </c>
      <c r="P352" s="6" t="n">
        <f aca="false">Y352-Assumptions!$B$29</f>
        <v>319546.445744395</v>
      </c>
      <c r="Q352" s="6" t="n">
        <f aca="false">Z352-Assumptions!$B$29</f>
        <v>296280.73023707</v>
      </c>
      <c r="R352" s="6" t="n">
        <f aca="false">AA352-Assumptions!$B$29</f>
        <v>252124.724461985</v>
      </c>
      <c r="S352" s="6" t="n">
        <f aca="false">AB352-Assumptions!$B$29</f>
        <v>220784.854377872</v>
      </c>
      <c r="T352" s="6" t="n">
        <f aca="false">AC352-Assumptions!$B$29</f>
        <v>178024.115859351</v>
      </c>
      <c r="U352" s="6" t="n">
        <f aca="false">AD352-Assumptions!$B$29</f>
        <v>143827.225434954</v>
      </c>
      <c r="V352" s="6" t="n">
        <f aca="false">AE352-Assumptions!$B$29</f>
        <v>106260.846899703</v>
      </c>
      <c r="W352" s="6" t="n">
        <f aca="false">M352*(1+C352)</f>
        <v>420685.139742115</v>
      </c>
      <c r="X352" s="6" t="n">
        <f aca="false">N352*(1+D352)</f>
        <v>395324.104195632</v>
      </c>
      <c r="Y352" s="6" t="n">
        <f aca="false">O352*(1+E352)</f>
        <v>369546.445744395</v>
      </c>
      <c r="Z352" s="6" t="n">
        <f aca="false">P352*(1+F352)</f>
        <v>346280.73023707</v>
      </c>
      <c r="AA352" s="6" t="n">
        <f aca="false">Q352*(1+G352)</f>
        <v>302124.724461985</v>
      </c>
      <c r="AB352" s="6" t="n">
        <f aca="false">R352*(1+H352)</f>
        <v>270784.854377872</v>
      </c>
      <c r="AC352" s="6" t="n">
        <f aca="false">S352*(1+I352)</f>
        <v>228024.115859351</v>
      </c>
      <c r="AD352" s="6" t="n">
        <f aca="false">T352*(1+J352)</f>
        <v>193827.225434954</v>
      </c>
      <c r="AE352" s="6" t="n">
        <f aca="false">U352*(1+K352)</f>
        <v>156260.846899703</v>
      </c>
      <c r="AF352" s="6" t="n">
        <f aca="false">V352*(1+L352)</f>
        <v>115652.875492583</v>
      </c>
      <c r="AG352" s="6" t="n">
        <f aca="false">MIN(M352:V352)</f>
        <v>106260.846899703</v>
      </c>
      <c r="AH352" s="19" t="n">
        <f aca="false">IF(AG352&gt;=0,1,0)</f>
        <v>1</v>
      </c>
    </row>
    <row r="353" customFormat="false" ht="15" hidden="false" customHeight="false" outlineLevel="0" collapsed="false">
      <c r="A353" s="0" t="n">
        <f aca="false">ROW()-1</f>
        <v>352</v>
      </c>
      <c r="B353" s="6" t="n">
        <f aca="false">Assumptions!$B$35</f>
        <v>441263.996662504</v>
      </c>
      <c r="C353" s="8" t="n">
        <f aca="true">NORMINV(RAND(),Assumptions!$B$14,Assumptions!$B$15)</f>
        <v>0.0650264191634459</v>
      </c>
      <c r="D353" s="8" t="n">
        <f aca="true">NORMINV(RAND(),Assumptions!$B$14,Assumptions!$B$15)</f>
        <v>0.0522766948498851</v>
      </c>
      <c r="E353" s="8" t="n">
        <f aca="true">NORMINV(RAND(),Assumptions!$B$14,Assumptions!$B$15)</f>
        <v>0.0331886169357387</v>
      </c>
      <c r="F353" s="8" t="n">
        <f aca="true">NORMINV(RAND(),Assumptions!$B$14,Assumptions!$B$15)</f>
        <v>0.0537568726806253</v>
      </c>
      <c r="G353" s="8" t="n">
        <f aca="true">NORMINV(RAND(),Assumptions!$B$14,Assumptions!$B$15)</f>
        <v>0.0582708887091334</v>
      </c>
      <c r="H353" s="8" t="n">
        <f aca="true">NORMINV(RAND(),Assumptions!$B$14,Assumptions!$B$15)</f>
        <v>0.0483112118125181</v>
      </c>
      <c r="I353" s="8" t="n">
        <f aca="true">NORMINV(RAND(),Assumptions!$B$14,Assumptions!$B$15)</f>
        <v>0.0493540276146037</v>
      </c>
      <c r="J353" s="8" t="n">
        <f aca="true">NORMINV(RAND(),Assumptions!$B$14,Assumptions!$B$15)</f>
        <v>0.0901748740863891</v>
      </c>
      <c r="K353" s="8" t="n">
        <f aca="true">NORMINV(RAND(),Assumptions!$B$14,Assumptions!$B$15)</f>
        <v>0.0155258887539182</v>
      </c>
      <c r="L353" s="8" t="n">
        <f aca="true">NORMINV(RAND(),Assumptions!$B$14,Assumptions!$B$15)</f>
        <v>0.0375575717001993</v>
      </c>
      <c r="M353" s="6" t="n">
        <f aca="false">B353-Assumptions!$B$29</f>
        <v>391263.996662504</v>
      </c>
      <c r="N353" s="6" t="n">
        <f aca="false">W353-Assumptions!$B$29</f>
        <v>366706.493313045</v>
      </c>
      <c r="O353" s="6" t="n">
        <f aca="false">X353-Assumptions!$B$29</f>
        <v>335876.696763442</v>
      </c>
      <c r="P353" s="6" t="n">
        <f aca="false">Y353-Assumptions!$B$29</f>
        <v>297023.979789965</v>
      </c>
      <c r="Q353" s="6" t="n">
        <f aca="false">Z353-Assumptions!$B$29</f>
        <v>262991.060054627</v>
      </c>
      <c r="R353" s="6" t="n">
        <f aca="false">AA353-Assumptions!$B$29</f>
        <v>228315.782846567</v>
      </c>
      <c r="S353" s="6" t="n">
        <f aca="false">AB353-Assumptions!$B$29</f>
        <v>189345.994991809</v>
      </c>
      <c r="T353" s="6" t="n">
        <f aca="false">AC353-Assumptions!$B$29</f>
        <v>148690.982457349</v>
      </c>
      <c r="U353" s="6" t="n">
        <f aca="false">AD353-Assumptions!$B$29</f>
        <v>112099.173078222</v>
      </c>
      <c r="V353" s="6" t="n">
        <f aca="false">AE353-Assumptions!$B$29</f>
        <v>63839.6123688406</v>
      </c>
      <c r="W353" s="6" t="n">
        <f aca="false">M353*(1+C353)</f>
        <v>416706.493313045</v>
      </c>
      <c r="X353" s="6" t="n">
        <f aca="false">N353*(1+D353)</f>
        <v>385876.696763442</v>
      </c>
      <c r="Y353" s="6" t="n">
        <f aca="false">O353*(1+E353)</f>
        <v>347023.979789965</v>
      </c>
      <c r="Z353" s="6" t="n">
        <f aca="false">P353*(1+F353)</f>
        <v>312991.060054627</v>
      </c>
      <c r="AA353" s="6" t="n">
        <f aca="false">Q353*(1+G353)</f>
        <v>278315.782846567</v>
      </c>
      <c r="AB353" s="6" t="n">
        <f aca="false">R353*(1+H353)</f>
        <v>239345.994991809</v>
      </c>
      <c r="AC353" s="6" t="n">
        <f aca="false">S353*(1+I353)</f>
        <v>198690.982457349</v>
      </c>
      <c r="AD353" s="6" t="n">
        <f aca="false">T353*(1+J353)</f>
        <v>162099.173078222</v>
      </c>
      <c r="AE353" s="6" t="n">
        <f aca="false">U353*(1+K353)</f>
        <v>113839.612368841</v>
      </c>
      <c r="AF353" s="6" t="n">
        <f aca="false">V353*(1+L353)</f>
        <v>66237.2731876963</v>
      </c>
      <c r="AG353" s="6" t="n">
        <f aca="false">MIN(M353:V353)</f>
        <v>63839.6123688406</v>
      </c>
      <c r="AH353" s="19" t="n">
        <f aca="false">IF(AG353&gt;=0,1,0)</f>
        <v>1</v>
      </c>
    </row>
    <row r="354" customFormat="false" ht="15" hidden="false" customHeight="false" outlineLevel="0" collapsed="false">
      <c r="A354" s="0" t="n">
        <f aca="false">ROW()-1</f>
        <v>353</v>
      </c>
      <c r="B354" s="6" t="n">
        <f aca="false">Assumptions!$B$35</f>
        <v>441263.996662504</v>
      </c>
      <c r="C354" s="8" t="n">
        <f aca="true">NORMINV(RAND(),Assumptions!$B$14,Assumptions!$B$15)</f>
        <v>0.00313364473045866</v>
      </c>
      <c r="D354" s="8" t="n">
        <f aca="true">NORMINV(RAND(),Assumptions!$B$14,Assumptions!$B$15)</f>
        <v>0.0568745551407223</v>
      </c>
      <c r="E354" s="8" t="n">
        <f aca="true">NORMINV(RAND(),Assumptions!$B$14,Assumptions!$B$15)</f>
        <v>0.00626160748870057</v>
      </c>
      <c r="F354" s="8" t="n">
        <f aca="true">NORMINV(RAND(),Assumptions!$B$14,Assumptions!$B$15)</f>
        <v>0.0894994220711804</v>
      </c>
      <c r="G354" s="8" t="n">
        <f aca="true">NORMINV(RAND(),Assumptions!$B$14,Assumptions!$B$15)</f>
        <v>0.0910295774786489</v>
      </c>
      <c r="H354" s="8" t="n">
        <f aca="true">NORMINV(RAND(),Assumptions!$B$14,Assumptions!$B$15)</f>
        <v>0.0819313950823704</v>
      </c>
      <c r="I354" s="8" t="n">
        <f aca="true">NORMINV(RAND(),Assumptions!$B$14,Assumptions!$B$15)</f>
        <v>0.0398341614524063</v>
      </c>
      <c r="J354" s="8" t="n">
        <f aca="true">NORMINV(RAND(),Assumptions!$B$14,Assumptions!$B$15)</f>
        <v>0.0141401909265863</v>
      </c>
      <c r="K354" s="8" t="n">
        <f aca="true">NORMINV(RAND(),Assumptions!$B$14,Assumptions!$B$15)</f>
        <v>0.0134463636150952</v>
      </c>
      <c r="L354" s="8" t="n">
        <f aca="true">NORMINV(RAND(),Assumptions!$B$14,Assumptions!$B$15)</f>
        <v>0.0545977342396046</v>
      </c>
      <c r="M354" s="6" t="n">
        <f aca="false">B354-Assumptions!$B$29</f>
        <v>391263.996662504</v>
      </c>
      <c r="N354" s="6" t="n">
        <f aca="false">W354-Assumptions!$B$29</f>
        <v>342490.079023863</v>
      </c>
      <c r="O354" s="6" t="n">
        <f aca="false">X354-Assumptions!$B$29</f>
        <v>311969.049908456</v>
      </c>
      <c r="P354" s="6" t="n">
        <f aca="false">Y354-Assumptions!$B$29</f>
        <v>263922.477647606</v>
      </c>
      <c r="Q354" s="6" t="n">
        <f aca="false">Z354-Assumptions!$B$29</f>
        <v>237543.386868661</v>
      </c>
      <c r="R354" s="6" t="n">
        <f aca="false">AA354-Assumptions!$B$29</f>
        <v>209166.861008162</v>
      </c>
      <c r="S354" s="6" t="n">
        <f aca="false">AB354-Assumptions!$B$29</f>
        <v>176304.193735561</v>
      </c>
      <c r="T354" s="6" t="n">
        <f aca="false">AC354-Assumptions!$B$29</f>
        <v>133327.12345356</v>
      </c>
      <c r="U354" s="6" t="n">
        <f aca="false">AD354-Assumptions!$B$29</f>
        <v>85212.3944348855</v>
      </c>
      <c r="V354" s="6" t="n">
        <f aca="false">AE354-Assumptions!$B$29</f>
        <v>36358.1912749699</v>
      </c>
      <c r="W354" s="6" t="n">
        <f aca="false">M354*(1+C354)</f>
        <v>392490.079023863</v>
      </c>
      <c r="X354" s="6" t="n">
        <f aca="false">N354*(1+D354)</f>
        <v>361969.049908456</v>
      </c>
      <c r="Y354" s="6" t="n">
        <f aca="false">O354*(1+E354)</f>
        <v>313922.477647606</v>
      </c>
      <c r="Z354" s="6" t="n">
        <f aca="false">P354*(1+F354)</f>
        <v>287543.386868661</v>
      </c>
      <c r="AA354" s="6" t="n">
        <f aca="false">Q354*(1+G354)</f>
        <v>259166.861008162</v>
      </c>
      <c r="AB354" s="6" t="n">
        <f aca="false">R354*(1+H354)</f>
        <v>226304.193735561</v>
      </c>
      <c r="AC354" s="6" t="n">
        <f aca="false">S354*(1+I354)</f>
        <v>183327.12345356</v>
      </c>
      <c r="AD354" s="6" t="n">
        <f aca="false">T354*(1+J354)</f>
        <v>135212.394434886</v>
      </c>
      <c r="AE354" s="6" t="n">
        <f aca="false">U354*(1+K354)</f>
        <v>86358.1912749699</v>
      </c>
      <c r="AF354" s="6" t="n">
        <f aca="false">V354*(1+L354)</f>
        <v>38343.2661396334</v>
      </c>
      <c r="AG354" s="6" t="n">
        <f aca="false">MIN(M354:V354)</f>
        <v>36358.1912749699</v>
      </c>
      <c r="AH354" s="19" t="n">
        <f aca="false">IF(AG354&gt;=0,1,0)</f>
        <v>1</v>
      </c>
    </row>
    <row r="355" customFormat="false" ht="15" hidden="false" customHeight="false" outlineLevel="0" collapsed="false">
      <c r="A355" s="0" t="n">
        <f aca="false">ROW()-1</f>
        <v>354</v>
      </c>
      <c r="B355" s="6" t="n">
        <f aca="false">Assumptions!$B$35</f>
        <v>441263.996662504</v>
      </c>
      <c r="C355" s="8" t="n">
        <f aca="true">NORMINV(RAND(),Assumptions!$B$14,Assumptions!$B$15)</f>
        <v>0.0911831739324133</v>
      </c>
      <c r="D355" s="8" t="n">
        <f aca="true">NORMINV(RAND(),Assumptions!$B$14,Assumptions!$B$15)</f>
        <v>0.0677304352194272</v>
      </c>
      <c r="E355" s="8" t="n">
        <f aca="true">NORMINV(RAND(),Assumptions!$B$14,Assumptions!$B$15)</f>
        <v>-0.0062144465634752</v>
      </c>
      <c r="F355" s="8" t="n">
        <f aca="true">NORMINV(RAND(),Assumptions!$B$14,Assumptions!$B$15)</f>
        <v>0.0615752446849797</v>
      </c>
      <c r="G355" s="8" t="n">
        <f aca="true">NORMINV(RAND(),Assumptions!$B$14,Assumptions!$B$15)</f>
        <v>0.00400069740570089</v>
      </c>
      <c r="H355" s="8" t="n">
        <f aca="true">NORMINV(RAND(),Assumptions!$B$14,Assumptions!$B$15)</f>
        <v>0.043152972268298</v>
      </c>
      <c r="I355" s="8" t="n">
        <f aca="true">NORMINV(RAND(),Assumptions!$B$14,Assumptions!$B$15)</f>
        <v>0.0542126379408516</v>
      </c>
      <c r="J355" s="8" t="n">
        <f aca="true">NORMINV(RAND(),Assumptions!$B$14,Assumptions!$B$15)</f>
        <v>0.0605983191242246</v>
      </c>
      <c r="K355" s="8" t="n">
        <f aca="true">NORMINV(RAND(),Assumptions!$B$14,Assumptions!$B$15)</f>
        <v>0.060696203658801</v>
      </c>
      <c r="L355" s="8" t="n">
        <f aca="true">NORMINV(RAND(),Assumptions!$B$14,Assumptions!$B$15)</f>
        <v>0.0678724577412277</v>
      </c>
      <c r="M355" s="6" t="n">
        <f aca="false">B355-Assumptions!$B$29</f>
        <v>391263.996662504</v>
      </c>
      <c r="N355" s="6" t="n">
        <f aca="false">W355-Assumptions!$B$29</f>
        <v>376940.689723672</v>
      </c>
      <c r="O355" s="6" t="n">
        <f aca="false">X355-Assumptions!$B$29</f>
        <v>352471.046690567</v>
      </c>
      <c r="P355" s="6" t="n">
        <f aca="false">Y355-Assumptions!$B$29</f>
        <v>300280.634205736</v>
      </c>
      <c r="Q355" s="6" t="n">
        <f aca="false">Z355-Assumptions!$B$29</f>
        <v>268770.487731116</v>
      </c>
      <c r="R355" s="6" t="n">
        <f aca="false">AA355-Assumptions!$B$29</f>
        <v>219845.75712411</v>
      </c>
      <c r="S355" s="6" t="n">
        <f aca="false">AB355-Assumptions!$B$29</f>
        <v>179332.75498459</v>
      </c>
      <c r="T355" s="6" t="n">
        <f aca="false">AC355-Assumptions!$B$29</f>
        <v>139054.856701505</v>
      </c>
      <c r="U355" s="6" t="n">
        <f aca="false">AD355-Assumptions!$B$29</f>
        <v>97481.3472836763</v>
      </c>
      <c r="V355" s="6" t="n">
        <f aca="false">AE355-Assumptions!$B$29</f>
        <v>53398.0949913406</v>
      </c>
      <c r="W355" s="6" t="n">
        <f aca="false">M355*(1+C355)</f>
        <v>426940.689723672</v>
      </c>
      <c r="X355" s="6" t="n">
        <f aca="false">N355*(1+D355)</f>
        <v>402471.046690567</v>
      </c>
      <c r="Y355" s="6" t="n">
        <f aca="false">O355*(1+E355)</f>
        <v>350280.634205736</v>
      </c>
      <c r="Z355" s="6" t="n">
        <f aca="false">P355*(1+F355)</f>
        <v>318770.487731116</v>
      </c>
      <c r="AA355" s="6" t="n">
        <f aca="false">Q355*(1+G355)</f>
        <v>269845.75712411</v>
      </c>
      <c r="AB355" s="6" t="n">
        <f aca="false">R355*(1+H355)</f>
        <v>229332.75498459</v>
      </c>
      <c r="AC355" s="6" t="n">
        <f aca="false">S355*(1+I355)</f>
        <v>189054.856701505</v>
      </c>
      <c r="AD355" s="6" t="n">
        <f aca="false">T355*(1+J355)</f>
        <v>147481.347283676</v>
      </c>
      <c r="AE355" s="6" t="n">
        <f aca="false">U355*(1+K355)</f>
        <v>103398.094991341</v>
      </c>
      <c r="AF355" s="6" t="n">
        <f aca="false">V355*(1+L355)</f>
        <v>57022.3549371024</v>
      </c>
      <c r="AG355" s="6" t="n">
        <f aca="false">MIN(M355:V355)</f>
        <v>53398.0949913406</v>
      </c>
      <c r="AH355" s="19" t="n">
        <f aca="false">IF(AG355&gt;=0,1,0)</f>
        <v>1</v>
      </c>
    </row>
    <row r="356" customFormat="false" ht="15" hidden="false" customHeight="false" outlineLevel="0" collapsed="false">
      <c r="A356" s="0" t="n">
        <f aca="false">ROW()-1</f>
        <v>355</v>
      </c>
      <c r="B356" s="6" t="n">
        <f aca="false">Assumptions!$B$35</f>
        <v>441263.996662504</v>
      </c>
      <c r="C356" s="8" t="n">
        <f aca="true">NORMINV(RAND(),Assumptions!$B$14,Assumptions!$B$15)</f>
        <v>0.00971865143842738</v>
      </c>
      <c r="D356" s="8" t="n">
        <f aca="true">NORMINV(RAND(),Assumptions!$B$14,Assumptions!$B$15)</f>
        <v>0.0359486448097714</v>
      </c>
      <c r="E356" s="8" t="n">
        <f aca="true">NORMINV(RAND(),Assumptions!$B$14,Assumptions!$B$15)</f>
        <v>0.0029592336609008</v>
      </c>
      <c r="F356" s="8" t="n">
        <f aca="true">NORMINV(RAND(),Assumptions!$B$14,Assumptions!$B$15)</f>
        <v>0.0567012727379839</v>
      </c>
      <c r="G356" s="8" t="n">
        <f aca="true">NORMINV(RAND(),Assumptions!$B$14,Assumptions!$B$15)</f>
        <v>0.0245944943294347</v>
      </c>
      <c r="H356" s="8" t="n">
        <f aca="true">NORMINV(RAND(),Assumptions!$B$14,Assumptions!$B$15)</f>
        <v>0.0384201893517957</v>
      </c>
      <c r="I356" s="8" t="n">
        <f aca="true">NORMINV(RAND(),Assumptions!$B$14,Assumptions!$B$15)</f>
        <v>0.0212293749910342</v>
      </c>
      <c r="J356" s="8" t="n">
        <f aca="true">NORMINV(RAND(),Assumptions!$B$14,Assumptions!$B$15)</f>
        <v>0.0991940344837507</v>
      </c>
      <c r="K356" s="8" t="n">
        <f aca="true">NORMINV(RAND(),Assumptions!$B$14,Assumptions!$B$15)</f>
        <v>0.0735091734053292</v>
      </c>
      <c r="L356" s="8" t="n">
        <f aca="true">NORMINV(RAND(),Assumptions!$B$14,Assumptions!$B$15)</f>
        <v>-0.0644926959623827</v>
      </c>
      <c r="M356" s="6" t="n">
        <f aca="false">B356-Assumptions!$B$29</f>
        <v>391263.996662504</v>
      </c>
      <c r="N356" s="6" t="n">
        <f aca="false">W356-Assumptions!$B$29</f>
        <v>345066.555066472</v>
      </c>
      <c r="O356" s="6" t="n">
        <f aca="false">X356-Assumptions!$B$29</f>
        <v>307471.230090288</v>
      </c>
      <c r="P356" s="6" t="n">
        <f aca="false">Y356-Assumptions!$B$29</f>
        <v>258381.10930413</v>
      </c>
      <c r="Q356" s="6" t="n">
        <f aca="false">Z356-Assumptions!$B$29</f>
        <v>223031.647053126</v>
      </c>
      <c r="R356" s="6" t="n">
        <f aca="false">AA356-Assumptions!$B$29</f>
        <v>178516.997631859</v>
      </c>
      <c r="S356" s="6" t="n">
        <f aca="false">AB356-Assumptions!$B$29</f>
        <v>135375.654483389</v>
      </c>
      <c r="T356" s="6" t="n">
        <f aca="false">AC356-Assumptions!$B$29</f>
        <v>88249.5950170737</v>
      </c>
      <c r="U356" s="6" t="n">
        <f aca="false">AD356-Assumptions!$B$29</f>
        <v>47003.4283883744</v>
      </c>
      <c r="V356" s="6" t="n">
        <f aca="false">AE356-Assumptions!$B$29</f>
        <v>458.611556420365</v>
      </c>
      <c r="W356" s="6" t="n">
        <f aca="false">M356*(1+C356)</f>
        <v>395066.555066472</v>
      </c>
      <c r="X356" s="6" t="n">
        <f aca="false">N356*(1+D356)</f>
        <v>357471.230090288</v>
      </c>
      <c r="Y356" s="6" t="n">
        <f aca="false">O356*(1+E356)</f>
        <v>308381.10930413</v>
      </c>
      <c r="Z356" s="6" t="n">
        <f aca="false">P356*(1+F356)</f>
        <v>273031.647053127</v>
      </c>
      <c r="AA356" s="6" t="n">
        <f aca="false">Q356*(1+G356)</f>
        <v>228516.997631859</v>
      </c>
      <c r="AB356" s="6" t="n">
        <f aca="false">R356*(1+H356)</f>
        <v>185375.654483389</v>
      </c>
      <c r="AC356" s="6" t="n">
        <f aca="false">S356*(1+I356)</f>
        <v>138249.595017074</v>
      </c>
      <c r="AD356" s="6" t="n">
        <f aca="false">T356*(1+J356)</f>
        <v>97003.4283883744</v>
      </c>
      <c r="AE356" s="6" t="n">
        <f aca="false">U356*(1+K356)</f>
        <v>50458.6115564204</v>
      </c>
      <c r="AF356" s="6" t="n">
        <f aca="false">V356*(1+L356)</f>
        <v>429.034460747311</v>
      </c>
      <c r="AG356" s="6" t="n">
        <f aca="false">MIN(M356:V356)</f>
        <v>458.611556420365</v>
      </c>
      <c r="AH356" s="19" t="n">
        <f aca="false">IF(AG356&gt;=0,1,0)</f>
        <v>1</v>
      </c>
    </row>
    <row r="357" customFormat="false" ht="15" hidden="false" customHeight="false" outlineLevel="0" collapsed="false">
      <c r="A357" s="0" t="n">
        <f aca="false">ROW()-1</f>
        <v>356</v>
      </c>
      <c r="B357" s="6" t="n">
        <f aca="false">Assumptions!$B$35</f>
        <v>441263.996662504</v>
      </c>
      <c r="C357" s="8" t="n">
        <f aca="true">NORMINV(RAND(),Assumptions!$B$14,Assumptions!$B$15)</f>
        <v>0.0870182140106425</v>
      </c>
      <c r="D357" s="8" t="n">
        <f aca="true">NORMINV(RAND(),Assumptions!$B$14,Assumptions!$B$15)</f>
        <v>0.0211337914518398</v>
      </c>
      <c r="E357" s="8" t="n">
        <f aca="true">NORMINV(RAND(),Assumptions!$B$14,Assumptions!$B$15)</f>
        <v>0.0768462443457145</v>
      </c>
      <c r="F357" s="8" t="n">
        <f aca="true">NORMINV(RAND(),Assumptions!$B$14,Assumptions!$B$15)</f>
        <v>0.0523684052898322</v>
      </c>
      <c r="G357" s="8" t="n">
        <f aca="true">NORMINV(RAND(),Assumptions!$B$14,Assumptions!$B$15)</f>
        <v>0.0645499221480735</v>
      </c>
      <c r="H357" s="8" t="n">
        <f aca="true">NORMINV(RAND(),Assumptions!$B$14,Assumptions!$B$15)</f>
        <v>0.00893163150100142</v>
      </c>
      <c r="I357" s="8" t="n">
        <f aca="true">NORMINV(RAND(),Assumptions!$B$14,Assumptions!$B$15)</f>
        <v>0.0194128110590063</v>
      </c>
      <c r="J357" s="8" t="n">
        <f aca="true">NORMINV(RAND(),Assumptions!$B$14,Assumptions!$B$15)</f>
        <v>0.0735450552725059</v>
      </c>
      <c r="K357" s="8" t="n">
        <f aca="true">NORMINV(RAND(),Assumptions!$B$14,Assumptions!$B$15)</f>
        <v>0.0581720412598711</v>
      </c>
      <c r="L357" s="8" t="n">
        <f aca="true">NORMINV(RAND(),Assumptions!$B$14,Assumptions!$B$15)</f>
        <v>0.0311914460018762</v>
      </c>
      <c r="M357" s="6" t="n">
        <f aca="false">B357-Assumptions!$B$29</f>
        <v>391263.996662504</v>
      </c>
      <c r="N357" s="6" t="n">
        <f aca="false">W357-Assumptions!$B$29</f>
        <v>375311.090858741</v>
      </c>
      <c r="O357" s="6" t="n">
        <f aca="false">X357-Assumptions!$B$29</f>
        <v>333242.837182512</v>
      </c>
      <c r="P357" s="6" t="n">
        <f aca="false">Y357-Assumptions!$B$29</f>
        <v>308851.297675098</v>
      </c>
      <c r="Q357" s="6" t="n">
        <f aca="false">Z357-Assumptions!$B$29</f>
        <v>275025.347606038</v>
      </c>
      <c r="R357" s="6" t="n">
        <f aca="false">AA357-Assumptions!$B$29</f>
        <v>242778.212382755</v>
      </c>
      <c r="S357" s="6" t="n">
        <f aca="false">AB357-Assumptions!$B$29</f>
        <v>194946.61791223</v>
      </c>
      <c r="T357" s="6" t="n">
        <f aca="false">AC357-Assumptions!$B$29</f>
        <v>148731.079772352</v>
      </c>
      <c r="U357" s="6" t="n">
        <f aca="false">AD357-Assumptions!$B$29</f>
        <v>109669.515254949</v>
      </c>
      <c r="V357" s="6" t="n">
        <f aca="false">AE357-Assumptions!$B$29</f>
        <v>66049.21482131</v>
      </c>
      <c r="W357" s="6" t="n">
        <f aca="false">M357*(1+C357)</f>
        <v>425311.090858741</v>
      </c>
      <c r="X357" s="6" t="n">
        <f aca="false">N357*(1+D357)</f>
        <v>383242.837182512</v>
      </c>
      <c r="Y357" s="6" t="n">
        <f aca="false">O357*(1+E357)</f>
        <v>358851.297675098</v>
      </c>
      <c r="Z357" s="6" t="n">
        <f aca="false">P357*(1+F357)</f>
        <v>325025.347606038</v>
      </c>
      <c r="AA357" s="6" t="n">
        <f aca="false">Q357*(1+G357)</f>
        <v>292778.212382755</v>
      </c>
      <c r="AB357" s="6" t="n">
        <f aca="false">R357*(1+H357)</f>
        <v>244946.61791223</v>
      </c>
      <c r="AC357" s="6" t="n">
        <f aca="false">S357*(1+I357)</f>
        <v>198731.079772352</v>
      </c>
      <c r="AD357" s="6" t="n">
        <f aca="false">T357*(1+J357)</f>
        <v>159669.515254949</v>
      </c>
      <c r="AE357" s="6" t="n">
        <f aca="false">U357*(1+K357)</f>
        <v>116049.21482131</v>
      </c>
      <c r="AF357" s="6" t="n">
        <f aca="false">V357*(1+L357)</f>
        <v>68109.3853388752</v>
      </c>
      <c r="AG357" s="6" t="n">
        <f aca="false">MIN(M357:V357)</f>
        <v>66049.21482131</v>
      </c>
      <c r="AH357" s="19" t="n">
        <f aca="false">IF(AG357&gt;=0,1,0)</f>
        <v>1</v>
      </c>
    </row>
    <row r="358" customFormat="false" ht="15" hidden="false" customHeight="false" outlineLevel="0" collapsed="false">
      <c r="A358" s="0" t="n">
        <f aca="false">ROW()-1</f>
        <v>357</v>
      </c>
      <c r="B358" s="6" t="n">
        <f aca="false">Assumptions!$B$35</f>
        <v>441263.996662504</v>
      </c>
      <c r="C358" s="8" t="n">
        <f aca="true">NORMINV(RAND(),Assumptions!$B$14,Assumptions!$B$15)</f>
        <v>0.0382347206846536</v>
      </c>
      <c r="D358" s="8" t="n">
        <f aca="true">NORMINV(RAND(),Assumptions!$B$14,Assumptions!$B$15)</f>
        <v>0.0889472358546175</v>
      </c>
      <c r="E358" s="8" t="n">
        <f aca="true">NORMINV(RAND(),Assumptions!$B$14,Assumptions!$B$15)</f>
        <v>0.132967347569997</v>
      </c>
      <c r="F358" s="8" t="n">
        <f aca="true">NORMINV(RAND(),Assumptions!$B$14,Assumptions!$B$15)</f>
        <v>0.0329039201542073</v>
      </c>
      <c r="G358" s="8" t="n">
        <f aca="true">NORMINV(RAND(),Assumptions!$B$14,Assumptions!$B$15)</f>
        <v>0.0466438596047862</v>
      </c>
      <c r="H358" s="8" t="n">
        <f aca="true">NORMINV(RAND(),Assumptions!$B$14,Assumptions!$B$15)</f>
        <v>0.0767414824460303</v>
      </c>
      <c r="I358" s="8" t="n">
        <f aca="true">NORMINV(RAND(),Assumptions!$B$14,Assumptions!$B$15)</f>
        <v>0.0609438445946175</v>
      </c>
      <c r="J358" s="8" t="n">
        <f aca="true">NORMINV(RAND(),Assumptions!$B$14,Assumptions!$B$15)</f>
        <v>0.0440146578212516</v>
      </c>
      <c r="K358" s="8" t="n">
        <f aca="true">NORMINV(RAND(),Assumptions!$B$14,Assumptions!$B$15)</f>
        <v>0.0339484612501147</v>
      </c>
      <c r="L358" s="8" t="n">
        <f aca="true">NORMINV(RAND(),Assumptions!$B$14,Assumptions!$B$15)</f>
        <v>0.0202283020138831</v>
      </c>
      <c r="M358" s="6" t="n">
        <f aca="false">B358-Assumptions!$B$29</f>
        <v>391263.996662504</v>
      </c>
      <c r="N358" s="6" t="n">
        <f aca="false">W358-Assumptions!$B$29</f>
        <v>356223.866288856</v>
      </c>
      <c r="O358" s="6" t="n">
        <f aca="false">X358-Assumptions!$B$29</f>
        <v>337908.994540694</v>
      </c>
      <c r="P358" s="6" t="n">
        <f aca="false">Y358-Assumptions!$B$29</f>
        <v>332839.857264815</v>
      </c>
      <c r="Q358" s="6" t="n">
        <f aca="false">Z358-Assumptions!$B$29</f>
        <v>293791.593352394</v>
      </c>
      <c r="R358" s="6" t="n">
        <f aca="false">AA358-Assumptions!$B$29</f>
        <v>257495.16718579</v>
      </c>
      <c r="S358" s="6" t="n">
        <f aca="false">AB358-Assumptions!$B$29</f>
        <v>227255.728038316</v>
      </c>
      <c r="T358" s="6" t="n">
        <f aca="false">AC358-Assumptions!$B$29</f>
        <v>191105.56581112</v>
      </c>
      <c r="U358" s="6" t="n">
        <f aca="false">AD358-Assumptions!$B$29</f>
        <v>149517.011898033</v>
      </c>
      <c r="V358" s="6" t="n">
        <f aca="false">AE358-Assumptions!$B$29</f>
        <v>104592.884382686</v>
      </c>
      <c r="W358" s="6" t="n">
        <f aca="false">M358*(1+C358)</f>
        <v>406223.866288856</v>
      </c>
      <c r="X358" s="6" t="n">
        <f aca="false">N358*(1+D358)</f>
        <v>387908.994540694</v>
      </c>
      <c r="Y358" s="6" t="n">
        <f aca="false">O358*(1+E358)</f>
        <v>382839.857264815</v>
      </c>
      <c r="Z358" s="6" t="n">
        <f aca="false">P358*(1+F358)</f>
        <v>343791.593352394</v>
      </c>
      <c r="AA358" s="6" t="n">
        <f aca="false">Q358*(1+G358)</f>
        <v>307495.16718579</v>
      </c>
      <c r="AB358" s="6" t="n">
        <f aca="false">R358*(1+H358)</f>
        <v>277255.728038316</v>
      </c>
      <c r="AC358" s="6" t="n">
        <f aca="false">S358*(1+I358)</f>
        <v>241105.56581112</v>
      </c>
      <c r="AD358" s="6" t="n">
        <f aca="false">T358*(1+J358)</f>
        <v>199517.011898033</v>
      </c>
      <c r="AE358" s="6" t="n">
        <f aca="false">U358*(1+K358)</f>
        <v>154592.884382686</v>
      </c>
      <c r="AF358" s="6" t="n">
        <f aca="false">V358*(1+L358)</f>
        <v>106708.620836482</v>
      </c>
      <c r="AG358" s="6" t="n">
        <f aca="false">MIN(M358:V358)</f>
        <v>104592.884382686</v>
      </c>
      <c r="AH358" s="19" t="n">
        <f aca="false">IF(AG358&gt;=0,1,0)</f>
        <v>1</v>
      </c>
    </row>
    <row r="359" customFormat="false" ht="15" hidden="false" customHeight="false" outlineLevel="0" collapsed="false">
      <c r="A359" s="0" t="n">
        <f aca="false">ROW()-1</f>
        <v>358</v>
      </c>
      <c r="B359" s="6" t="n">
        <f aca="false">Assumptions!$B$35</f>
        <v>441263.996662504</v>
      </c>
      <c r="C359" s="8" t="n">
        <f aca="true">NORMINV(RAND(),Assumptions!$B$14,Assumptions!$B$15)</f>
        <v>-0.00432029409248188</v>
      </c>
      <c r="D359" s="8" t="n">
        <f aca="true">NORMINV(RAND(),Assumptions!$B$14,Assumptions!$B$15)</f>
        <v>0.0528743149846885</v>
      </c>
      <c r="E359" s="8" t="n">
        <f aca="true">NORMINV(RAND(),Assumptions!$B$14,Assumptions!$B$15)</f>
        <v>0.0300121034417531</v>
      </c>
      <c r="F359" s="8" t="n">
        <f aca="true">NORMINV(RAND(),Assumptions!$B$14,Assumptions!$B$15)</f>
        <v>0.0623707357516996</v>
      </c>
      <c r="G359" s="8" t="n">
        <f aca="true">NORMINV(RAND(),Assumptions!$B$14,Assumptions!$B$15)</f>
        <v>0.0749455432709734</v>
      </c>
      <c r="H359" s="8" t="n">
        <f aca="true">NORMINV(RAND(),Assumptions!$B$14,Assumptions!$B$15)</f>
        <v>0.0722902588445837</v>
      </c>
      <c r="I359" s="8" t="n">
        <f aca="true">NORMINV(RAND(),Assumptions!$B$14,Assumptions!$B$15)</f>
        <v>0.060976720848253</v>
      </c>
      <c r="J359" s="8" t="n">
        <f aca="true">NORMINV(RAND(),Assumptions!$B$14,Assumptions!$B$15)</f>
        <v>0.0638963226810903</v>
      </c>
      <c r="K359" s="8" t="n">
        <f aca="true">NORMINV(RAND(),Assumptions!$B$14,Assumptions!$B$15)</f>
        <v>0.0592237779475897</v>
      </c>
      <c r="L359" s="8" t="n">
        <f aca="true">NORMINV(RAND(),Assumptions!$B$14,Assumptions!$B$15)</f>
        <v>0.0800761154434624</v>
      </c>
      <c r="M359" s="6" t="n">
        <f aca="false">B359-Assumptions!$B$29</f>
        <v>391263.996662504</v>
      </c>
      <c r="N359" s="6" t="n">
        <f aca="false">W359-Assumptions!$B$29</f>
        <v>339573.621129122</v>
      </c>
      <c r="O359" s="6" t="n">
        <f aca="false">X359-Assumptions!$B$29</f>
        <v>307528.343733194</v>
      </c>
      <c r="P359" s="6" t="n">
        <f aca="false">Y359-Assumptions!$B$29</f>
        <v>266757.916196586</v>
      </c>
      <c r="Q359" s="6" t="n">
        <f aca="false">Z359-Assumptions!$B$29</f>
        <v>233395.803697357</v>
      </c>
      <c r="R359" s="6" t="n">
        <f aca="false">AA359-Assumptions!$B$29</f>
        <v>200887.779002621</v>
      </c>
      <c r="S359" s="6" t="n">
        <f aca="false">AB359-Assumptions!$B$29</f>
        <v>165410.008545434</v>
      </c>
      <c r="T359" s="6" t="n">
        <f aca="false">AC359-Assumptions!$B$29</f>
        <v>125496.168462016</v>
      </c>
      <c r="U359" s="6" t="n">
        <f aca="false">AD359-Assumptions!$B$29</f>
        <v>83514.9121373053</v>
      </c>
      <c r="V359" s="6" t="n">
        <f aca="false">AE359-Assumptions!$B$29</f>
        <v>38460.9807490375</v>
      </c>
      <c r="W359" s="6" t="n">
        <f aca="false">M359*(1+C359)</f>
        <v>389573.621129122</v>
      </c>
      <c r="X359" s="6" t="n">
        <f aca="false">N359*(1+D359)</f>
        <v>357528.343733194</v>
      </c>
      <c r="Y359" s="6" t="n">
        <f aca="false">O359*(1+E359)</f>
        <v>316757.916196586</v>
      </c>
      <c r="Z359" s="6" t="n">
        <f aca="false">P359*(1+F359)</f>
        <v>283395.803697357</v>
      </c>
      <c r="AA359" s="6" t="n">
        <f aca="false">Q359*(1+G359)</f>
        <v>250887.779002621</v>
      </c>
      <c r="AB359" s="6" t="n">
        <f aca="false">R359*(1+H359)</f>
        <v>215410.008545434</v>
      </c>
      <c r="AC359" s="6" t="n">
        <f aca="false">S359*(1+I359)</f>
        <v>175496.168462016</v>
      </c>
      <c r="AD359" s="6" t="n">
        <f aca="false">T359*(1+J359)</f>
        <v>133514.912137305</v>
      </c>
      <c r="AE359" s="6" t="n">
        <f aca="false">U359*(1+K359)</f>
        <v>88460.9807490375</v>
      </c>
      <c r="AF359" s="6" t="n">
        <f aca="false">V359*(1+L359)</f>
        <v>41540.7866835662</v>
      </c>
      <c r="AG359" s="6" t="n">
        <f aca="false">MIN(M359:V359)</f>
        <v>38460.9807490375</v>
      </c>
      <c r="AH359" s="19" t="n">
        <f aca="false">IF(AG359&gt;=0,1,0)</f>
        <v>1</v>
      </c>
    </row>
    <row r="360" customFormat="false" ht="15" hidden="false" customHeight="false" outlineLevel="0" collapsed="false">
      <c r="A360" s="0" t="n">
        <f aca="false">ROW()-1</f>
        <v>359</v>
      </c>
      <c r="B360" s="6" t="n">
        <f aca="false">Assumptions!$B$35</f>
        <v>441263.996662504</v>
      </c>
      <c r="C360" s="8" t="n">
        <f aca="true">NORMINV(RAND(),Assumptions!$B$14,Assumptions!$B$15)</f>
        <v>0.0677983788332115</v>
      </c>
      <c r="D360" s="8" t="n">
        <f aca="true">NORMINV(RAND(),Assumptions!$B$14,Assumptions!$B$15)</f>
        <v>0.0304687484479238</v>
      </c>
      <c r="E360" s="8" t="n">
        <f aca="true">NORMINV(RAND(),Assumptions!$B$14,Assumptions!$B$15)</f>
        <v>0.0270326626862711</v>
      </c>
      <c r="F360" s="8" t="n">
        <f aca="true">NORMINV(RAND(),Assumptions!$B$14,Assumptions!$B$15)</f>
        <v>0.0655295380385355</v>
      </c>
      <c r="G360" s="8" t="n">
        <f aca="true">NORMINV(RAND(),Assumptions!$B$14,Assumptions!$B$15)</f>
        <v>0.0809366507987295</v>
      </c>
      <c r="H360" s="8" t="n">
        <f aca="true">NORMINV(RAND(),Assumptions!$B$14,Assumptions!$B$15)</f>
        <v>0.0561236815305832</v>
      </c>
      <c r="I360" s="8" t="n">
        <f aca="true">NORMINV(RAND(),Assumptions!$B$14,Assumptions!$B$15)</f>
        <v>0.0654821507894379</v>
      </c>
      <c r="J360" s="8" t="n">
        <f aca="true">NORMINV(RAND(),Assumptions!$B$14,Assumptions!$B$15)</f>
        <v>0.0163343402787847</v>
      </c>
      <c r="K360" s="8" t="n">
        <f aca="true">NORMINV(RAND(),Assumptions!$B$14,Assumptions!$B$15)</f>
        <v>0.0346502508856194</v>
      </c>
      <c r="L360" s="8" t="n">
        <f aca="true">NORMINV(RAND(),Assumptions!$B$14,Assumptions!$B$15)</f>
        <v>0.0322781258296056</v>
      </c>
      <c r="M360" s="6" t="n">
        <f aca="false">B360-Assumptions!$B$29</f>
        <v>391263.996662504</v>
      </c>
      <c r="N360" s="6" t="n">
        <f aca="false">W360-Assumptions!$B$29</f>
        <v>367791.061332024</v>
      </c>
      <c r="O360" s="6" t="n">
        <f aca="false">X360-Assumptions!$B$29</f>
        <v>328997.194661145</v>
      </c>
      <c r="P360" s="6" t="n">
        <f aca="false">Y360-Assumptions!$B$29</f>
        <v>287890.864849149</v>
      </c>
      <c r="Q360" s="6" t="n">
        <f aca="false">Z360-Assumptions!$B$29</f>
        <v>256756.220228228</v>
      </c>
      <c r="R360" s="6" t="n">
        <f aca="false">AA360-Assumptions!$B$29</f>
        <v>227537.208765242</v>
      </c>
      <c r="S360" s="6" t="n">
        <f aca="false">AB360-Assumptions!$B$29</f>
        <v>190307.43460634</v>
      </c>
      <c r="T360" s="6" t="n">
        <f aca="false">AC360-Assumptions!$B$29</f>
        <v>152769.174735584</v>
      </c>
      <c r="U360" s="6" t="n">
        <f aca="false">AD360-Assumptions!$B$29</f>
        <v>105264.558419824</v>
      </c>
      <c r="V360" s="6" t="n">
        <f aca="false">AE360-Assumptions!$B$29</f>
        <v>58912.0017784345</v>
      </c>
      <c r="W360" s="6" t="n">
        <f aca="false">M360*(1+C360)</f>
        <v>417791.061332024</v>
      </c>
      <c r="X360" s="6" t="n">
        <f aca="false">N360*(1+D360)</f>
        <v>378997.194661145</v>
      </c>
      <c r="Y360" s="6" t="n">
        <f aca="false">O360*(1+E360)</f>
        <v>337890.864849149</v>
      </c>
      <c r="Z360" s="6" t="n">
        <f aca="false">P360*(1+F360)</f>
        <v>306756.220228228</v>
      </c>
      <c r="AA360" s="6" t="n">
        <f aca="false">Q360*(1+G360)</f>
        <v>277537.208765242</v>
      </c>
      <c r="AB360" s="6" t="n">
        <f aca="false">R360*(1+H360)</f>
        <v>240307.43460634</v>
      </c>
      <c r="AC360" s="6" t="n">
        <f aca="false">S360*(1+I360)</f>
        <v>202769.174735584</v>
      </c>
      <c r="AD360" s="6" t="n">
        <f aca="false">T360*(1+J360)</f>
        <v>155264.558419824</v>
      </c>
      <c r="AE360" s="6" t="n">
        <f aca="false">U360*(1+K360)</f>
        <v>108912.001778435</v>
      </c>
      <c r="AF360" s="6" t="n">
        <f aca="false">V360*(1+L360)</f>
        <v>60813.5707847128</v>
      </c>
      <c r="AG360" s="6" t="n">
        <f aca="false">MIN(M360:V360)</f>
        <v>58912.0017784345</v>
      </c>
      <c r="AH360" s="19" t="n">
        <f aca="false">IF(AG360&gt;=0,1,0)</f>
        <v>1</v>
      </c>
    </row>
    <row r="361" customFormat="false" ht="15" hidden="false" customHeight="false" outlineLevel="0" collapsed="false">
      <c r="A361" s="0" t="n">
        <f aca="false">ROW()-1</f>
        <v>360</v>
      </c>
      <c r="B361" s="6" t="n">
        <f aca="false">Assumptions!$B$35</f>
        <v>441263.996662504</v>
      </c>
      <c r="C361" s="8" t="n">
        <f aca="true">NORMINV(RAND(),Assumptions!$B$14,Assumptions!$B$15)</f>
        <v>0.0100035321101127</v>
      </c>
      <c r="D361" s="8" t="n">
        <f aca="true">NORMINV(RAND(),Assumptions!$B$14,Assumptions!$B$15)</f>
        <v>0.0680744547476581</v>
      </c>
      <c r="E361" s="8" t="n">
        <f aca="true">NORMINV(RAND(),Assumptions!$B$14,Assumptions!$B$15)</f>
        <v>0.00531259289774127</v>
      </c>
      <c r="F361" s="8" t="n">
        <f aca="true">NORMINV(RAND(),Assumptions!$B$14,Assumptions!$B$15)</f>
        <v>0.0330610037842879</v>
      </c>
      <c r="G361" s="8" t="n">
        <f aca="true">NORMINV(RAND(),Assumptions!$B$14,Assumptions!$B$15)</f>
        <v>0.122881108405116</v>
      </c>
      <c r="H361" s="8" t="n">
        <f aca="true">NORMINV(RAND(),Assumptions!$B$14,Assumptions!$B$15)</f>
        <v>0.0669799759286663</v>
      </c>
      <c r="I361" s="8" t="n">
        <f aca="true">NORMINV(RAND(),Assumptions!$B$14,Assumptions!$B$15)</f>
        <v>0.0597073506429424</v>
      </c>
      <c r="J361" s="8" t="n">
        <f aca="true">NORMINV(RAND(),Assumptions!$B$14,Assumptions!$B$15)</f>
        <v>0.0463871962393594</v>
      </c>
      <c r="K361" s="8" t="n">
        <f aca="true">NORMINV(RAND(),Assumptions!$B$14,Assumptions!$B$15)</f>
        <v>0.0564528505108543</v>
      </c>
      <c r="L361" s="8" t="n">
        <f aca="true">NORMINV(RAND(),Assumptions!$B$14,Assumptions!$B$15)</f>
        <v>0.0764603180847123</v>
      </c>
      <c r="M361" s="6" t="n">
        <f aca="false">B361-Assumptions!$B$29</f>
        <v>391263.996662504</v>
      </c>
      <c r="N361" s="6" t="n">
        <f aca="false">W361-Assumptions!$B$29</f>
        <v>345178.018616648</v>
      </c>
      <c r="O361" s="6" t="n">
        <f aca="false">X361-Assumptions!$B$29</f>
        <v>318675.824024853</v>
      </c>
      <c r="P361" s="6" t="n">
        <f aca="false">Y361-Assumptions!$B$29</f>
        <v>270368.818944249</v>
      </c>
      <c r="Q361" s="6" t="n">
        <f aca="false">Z361-Assumptions!$B$29</f>
        <v>229307.483490519</v>
      </c>
      <c r="R361" s="6" t="n">
        <f aca="false">AA361-Assumptions!$B$29</f>
        <v>207485.041227421</v>
      </c>
      <c r="S361" s="6" t="n">
        <f aca="false">AB361-Assumptions!$B$29</f>
        <v>171382.384294392</v>
      </c>
      <c r="T361" s="6" t="n">
        <f aca="false">AC361-Assumptions!$B$29</f>
        <v>131615.172407481</v>
      </c>
      <c r="U361" s="6" t="n">
        <f aca="false">AD361-Assumptions!$B$29</f>
        <v>87720.4312380242</v>
      </c>
      <c r="V361" s="6" t="n">
        <f aca="false">AE361-Assumptions!$B$29</f>
        <v>42672.499629452</v>
      </c>
      <c r="W361" s="6" t="n">
        <f aca="false">M361*(1+C361)</f>
        <v>395178.018616648</v>
      </c>
      <c r="X361" s="6" t="n">
        <f aca="false">N361*(1+D361)</f>
        <v>368675.824024853</v>
      </c>
      <c r="Y361" s="6" t="n">
        <f aca="false">O361*(1+E361)</f>
        <v>320368.818944249</v>
      </c>
      <c r="Z361" s="6" t="n">
        <f aca="false">P361*(1+F361)</f>
        <v>279307.483490519</v>
      </c>
      <c r="AA361" s="6" t="n">
        <f aca="false">Q361*(1+G361)</f>
        <v>257485.041227421</v>
      </c>
      <c r="AB361" s="6" t="n">
        <f aca="false">R361*(1+H361)</f>
        <v>221382.384294392</v>
      </c>
      <c r="AC361" s="6" t="n">
        <f aca="false">S361*(1+I361)</f>
        <v>181615.172407481</v>
      </c>
      <c r="AD361" s="6" t="n">
        <f aca="false">T361*(1+J361)</f>
        <v>137720.431238024</v>
      </c>
      <c r="AE361" s="6" t="n">
        <f aca="false">U361*(1+K361)</f>
        <v>92672.499629452</v>
      </c>
      <c r="AF361" s="6" t="n">
        <f aca="false">V361*(1+L361)</f>
        <v>45935.2525245897</v>
      </c>
      <c r="AG361" s="6" t="n">
        <f aca="false">MIN(M361:V361)</f>
        <v>42672.499629452</v>
      </c>
      <c r="AH361" s="19" t="n">
        <f aca="false">IF(AG361&gt;=0,1,0)</f>
        <v>1</v>
      </c>
    </row>
    <row r="362" customFormat="false" ht="15" hidden="false" customHeight="false" outlineLevel="0" collapsed="false">
      <c r="A362" s="0" t="n">
        <f aca="false">ROW()-1</f>
        <v>361</v>
      </c>
      <c r="B362" s="6" t="n">
        <f aca="false">Assumptions!$B$35</f>
        <v>441263.996662504</v>
      </c>
      <c r="C362" s="8" t="n">
        <f aca="true">NORMINV(RAND(),Assumptions!$B$14,Assumptions!$B$15)</f>
        <v>0.0482841986920571</v>
      </c>
      <c r="D362" s="8" t="n">
        <f aca="true">NORMINV(RAND(),Assumptions!$B$14,Assumptions!$B$15)</f>
        <v>0.0608820430187674</v>
      </c>
      <c r="E362" s="8" t="n">
        <f aca="true">NORMINV(RAND(),Assumptions!$B$14,Assumptions!$B$15)</f>
        <v>0.0378766892589996</v>
      </c>
      <c r="F362" s="8" t="n">
        <f aca="true">NORMINV(RAND(),Assumptions!$B$14,Assumptions!$B$15)</f>
        <v>0.0230004571258783</v>
      </c>
      <c r="G362" s="8" t="n">
        <f aca="true">NORMINV(RAND(),Assumptions!$B$14,Assumptions!$B$15)</f>
        <v>0.0325700488266736</v>
      </c>
      <c r="H362" s="8" t="n">
        <f aca="true">NORMINV(RAND(),Assumptions!$B$14,Assumptions!$B$15)</f>
        <v>0.0385023527174581</v>
      </c>
      <c r="I362" s="8" t="n">
        <f aca="true">NORMINV(RAND(),Assumptions!$B$14,Assumptions!$B$15)</f>
        <v>0.041045569529461</v>
      </c>
      <c r="J362" s="8" t="n">
        <f aca="true">NORMINV(RAND(),Assumptions!$B$14,Assumptions!$B$15)</f>
        <v>0.131817685700286</v>
      </c>
      <c r="K362" s="8" t="n">
        <f aca="true">NORMINV(RAND(),Assumptions!$B$14,Assumptions!$B$15)</f>
        <v>0.0547127189314254</v>
      </c>
      <c r="L362" s="8" t="n">
        <f aca="true">NORMINV(RAND(),Assumptions!$B$14,Assumptions!$B$15)</f>
        <v>0.0475103212213253</v>
      </c>
      <c r="M362" s="6" t="n">
        <f aca="false">B362-Assumptions!$B$29</f>
        <v>391263.996662504</v>
      </c>
      <c r="N362" s="6" t="n">
        <f aca="false">W362-Assumptions!$B$29</f>
        <v>360155.865218404</v>
      </c>
      <c r="O362" s="6" t="n">
        <f aca="false">X362-Assumptions!$B$29</f>
        <v>332082.890098092</v>
      </c>
      <c r="P362" s="6" t="n">
        <f aca="false">Y362-Assumptions!$B$29</f>
        <v>294661.090534568</v>
      </c>
      <c r="Q362" s="6" t="n">
        <f aca="false">Z362-Assumptions!$B$29</f>
        <v>251438.430314073</v>
      </c>
      <c r="R362" s="6" t="n">
        <f aca="false">AA362-Assumptions!$B$29</f>
        <v>209627.792266305</v>
      </c>
      <c r="S362" s="6" t="n">
        <f aca="false">AB362-Assumptions!$B$29</f>
        <v>167698.955463524</v>
      </c>
      <c r="T362" s="6" t="n">
        <f aca="false">AC362-Assumptions!$B$29</f>
        <v>124582.25460002</v>
      </c>
      <c r="U362" s="6" t="n">
        <f aca="false">AD362-Assumptions!$B$29</f>
        <v>91004.3990807186</v>
      </c>
      <c r="V362" s="6" t="n">
        <f aca="false">AE362-Assumptions!$B$29</f>
        <v>45983.4971891453</v>
      </c>
      <c r="W362" s="6" t="n">
        <f aca="false">M362*(1+C362)</f>
        <v>410155.865218404</v>
      </c>
      <c r="X362" s="6" t="n">
        <f aca="false">N362*(1+D362)</f>
        <v>382082.890098092</v>
      </c>
      <c r="Y362" s="6" t="n">
        <f aca="false">O362*(1+E362)</f>
        <v>344661.090534568</v>
      </c>
      <c r="Z362" s="6" t="n">
        <f aca="false">P362*(1+F362)</f>
        <v>301438.430314073</v>
      </c>
      <c r="AA362" s="6" t="n">
        <f aca="false">Q362*(1+G362)</f>
        <v>259627.792266305</v>
      </c>
      <c r="AB362" s="6" t="n">
        <f aca="false">R362*(1+H362)</f>
        <v>217698.955463524</v>
      </c>
      <c r="AC362" s="6" t="n">
        <f aca="false">S362*(1+I362)</f>
        <v>174582.25460002</v>
      </c>
      <c r="AD362" s="6" t="n">
        <f aca="false">T362*(1+J362)</f>
        <v>141004.399080719</v>
      </c>
      <c r="AE362" s="6" t="n">
        <f aca="false">U362*(1+K362)</f>
        <v>95983.4971891453</v>
      </c>
      <c r="AF362" s="6" t="n">
        <f aca="false">V362*(1+L362)</f>
        <v>48168.1879114815</v>
      </c>
      <c r="AG362" s="6" t="n">
        <f aca="false">MIN(M362:V362)</f>
        <v>45983.4971891453</v>
      </c>
      <c r="AH362" s="19" t="n">
        <f aca="false">IF(AG362&gt;=0,1,0)</f>
        <v>1</v>
      </c>
    </row>
    <row r="363" customFormat="false" ht="15" hidden="false" customHeight="false" outlineLevel="0" collapsed="false">
      <c r="A363" s="0" t="n">
        <f aca="false">ROW()-1</f>
        <v>362</v>
      </c>
      <c r="B363" s="6" t="n">
        <f aca="false">Assumptions!$B$35</f>
        <v>441263.996662504</v>
      </c>
      <c r="C363" s="8" t="n">
        <f aca="true">NORMINV(RAND(),Assumptions!$B$14,Assumptions!$B$15)</f>
        <v>0.0421760173892405</v>
      </c>
      <c r="D363" s="8" t="n">
        <f aca="true">NORMINV(RAND(),Assumptions!$B$14,Assumptions!$B$15)</f>
        <v>0.0224030280331296</v>
      </c>
      <c r="E363" s="8" t="n">
        <f aca="true">NORMINV(RAND(),Assumptions!$B$14,Assumptions!$B$15)</f>
        <v>0.0573374419915465</v>
      </c>
      <c r="F363" s="8" t="n">
        <f aca="true">NORMINV(RAND(),Assumptions!$B$14,Assumptions!$B$15)</f>
        <v>0.0327870691832055</v>
      </c>
      <c r="G363" s="8" t="n">
        <f aca="true">NORMINV(RAND(),Assumptions!$B$14,Assumptions!$B$15)</f>
        <v>0.0457071008405565</v>
      </c>
      <c r="H363" s="8" t="n">
        <f aca="true">NORMINV(RAND(),Assumptions!$B$14,Assumptions!$B$15)</f>
        <v>0.0645801257504348</v>
      </c>
      <c r="I363" s="8" t="n">
        <f aca="true">NORMINV(RAND(),Assumptions!$B$14,Assumptions!$B$15)</f>
        <v>0.0325006333536402</v>
      </c>
      <c r="J363" s="8" t="n">
        <f aca="true">NORMINV(RAND(),Assumptions!$B$14,Assumptions!$B$15)</f>
        <v>0.0207299033800973</v>
      </c>
      <c r="K363" s="8" t="n">
        <f aca="true">NORMINV(RAND(),Assumptions!$B$14,Assumptions!$B$15)</f>
        <v>0.0261047183553779</v>
      </c>
      <c r="L363" s="8" t="n">
        <f aca="true">NORMINV(RAND(),Assumptions!$B$14,Assumptions!$B$15)</f>
        <v>0.0421487281455142</v>
      </c>
      <c r="M363" s="6" t="n">
        <f aca="false">B363-Assumptions!$B$29</f>
        <v>391263.996662504</v>
      </c>
      <c r="N363" s="6" t="n">
        <f aca="false">W363-Assumptions!$B$29</f>
        <v>357765.953789525</v>
      </c>
      <c r="O363" s="6" t="n">
        <f aca="false">X363-Assumptions!$B$29</f>
        <v>315780.994481571</v>
      </c>
      <c r="P363" s="6" t="n">
        <f aca="false">Y363-Assumptions!$B$29</f>
        <v>283887.068934691</v>
      </c>
      <c r="Q363" s="6" t="n">
        <f aca="false">Z363-Assumptions!$B$29</f>
        <v>243194.89390407</v>
      </c>
      <c r="R363" s="6" t="n">
        <f aca="false">AA363-Assumptions!$B$29</f>
        <v>204310.627443652</v>
      </c>
      <c r="S363" s="6" t="n">
        <f aca="false">AB363-Assumptions!$B$29</f>
        <v>167505.033456113</v>
      </c>
      <c r="T363" s="6" t="n">
        <f aca="false">AC363-Assumptions!$B$29</f>
        <v>122949.05313336</v>
      </c>
      <c r="U363" s="6" t="n">
        <f aca="false">AD363-Assumptions!$B$29</f>
        <v>75497.7751254885</v>
      </c>
      <c r="V363" s="6" t="n">
        <f aca="false">AE363-Assumptions!$B$29</f>
        <v>27468.623281597</v>
      </c>
      <c r="W363" s="6" t="n">
        <f aca="false">M363*(1+C363)</f>
        <v>407765.953789525</v>
      </c>
      <c r="X363" s="6" t="n">
        <f aca="false">N363*(1+D363)</f>
        <v>365780.994481571</v>
      </c>
      <c r="Y363" s="6" t="n">
        <f aca="false">O363*(1+E363)</f>
        <v>333887.068934691</v>
      </c>
      <c r="Z363" s="6" t="n">
        <f aca="false">P363*(1+F363)</f>
        <v>293194.89390407</v>
      </c>
      <c r="AA363" s="6" t="n">
        <f aca="false">Q363*(1+G363)</f>
        <v>254310.627443652</v>
      </c>
      <c r="AB363" s="6" t="n">
        <f aca="false">R363*(1+H363)</f>
        <v>217505.033456113</v>
      </c>
      <c r="AC363" s="6" t="n">
        <f aca="false">S363*(1+I363)</f>
        <v>172949.05313336</v>
      </c>
      <c r="AD363" s="6" t="n">
        <f aca="false">T363*(1+J363)</f>
        <v>125497.775125488</v>
      </c>
      <c r="AE363" s="6" t="n">
        <f aca="false">U363*(1+K363)</f>
        <v>77468.623281597</v>
      </c>
      <c r="AF363" s="6" t="n">
        <f aca="false">V363*(1+L363)</f>
        <v>28626.3908168246</v>
      </c>
      <c r="AG363" s="6" t="n">
        <f aca="false">MIN(M363:V363)</f>
        <v>27468.623281597</v>
      </c>
      <c r="AH363" s="19" t="n">
        <f aca="false">IF(AG363&gt;=0,1,0)</f>
        <v>1</v>
      </c>
    </row>
    <row r="364" customFormat="false" ht="15" hidden="false" customHeight="false" outlineLevel="0" collapsed="false">
      <c r="A364" s="0" t="n">
        <f aca="false">ROW()-1</f>
        <v>363</v>
      </c>
      <c r="B364" s="6" t="n">
        <f aca="false">Assumptions!$B$35</f>
        <v>441263.996662504</v>
      </c>
      <c r="C364" s="8" t="n">
        <f aca="true">NORMINV(RAND(),Assumptions!$B$14,Assumptions!$B$15)</f>
        <v>0.0598994894148257</v>
      </c>
      <c r="D364" s="8" t="n">
        <f aca="true">NORMINV(RAND(),Assumptions!$B$14,Assumptions!$B$15)</f>
        <v>0.0940364544257822</v>
      </c>
      <c r="E364" s="8" t="n">
        <f aca="true">NORMINV(RAND(),Assumptions!$B$14,Assumptions!$B$15)</f>
        <v>0.0153504321245969</v>
      </c>
      <c r="F364" s="8" t="n">
        <f aca="true">NORMINV(RAND(),Assumptions!$B$14,Assumptions!$B$15)</f>
        <v>0.0714268406881183</v>
      </c>
      <c r="G364" s="8" t="n">
        <f aca="true">NORMINV(RAND(),Assumptions!$B$14,Assumptions!$B$15)</f>
        <v>0.0318001678435115</v>
      </c>
      <c r="H364" s="8" t="n">
        <f aca="true">NORMINV(RAND(),Assumptions!$B$14,Assumptions!$B$15)</f>
        <v>0.0584377960982587</v>
      </c>
      <c r="I364" s="8" t="n">
        <f aca="true">NORMINV(RAND(),Assumptions!$B$14,Assumptions!$B$15)</f>
        <v>-0.0207473252038846</v>
      </c>
      <c r="J364" s="8" t="n">
        <f aca="true">NORMINV(RAND(),Assumptions!$B$14,Assumptions!$B$15)</f>
        <v>0.0218596924986469</v>
      </c>
      <c r="K364" s="8" t="n">
        <f aca="true">NORMINV(RAND(),Assumptions!$B$14,Assumptions!$B$15)</f>
        <v>0.0483231549222599</v>
      </c>
      <c r="L364" s="8" t="n">
        <f aca="true">NORMINV(RAND(),Assumptions!$B$14,Assumptions!$B$15)</f>
        <v>0.0320547238097724</v>
      </c>
      <c r="M364" s="6" t="n">
        <f aca="false">B364-Assumptions!$B$29</f>
        <v>391263.996662504</v>
      </c>
      <c r="N364" s="6" t="n">
        <f aca="false">W364-Assumptions!$B$29</f>
        <v>364700.510288992</v>
      </c>
      <c r="O364" s="6" t="n">
        <f aca="false">X364-Assumptions!$B$29</f>
        <v>348995.653203842</v>
      </c>
      <c r="P364" s="6" t="n">
        <f aca="false">Y364-Assumptions!$B$29</f>
        <v>304352.887290127</v>
      </c>
      <c r="Q364" s="6" t="n">
        <f aca="false">Z364-Assumptions!$B$29</f>
        <v>276091.852483567</v>
      </c>
      <c r="R364" s="6" t="n">
        <f aca="false">AA364-Assumptions!$B$29</f>
        <v>234871.619732771</v>
      </c>
      <c r="S364" s="6" t="n">
        <f aca="false">AB364-Assumptions!$B$29</f>
        <v>198596.999555982</v>
      </c>
      <c r="T364" s="6" t="n">
        <f aca="false">AC364-Assumptions!$B$29</f>
        <v>144476.643021679</v>
      </c>
      <c r="U364" s="6" t="n">
        <f aca="false">AD364-Assumptions!$B$29</f>
        <v>97634.8580113693</v>
      </c>
      <c r="V364" s="6" t="n">
        <f aca="false">AE364-Assumptions!$B$29</f>
        <v>52352.8823808655</v>
      </c>
      <c r="W364" s="6" t="n">
        <f aca="false">M364*(1+C364)</f>
        <v>414700.510288992</v>
      </c>
      <c r="X364" s="6" t="n">
        <f aca="false">N364*(1+D364)</f>
        <v>398995.653203842</v>
      </c>
      <c r="Y364" s="6" t="n">
        <f aca="false">O364*(1+E364)</f>
        <v>354352.887290127</v>
      </c>
      <c r="Z364" s="6" t="n">
        <f aca="false">P364*(1+F364)</f>
        <v>326091.852483567</v>
      </c>
      <c r="AA364" s="6" t="n">
        <f aca="false">Q364*(1+G364)</f>
        <v>284871.619732771</v>
      </c>
      <c r="AB364" s="6" t="n">
        <f aca="false">R364*(1+H364)</f>
        <v>248596.999555982</v>
      </c>
      <c r="AC364" s="6" t="n">
        <f aca="false">S364*(1+I364)</f>
        <v>194476.643021679</v>
      </c>
      <c r="AD364" s="6" t="n">
        <f aca="false">T364*(1+J364)</f>
        <v>147634.858011369</v>
      </c>
      <c r="AE364" s="6" t="n">
        <f aca="false">U364*(1+K364)</f>
        <v>102352.882380866</v>
      </c>
      <c r="AF364" s="6" t="n">
        <f aca="false">V364*(1+L364)</f>
        <v>54031.0395662297</v>
      </c>
      <c r="AG364" s="6" t="n">
        <f aca="false">MIN(M364:V364)</f>
        <v>52352.8823808655</v>
      </c>
      <c r="AH364" s="19" t="n">
        <f aca="false">IF(AG364&gt;=0,1,0)</f>
        <v>1</v>
      </c>
    </row>
    <row r="365" customFormat="false" ht="15" hidden="false" customHeight="false" outlineLevel="0" collapsed="false">
      <c r="A365" s="0" t="n">
        <f aca="false">ROW()-1</f>
        <v>364</v>
      </c>
      <c r="B365" s="6" t="n">
        <f aca="false">Assumptions!$B$35</f>
        <v>441263.996662504</v>
      </c>
      <c r="C365" s="8" t="n">
        <f aca="true">NORMINV(RAND(),Assumptions!$B$14,Assumptions!$B$15)</f>
        <v>0.00502933889416039</v>
      </c>
      <c r="D365" s="8" t="n">
        <f aca="true">NORMINV(RAND(),Assumptions!$B$14,Assumptions!$B$15)</f>
        <v>0.0792110241604228</v>
      </c>
      <c r="E365" s="8" t="n">
        <f aca="true">NORMINV(RAND(),Assumptions!$B$14,Assumptions!$B$15)</f>
        <v>-0.00106195344968031</v>
      </c>
      <c r="F365" s="8" t="n">
        <f aca="true">NORMINV(RAND(),Assumptions!$B$14,Assumptions!$B$15)</f>
        <v>0.0694634184946675</v>
      </c>
      <c r="G365" s="8" t="n">
        <f aca="true">NORMINV(RAND(),Assumptions!$B$14,Assumptions!$B$15)</f>
        <v>0.0408432808868136</v>
      </c>
      <c r="H365" s="8" t="n">
        <f aca="true">NORMINV(RAND(),Assumptions!$B$14,Assumptions!$B$15)</f>
        <v>0.0175507645449011</v>
      </c>
      <c r="I365" s="8" t="n">
        <f aca="true">NORMINV(RAND(),Assumptions!$B$14,Assumptions!$B$15)</f>
        <v>0.0708016940231694</v>
      </c>
      <c r="J365" s="8" t="n">
        <f aca="true">NORMINV(RAND(),Assumptions!$B$14,Assumptions!$B$15)</f>
        <v>0.0105456935254109</v>
      </c>
      <c r="K365" s="8" t="n">
        <f aca="true">NORMINV(RAND(),Assumptions!$B$14,Assumptions!$B$15)</f>
        <v>0.00970961446340771</v>
      </c>
      <c r="L365" s="8" t="n">
        <f aca="true">NORMINV(RAND(),Assumptions!$B$14,Assumptions!$B$15)</f>
        <v>0.0629364182583755</v>
      </c>
      <c r="M365" s="6" t="n">
        <f aca="false">B365-Assumptions!$B$29</f>
        <v>391263.996662504</v>
      </c>
      <c r="N365" s="6" t="n">
        <f aca="false">W365-Assumptions!$B$29</f>
        <v>343231.795898803</v>
      </c>
      <c r="O365" s="6" t="n">
        <f aca="false">X365-Assumptions!$B$29</f>
        <v>320419.537976368</v>
      </c>
      <c r="P365" s="6" t="n">
        <f aca="false">Y365-Assumptions!$B$29</f>
        <v>270079.267342669</v>
      </c>
      <c r="Q365" s="6" t="n">
        <f aca="false">Z365-Assumptions!$B$29</f>
        <v>238839.896516826</v>
      </c>
      <c r="R365" s="6" t="n">
        <f aca="false">AA365-Assumptions!$B$29</f>
        <v>198594.901497241</v>
      </c>
      <c r="S365" s="6" t="n">
        <f aca="false">AB365-Assumptions!$B$29</f>
        <v>152080.393853236</v>
      </c>
      <c r="T365" s="6" t="n">
        <f aca="false">AC365-Assumptions!$B$29</f>
        <v>112847.943365756</v>
      </c>
      <c r="U365" s="6" t="n">
        <f aca="false">AD365-Assumptions!$B$29</f>
        <v>64038.0031914646</v>
      </c>
      <c r="V365" s="6" t="n">
        <f aca="false">AE365-Assumptions!$B$29</f>
        <v>14659.7875134602</v>
      </c>
      <c r="W365" s="6" t="n">
        <f aca="false">M365*(1+C365)</f>
        <v>393231.795898803</v>
      </c>
      <c r="X365" s="6" t="n">
        <f aca="false">N365*(1+D365)</f>
        <v>370419.537976368</v>
      </c>
      <c r="Y365" s="6" t="n">
        <f aca="false">O365*(1+E365)</f>
        <v>320079.267342669</v>
      </c>
      <c r="Z365" s="6" t="n">
        <f aca="false">P365*(1+F365)</f>
        <v>288839.896516826</v>
      </c>
      <c r="AA365" s="6" t="n">
        <f aca="false">Q365*(1+G365)</f>
        <v>248594.901497241</v>
      </c>
      <c r="AB365" s="6" t="n">
        <f aca="false">R365*(1+H365)</f>
        <v>202080.393853236</v>
      </c>
      <c r="AC365" s="6" t="n">
        <f aca="false">S365*(1+I365)</f>
        <v>162847.943365756</v>
      </c>
      <c r="AD365" s="6" t="n">
        <f aca="false">T365*(1+J365)</f>
        <v>114038.003191465</v>
      </c>
      <c r="AE365" s="6" t="n">
        <f aca="false">U365*(1+K365)</f>
        <v>64659.7875134602</v>
      </c>
      <c r="AF365" s="6" t="n">
        <f aca="false">V365*(1+L365)</f>
        <v>15582.4220319862</v>
      </c>
      <c r="AG365" s="6" t="n">
        <f aca="false">MIN(M365:V365)</f>
        <v>14659.7875134602</v>
      </c>
      <c r="AH365" s="19" t="n">
        <f aca="false">IF(AG365&gt;=0,1,0)</f>
        <v>1</v>
      </c>
    </row>
    <row r="366" customFormat="false" ht="15" hidden="false" customHeight="false" outlineLevel="0" collapsed="false">
      <c r="A366" s="0" t="n">
        <f aca="false">ROW()-1</f>
        <v>365</v>
      </c>
      <c r="B366" s="6" t="n">
        <f aca="false">Assumptions!$B$35</f>
        <v>441263.996662504</v>
      </c>
      <c r="C366" s="8" t="n">
        <f aca="true">NORMINV(RAND(),Assumptions!$B$14,Assumptions!$B$15)</f>
        <v>0.0963110326461373</v>
      </c>
      <c r="D366" s="8" t="n">
        <f aca="true">NORMINV(RAND(),Assumptions!$B$14,Assumptions!$B$15)</f>
        <v>0.12868118337897</v>
      </c>
      <c r="E366" s="8" t="n">
        <f aca="true">NORMINV(RAND(),Assumptions!$B$14,Assumptions!$B$15)</f>
        <v>0.0283729972359988</v>
      </c>
      <c r="F366" s="8" t="n">
        <f aca="true">NORMINV(RAND(),Assumptions!$B$14,Assumptions!$B$15)</f>
        <v>0.0365703341595066</v>
      </c>
      <c r="G366" s="8" t="n">
        <f aca="true">NORMINV(RAND(),Assumptions!$B$14,Assumptions!$B$15)</f>
        <v>0.047876891287698</v>
      </c>
      <c r="H366" s="8" t="n">
        <f aca="true">NORMINV(RAND(),Assumptions!$B$14,Assumptions!$B$15)</f>
        <v>0.0359589632564707</v>
      </c>
      <c r="I366" s="8" t="n">
        <f aca="true">NORMINV(RAND(),Assumptions!$B$14,Assumptions!$B$15)</f>
        <v>0.0402281741235812</v>
      </c>
      <c r="J366" s="8" t="n">
        <f aca="true">NORMINV(RAND(),Assumptions!$B$14,Assumptions!$B$15)</f>
        <v>-0.0061654299125042</v>
      </c>
      <c r="K366" s="8" t="n">
        <f aca="true">NORMINV(RAND(),Assumptions!$B$14,Assumptions!$B$15)</f>
        <v>0.0761857338417428</v>
      </c>
      <c r="L366" s="8" t="n">
        <f aca="true">NORMINV(RAND(),Assumptions!$B$14,Assumptions!$B$15)</f>
        <v>0.0452398441880069</v>
      </c>
      <c r="M366" s="6" t="n">
        <f aca="false">B366-Assumptions!$B$29</f>
        <v>391263.996662504</v>
      </c>
      <c r="N366" s="6" t="n">
        <f aca="false">W366-Assumptions!$B$29</f>
        <v>378947.036218324</v>
      </c>
      <c r="O366" s="6" t="n">
        <f aca="false">X366-Assumptions!$B$29</f>
        <v>377710.389276851</v>
      </c>
      <c r="P366" s="6" t="n">
        <f aca="false">Y366-Assumptions!$B$29</f>
        <v>338427.165107811</v>
      </c>
      <c r="Q366" s="6" t="n">
        <f aca="false">Z366-Assumptions!$B$29</f>
        <v>300803.559624459</v>
      </c>
      <c r="R366" s="6" t="n">
        <f aca="false">AA366-Assumptions!$B$29</f>
        <v>265205.098947551</v>
      </c>
      <c r="S366" s="6" t="n">
        <f aca="false">AB366-Assumptions!$B$29</f>
        <v>224741.599356035</v>
      </c>
      <c r="T366" s="6" t="n">
        <f aca="false">AC366-Assumptions!$B$29</f>
        <v>183782.543547742</v>
      </c>
      <c r="U366" s="6" t="n">
        <f aca="false">AD366-Assumptions!$B$29</f>
        <v>132649.445156356</v>
      </c>
      <c r="V366" s="6" t="n">
        <f aca="false">AE366-Assumptions!$B$29</f>
        <v>92755.4404792934</v>
      </c>
      <c r="W366" s="6" t="n">
        <f aca="false">M366*(1+C366)</f>
        <v>428947.036218324</v>
      </c>
      <c r="X366" s="6" t="n">
        <f aca="false">N366*(1+D366)</f>
        <v>427710.389276851</v>
      </c>
      <c r="Y366" s="6" t="n">
        <f aca="false">O366*(1+E366)</f>
        <v>388427.165107811</v>
      </c>
      <c r="Z366" s="6" t="n">
        <f aca="false">P366*(1+F366)</f>
        <v>350803.559624459</v>
      </c>
      <c r="AA366" s="6" t="n">
        <f aca="false">Q366*(1+G366)</f>
        <v>315205.098947551</v>
      </c>
      <c r="AB366" s="6" t="n">
        <f aca="false">R366*(1+H366)</f>
        <v>274741.599356035</v>
      </c>
      <c r="AC366" s="6" t="n">
        <f aca="false">S366*(1+I366)</f>
        <v>233782.543547742</v>
      </c>
      <c r="AD366" s="6" t="n">
        <f aca="false">T366*(1+J366)</f>
        <v>182649.445156356</v>
      </c>
      <c r="AE366" s="6" t="n">
        <f aca="false">U366*(1+K366)</f>
        <v>142755.440479293</v>
      </c>
      <c r="AF366" s="6" t="n">
        <f aca="false">V366*(1+L366)</f>
        <v>96951.6821541666</v>
      </c>
      <c r="AG366" s="6" t="n">
        <f aca="false">MIN(M366:V366)</f>
        <v>92755.4404792934</v>
      </c>
      <c r="AH366" s="19" t="n">
        <f aca="false">IF(AG366&gt;=0,1,0)</f>
        <v>1</v>
      </c>
    </row>
    <row r="367" customFormat="false" ht="15" hidden="false" customHeight="false" outlineLevel="0" collapsed="false">
      <c r="A367" s="0" t="n">
        <f aca="false">ROW()-1</f>
        <v>366</v>
      </c>
      <c r="B367" s="6" t="n">
        <f aca="false">Assumptions!$B$35</f>
        <v>441263.996662504</v>
      </c>
      <c r="C367" s="8" t="n">
        <f aca="true">NORMINV(RAND(),Assumptions!$B$14,Assumptions!$B$15)</f>
        <v>0.117413086608191</v>
      </c>
      <c r="D367" s="8" t="n">
        <f aca="true">NORMINV(RAND(),Assumptions!$B$14,Assumptions!$B$15)</f>
        <v>0.0787451088002292</v>
      </c>
      <c r="E367" s="8" t="n">
        <f aca="true">NORMINV(RAND(),Assumptions!$B$14,Assumptions!$B$15)</f>
        <v>0.0316547538618492</v>
      </c>
      <c r="F367" s="8" t="n">
        <f aca="true">NORMINV(RAND(),Assumptions!$B$14,Assumptions!$B$15)</f>
        <v>0.0425992900420385</v>
      </c>
      <c r="G367" s="8" t="n">
        <f aca="true">NORMINV(RAND(),Assumptions!$B$14,Assumptions!$B$15)</f>
        <v>0.0438113654035326</v>
      </c>
      <c r="H367" s="8" t="n">
        <f aca="true">NORMINV(RAND(),Assumptions!$B$14,Assumptions!$B$15)</f>
        <v>-0.0221384581837744</v>
      </c>
      <c r="I367" s="8" t="n">
        <f aca="true">NORMINV(RAND(),Assumptions!$B$14,Assumptions!$B$15)</f>
        <v>0.0693831934458741</v>
      </c>
      <c r="J367" s="8" t="n">
        <f aca="true">NORMINV(RAND(),Assumptions!$B$14,Assumptions!$B$15)</f>
        <v>0.0715393391538642</v>
      </c>
      <c r="K367" s="8" t="n">
        <f aca="true">NORMINV(RAND(),Assumptions!$B$14,Assumptions!$B$15)</f>
        <v>0.0407880188038286</v>
      </c>
      <c r="L367" s="8" t="n">
        <f aca="true">NORMINV(RAND(),Assumptions!$B$14,Assumptions!$B$15)</f>
        <v>0.0499388952733697</v>
      </c>
      <c r="M367" s="6" t="n">
        <f aca="false">B367-Assumptions!$B$29</f>
        <v>391263.996662504</v>
      </c>
      <c r="N367" s="6" t="n">
        <f aca="false">W367-Assumptions!$B$29</f>
        <v>387203.510189305</v>
      </c>
      <c r="O367" s="6" t="n">
        <f aca="false">X367-Assumptions!$B$29</f>
        <v>367693.892726993</v>
      </c>
      <c r="P367" s="6" t="n">
        <f aca="false">Y367-Assumptions!$B$29</f>
        <v>329333.152397771</v>
      </c>
      <c r="Q367" s="6" t="n">
        <f aca="false">Z367-Assumptions!$B$29</f>
        <v>293362.510877222</v>
      </c>
      <c r="R367" s="6" t="n">
        <f aca="false">AA367-Assumptions!$B$29</f>
        <v>256215.123036962</v>
      </c>
      <c r="S367" s="6" t="n">
        <f aca="false">AB367-Assumptions!$B$29</f>
        <v>200542.915249558</v>
      </c>
      <c r="T367" s="6" t="n">
        <f aca="false">AC367-Assumptions!$B$29</f>
        <v>164457.223132517</v>
      </c>
      <c r="U367" s="6" t="n">
        <f aca="false">AD367-Assumptions!$B$29</f>
        <v>126222.384194497</v>
      </c>
      <c r="V367" s="6" t="n">
        <f aca="false">AE367-Assumptions!$B$29</f>
        <v>81370.7451744864</v>
      </c>
      <c r="W367" s="6" t="n">
        <f aca="false">M367*(1+C367)</f>
        <v>437203.510189305</v>
      </c>
      <c r="X367" s="6" t="n">
        <f aca="false">N367*(1+D367)</f>
        <v>417693.892726993</v>
      </c>
      <c r="Y367" s="6" t="n">
        <f aca="false">O367*(1+E367)</f>
        <v>379333.152397771</v>
      </c>
      <c r="Z367" s="6" t="n">
        <f aca="false">P367*(1+F367)</f>
        <v>343362.510877222</v>
      </c>
      <c r="AA367" s="6" t="n">
        <f aca="false">Q367*(1+G367)</f>
        <v>306215.123036962</v>
      </c>
      <c r="AB367" s="6" t="n">
        <f aca="false">R367*(1+H367)</f>
        <v>250542.915249558</v>
      </c>
      <c r="AC367" s="6" t="n">
        <f aca="false">S367*(1+I367)</f>
        <v>214457.223132517</v>
      </c>
      <c r="AD367" s="6" t="n">
        <f aca="false">T367*(1+J367)</f>
        <v>176222.384194497</v>
      </c>
      <c r="AE367" s="6" t="n">
        <f aca="false">U367*(1+K367)</f>
        <v>131370.745174486</v>
      </c>
      <c r="AF367" s="6" t="n">
        <f aca="false">V367*(1+L367)</f>
        <v>85434.3102960712</v>
      </c>
      <c r="AG367" s="6" t="n">
        <f aca="false">MIN(M367:V367)</f>
        <v>81370.7451744864</v>
      </c>
      <c r="AH367" s="19" t="n">
        <f aca="false">IF(AG367&gt;=0,1,0)</f>
        <v>1</v>
      </c>
    </row>
    <row r="368" customFormat="false" ht="15" hidden="false" customHeight="false" outlineLevel="0" collapsed="false">
      <c r="A368" s="0" t="n">
        <f aca="false">ROW()-1</f>
        <v>367</v>
      </c>
      <c r="B368" s="6" t="n">
        <f aca="false">Assumptions!$B$35</f>
        <v>441263.996662504</v>
      </c>
      <c r="C368" s="8" t="n">
        <f aca="true">NORMINV(RAND(),Assumptions!$B$14,Assumptions!$B$15)</f>
        <v>0.11973377777866</v>
      </c>
      <c r="D368" s="8" t="n">
        <f aca="true">NORMINV(RAND(),Assumptions!$B$14,Assumptions!$B$15)</f>
        <v>0.0157518424757908</v>
      </c>
      <c r="E368" s="8" t="n">
        <f aca="true">NORMINV(RAND(),Assumptions!$B$14,Assumptions!$B$15)</f>
        <v>0.0421213160324672</v>
      </c>
      <c r="F368" s="8" t="n">
        <f aca="true">NORMINV(RAND(),Assumptions!$B$14,Assumptions!$B$15)</f>
        <v>0.0318179891121565</v>
      </c>
      <c r="G368" s="8" t="n">
        <f aca="true">NORMINV(RAND(),Assumptions!$B$14,Assumptions!$B$15)</f>
        <v>0.0784581581500871</v>
      </c>
      <c r="H368" s="8" t="n">
        <f aca="true">NORMINV(RAND(),Assumptions!$B$14,Assumptions!$B$15)</f>
        <v>0.0380025222185151</v>
      </c>
      <c r="I368" s="8" t="n">
        <f aca="true">NORMINV(RAND(),Assumptions!$B$14,Assumptions!$B$15)</f>
        <v>-0.00639867608568386</v>
      </c>
      <c r="J368" s="8" t="n">
        <f aca="true">NORMINV(RAND(),Assumptions!$B$14,Assumptions!$B$15)</f>
        <v>0.0296842865933932</v>
      </c>
      <c r="K368" s="8" t="n">
        <f aca="true">NORMINV(RAND(),Assumptions!$B$14,Assumptions!$B$15)</f>
        <v>0.0573762915173821</v>
      </c>
      <c r="L368" s="8" t="n">
        <f aca="true">NORMINV(RAND(),Assumptions!$B$14,Assumptions!$B$15)</f>
        <v>0.0547974823003875</v>
      </c>
      <c r="M368" s="6" t="n">
        <f aca="false">B368-Assumptions!$B$29</f>
        <v>391263.996662504</v>
      </c>
      <c r="N368" s="6" t="n">
        <f aca="false">W368-Assumptions!$B$29</f>
        <v>388111.513091682</v>
      </c>
      <c r="O368" s="6" t="n">
        <f aca="false">X368-Assumptions!$B$29</f>
        <v>344224.984508943</v>
      </c>
      <c r="P368" s="6" t="n">
        <f aca="false">Y368-Assumptions!$B$29</f>
        <v>308724.193867715</v>
      </c>
      <c r="Q368" s="6" t="n">
        <f aca="false">Z368-Assumptions!$B$29</f>
        <v>268547.176906858</v>
      </c>
      <c r="R368" s="6" t="n">
        <f aca="false">AA368-Assumptions!$B$29</f>
        <v>239616.893783375</v>
      </c>
      <c r="S368" s="6" t="n">
        <f aca="false">AB368-Assumptions!$B$29</f>
        <v>198722.94011331</v>
      </c>
      <c r="T368" s="6" t="n">
        <f aca="false">AC368-Assumptions!$B$29</f>
        <v>147451.37638873</v>
      </c>
      <c r="U368" s="6" t="n">
        <f aca="false">AD368-Assumptions!$B$29</f>
        <v>101828.365304043</v>
      </c>
      <c r="V368" s="6" t="n">
        <f aca="false">AE368-Assumptions!$B$29</f>
        <v>57670.8992764665</v>
      </c>
      <c r="W368" s="6" t="n">
        <f aca="false">M368*(1+C368)</f>
        <v>438111.513091682</v>
      </c>
      <c r="X368" s="6" t="n">
        <f aca="false">N368*(1+D368)</f>
        <v>394224.984508943</v>
      </c>
      <c r="Y368" s="6" t="n">
        <f aca="false">O368*(1+E368)</f>
        <v>358724.193867715</v>
      </c>
      <c r="Z368" s="6" t="n">
        <f aca="false">P368*(1+F368)</f>
        <v>318547.176906858</v>
      </c>
      <c r="AA368" s="6" t="n">
        <f aca="false">Q368*(1+G368)</f>
        <v>289616.893783375</v>
      </c>
      <c r="AB368" s="6" t="n">
        <f aca="false">R368*(1+H368)</f>
        <v>248722.94011331</v>
      </c>
      <c r="AC368" s="6" t="n">
        <f aca="false">S368*(1+I368)</f>
        <v>197451.37638873</v>
      </c>
      <c r="AD368" s="6" t="n">
        <f aca="false">T368*(1+J368)</f>
        <v>151828.365304043</v>
      </c>
      <c r="AE368" s="6" t="n">
        <f aca="false">U368*(1+K368)</f>
        <v>107670.899276467</v>
      </c>
      <c r="AF368" s="6" t="n">
        <f aca="false">V368*(1+L368)</f>
        <v>60831.1193588161</v>
      </c>
      <c r="AG368" s="6" t="n">
        <f aca="false">MIN(M368:V368)</f>
        <v>57670.8992764665</v>
      </c>
      <c r="AH368" s="19" t="n">
        <f aca="false">IF(AG368&gt;=0,1,0)</f>
        <v>1</v>
      </c>
    </row>
    <row r="369" customFormat="false" ht="15" hidden="false" customHeight="false" outlineLevel="0" collapsed="false">
      <c r="A369" s="0" t="n">
        <f aca="false">ROW()-1</f>
        <v>368</v>
      </c>
      <c r="B369" s="6" t="n">
        <f aca="false">Assumptions!$B$35</f>
        <v>441263.996662504</v>
      </c>
      <c r="C369" s="8" t="n">
        <f aca="true">NORMINV(RAND(),Assumptions!$B$14,Assumptions!$B$15)</f>
        <v>0.0785929551004742</v>
      </c>
      <c r="D369" s="8" t="n">
        <f aca="true">NORMINV(RAND(),Assumptions!$B$14,Assumptions!$B$15)</f>
        <v>0.0470059838883082</v>
      </c>
      <c r="E369" s="8" t="n">
        <f aca="true">NORMINV(RAND(),Assumptions!$B$14,Assumptions!$B$15)</f>
        <v>0.032104419178333</v>
      </c>
      <c r="F369" s="8" t="n">
        <f aca="true">NORMINV(RAND(),Assumptions!$B$14,Assumptions!$B$15)</f>
        <v>0.0884939299077011</v>
      </c>
      <c r="G369" s="8" t="n">
        <f aca="true">NORMINV(RAND(),Assumptions!$B$14,Assumptions!$B$15)</f>
        <v>0.024157231078944</v>
      </c>
      <c r="H369" s="8" t="n">
        <f aca="true">NORMINV(RAND(),Assumptions!$B$14,Assumptions!$B$15)</f>
        <v>0.0826408807011122</v>
      </c>
      <c r="I369" s="8" t="n">
        <f aca="true">NORMINV(RAND(),Assumptions!$B$14,Assumptions!$B$15)</f>
        <v>0.0611418279892624</v>
      </c>
      <c r="J369" s="8" t="n">
        <f aca="true">NORMINV(RAND(),Assumptions!$B$14,Assumptions!$B$15)</f>
        <v>0.0226094906295883</v>
      </c>
      <c r="K369" s="8" t="n">
        <f aca="true">NORMINV(RAND(),Assumptions!$B$14,Assumptions!$B$15)</f>
        <v>0.0185042190908776</v>
      </c>
      <c r="L369" s="8" t="n">
        <f aca="true">NORMINV(RAND(),Assumptions!$B$14,Assumptions!$B$15)</f>
        <v>0.0214092051217896</v>
      </c>
      <c r="M369" s="6" t="n">
        <f aca="false">B369-Assumptions!$B$29</f>
        <v>391263.996662504</v>
      </c>
      <c r="N369" s="6" t="n">
        <f aca="false">W369-Assumptions!$B$29</f>
        <v>372014.590384632</v>
      </c>
      <c r="O369" s="6" t="n">
        <f aca="false">X369-Assumptions!$B$29</f>
        <v>339501.502226467</v>
      </c>
      <c r="P369" s="6" t="n">
        <f aca="false">Y369-Assumptions!$B$29</f>
        <v>300401.00076562</v>
      </c>
      <c r="Q369" s="6" t="n">
        <f aca="false">Z369-Assumptions!$B$29</f>
        <v>276984.665871576</v>
      </c>
      <c r="R369" s="6" t="n">
        <f aca="false">AA369-Assumptions!$B$29</f>
        <v>233675.848450359</v>
      </c>
      <c r="S369" s="6" t="n">
        <f aca="false">AB369-Assumptions!$B$29</f>
        <v>202987.026364877</v>
      </c>
      <c r="T369" s="6" t="n">
        <f aca="false">AC369-Assumptions!$B$29</f>
        <v>165398.02421493</v>
      </c>
      <c r="U369" s="6" t="n">
        <f aca="false">AD369-Assumptions!$B$29</f>
        <v>119137.58929357</v>
      </c>
      <c r="V369" s="6" t="n">
        <f aca="false">AE369-Assumptions!$B$29</f>
        <v>71342.1373478168</v>
      </c>
      <c r="W369" s="6" t="n">
        <f aca="false">M369*(1+C369)</f>
        <v>422014.590384632</v>
      </c>
      <c r="X369" s="6" t="n">
        <f aca="false">N369*(1+D369)</f>
        <v>389501.502226467</v>
      </c>
      <c r="Y369" s="6" t="n">
        <f aca="false">O369*(1+E369)</f>
        <v>350401.00076562</v>
      </c>
      <c r="Z369" s="6" t="n">
        <f aca="false">P369*(1+F369)</f>
        <v>326984.665871576</v>
      </c>
      <c r="AA369" s="6" t="n">
        <f aca="false">Q369*(1+G369)</f>
        <v>283675.848450359</v>
      </c>
      <c r="AB369" s="6" t="n">
        <f aca="false">R369*(1+H369)</f>
        <v>252987.026364877</v>
      </c>
      <c r="AC369" s="6" t="n">
        <f aca="false">S369*(1+I369)</f>
        <v>215398.02421493</v>
      </c>
      <c r="AD369" s="6" t="n">
        <f aca="false">T369*(1+J369)</f>
        <v>169137.58929357</v>
      </c>
      <c r="AE369" s="6" t="n">
        <f aca="false">U369*(1+K369)</f>
        <v>121342.137347817</v>
      </c>
      <c r="AF369" s="6" t="n">
        <f aca="false">V369*(1+L369)</f>
        <v>72869.5158001231</v>
      </c>
      <c r="AG369" s="6" t="n">
        <f aca="false">MIN(M369:V369)</f>
        <v>71342.1373478168</v>
      </c>
      <c r="AH369" s="19" t="n">
        <f aca="false">IF(AG369&gt;=0,1,0)</f>
        <v>1</v>
      </c>
    </row>
    <row r="370" customFormat="false" ht="15" hidden="false" customHeight="false" outlineLevel="0" collapsed="false">
      <c r="A370" s="0" t="n">
        <f aca="false">ROW()-1</f>
        <v>369</v>
      </c>
      <c r="B370" s="6" t="n">
        <f aca="false">Assumptions!$B$35</f>
        <v>441263.996662504</v>
      </c>
      <c r="C370" s="8" t="n">
        <f aca="true">NORMINV(RAND(),Assumptions!$B$14,Assumptions!$B$15)</f>
        <v>0.0270943656610947</v>
      </c>
      <c r="D370" s="8" t="n">
        <f aca="true">NORMINV(RAND(),Assumptions!$B$14,Assumptions!$B$15)</f>
        <v>0.0450738658145556</v>
      </c>
      <c r="E370" s="8" t="n">
        <f aca="true">NORMINV(RAND(),Assumptions!$B$14,Assumptions!$B$15)</f>
        <v>0.0256805289390562</v>
      </c>
      <c r="F370" s="8" t="n">
        <f aca="true">NORMINV(RAND(),Assumptions!$B$14,Assumptions!$B$15)</f>
        <v>0.0399925915506708</v>
      </c>
      <c r="G370" s="8" t="n">
        <f aca="true">NORMINV(RAND(),Assumptions!$B$14,Assumptions!$B$15)</f>
        <v>0.0915530403908884</v>
      </c>
      <c r="H370" s="8" t="n">
        <f aca="true">NORMINV(RAND(),Assumptions!$B$14,Assumptions!$B$15)</f>
        <v>0.0285957820313021</v>
      </c>
      <c r="I370" s="8" t="n">
        <f aca="true">NORMINV(RAND(),Assumptions!$B$14,Assumptions!$B$15)</f>
        <v>-0.0118746250379892</v>
      </c>
      <c r="J370" s="8" t="n">
        <f aca="true">NORMINV(RAND(),Assumptions!$B$14,Assumptions!$B$15)</f>
        <v>0.036262722523716</v>
      </c>
      <c r="K370" s="8" t="n">
        <f aca="true">NORMINV(RAND(),Assumptions!$B$14,Assumptions!$B$15)</f>
        <v>0.0247269575227339</v>
      </c>
      <c r="L370" s="8" t="n">
        <f aca="true">NORMINV(RAND(),Assumptions!$B$14,Assumptions!$B$15)</f>
        <v>0.022652319531289</v>
      </c>
      <c r="M370" s="6" t="n">
        <f aca="false">B370-Assumptions!$B$29</f>
        <v>391263.996662504</v>
      </c>
      <c r="N370" s="6" t="n">
        <f aca="false">W370-Assumptions!$B$29</f>
        <v>351865.046458099</v>
      </c>
      <c r="O370" s="6" t="n">
        <f aca="false">X370-Assumptions!$B$29</f>
        <v>317724.964346983</v>
      </c>
      <c r="P370" s="6" t="n">
        <f aca="false">Y370-Assumptions!$B$29</f>
        <v>275884.309488557</v>
      </c>
      <c r="Q370" s="6" t="n">
        <f aca="false">Z370-Assumptions!$B$29</f>
        <v>236917.637993172</v>
      </c>
      <c r="R370" s="6" t="n">
        <f aca="false">AA370-Assumptions!$B$29</f>
        <v>208608.168073674</v>
      </c>
      <c r="S370" s="6" t="n">
        <f aca="false">AB370-Assumptions!$B$29</f>
        <v>164573.481777858</v>
      </c>
      <c r="T370" s="6" t="n">
        <f aca="false">AC370-Assumptions!$B$29</f>
        <v>112619.23339055</v>
      </c>
      <c r="U370" s="6" t="n">
        <f aca="false">AD370-Assumptions!$B$29</f>
        <v>66703.113401825</v>
      </c>
      <c r="V370" s="6" t="n">
        <f aca="false">AE370-Assumptions!$B$29</f>
        <v>18352.478453546</v>
      </c>
      <c r="W370" s="6" t="n">
        <f aca="false">M370*(1+C370)</f>
        <v>401865.046458099</v>
      </c>
      <c r="X370" s="6" t="n">
        <f aca="false">N370*(1+D370)</f>
        <v>367724.964346983</v>
      </c>
      <c r="Y370" s="6" t="n">
        <f aca="false">O370*(1+E370)</f>
        <v>325884.309488557</v>
      </c>
      <c r="Z370" s="6" t="n">
        <f aca="false">P370*(1+F370)</f>
        <v>286917.637993172</v>
      </c>
      <c r="AA370" s="6" t="n">
        <f aca="false">Q370*(1+G370)</f>
        <v>258608.168073674</v>
      </c>
      <c r="AB370" s="6" t="n">
        <f aca="false">R370*(1+H370)</f>
        <v>214573.481777858</v>
      </c>
      <c r="AC370" s="6" t="n">
        <f aca="false">S370*(1+I370)</f>
        <v>162619.23339055</v>
      </c>
      <c r="AD370" s="6" t="n">
        <f aca="false">T370*(1+J370)</f>
        <v>116703.113401825</v>
      </c>
      <c r="AE370" s="6" t="n">
        <f aca="false">U370*(1+K370)</f>
        <v>68352.478453546</v>
      </c>
      <c r="AF370" s="6" t="n">
        <f aca="false">V370*(1+L370)</f>
        <v>18768.2046596668</v>
      </c>
      <c r="AG370" s="6" t="n">
        <f aca="false">MIN(M370:V370)</f>
        <v>18352.478453546</v>
      </c>
      <c r="AH370" s="19" t="n">
        <f aca="false">IF(AG370&gt;=0,1,0)</f>
        <v>1</v>
      </c>
    </row>
    <row r="371" customFormat="false" ht="15" hidden="false" customHeight="false" outlineLevel="0" collapsed="false">
      <c r="A371" s="0" t="n">
        <f aca="false">ROW()-1</f>
        <v>370</v>
      </c>
      <c r="B371" s="6" t="n">
        <f aca="false">Assumptions!$B$35</f>
        <v>441263.996662504</v>
      </c>
      <c r="C371" s="8" t="n">
        <f aca="true">NORMINV(RAND(),Assumptions!$B$14,Assumptions!$B$15)</f>
        <v>0.0179682441561922</v>
      </c>
      <c r="D371" s="8" t="n">
        <f aca="true">NORMINV(RAND(),Assumptions!$B$14,Assumptions!$B$15)</f>
        <v>0.0131920822938501</v>
      </c>
      <c r="E371" s="8" t="n">
        <f aca="true">NORMINV(RAND(),Assumptions!$B$14,Assumptions!$B$15)</f>
        <v>0.0376589999338951</v>
      </c>
      <c r="F371" s="8" t="n">
        <f aca="true">NORMINV(RAND(),Assumptions!$B$14,Assumptions!$B$15)</f>
        <v>0.0786420750101268</v>
      </c>
      <c r="G371" s="8" t="n">
        <f aca="true">NORMINV(RAND(),Assumptions!$B$14,Assumptions!$B$15)</f>
        <v>0.0161153335462396</v>
      </c>
      <c r="H371" s="8" t="n">
        <f aca="true">NORMINV(RAND(),Assumptions!$B$14,Assumptions!$B$15)</f>
        <v>0.0515666829718751</v>
      </c>
      <c r="I371" s="8" t="n">
        <f aca="true">NORMINV(RAND(),Assumptions!$B$14,Assumptions!$B$15)</f>
        <v>0.0167145393090594</v>
      </c>
      <c r="J371" s="8" t="n">
        <f aca="true">NORMINV(RAND(),Assumptions!$B$14,Assumptions!$B$15)</f>
        <v>0.0816564338739923</v>
      </c>
      <c r="K371" s="8" t="n">
        <f aca="true">NORMINV(RAND(),Assumptions!$B$14,Assumptions!$B$15)</f>
        <v>-0.0197642394883626</v>
      </c>
      <c r="L371" s="8" t="n">
        <f aca="true">NORMINV(RAND(),Assumptions!$B$14,Assumptions!$B$15)</f>
        <v>0.0604470383490778</v>
      </c>
      <c r="M371" s="6" t="n">
        <f aca="false">B371-Assumptions!$B$29</f>
        <v>391263.996662504</v>
      </c>
      <c r="N371" s="6" t="n">
        <f aca="false">W371-Assumptions!$B$29</f>
        <v>348294.323684063</v>
      </c>
      <c r="O371" s="6" t="n">
        <f aca="false">X371-Assumptions!$B$29</f>
        <v>302889.051064584</v>
      </c>
      <c r="P371" s="6" t="n">
        <f aca="false">Y371-Assumptions!$B$29</f>
        <v>264295.549818603</v>
      </c>
      <c r="Q371" s="6" t="n">
        <f aca="false">Z371-Assumptions!$B$29</f>
        <v>235080.30027228</v>
      </c>
      <c r="R371" s="6" t="n">
        <f aca="false">AA371-Assumptions!$B$29</f>
        <v>188868.697721318</v>
      </c>
      <c r="S371" s="6" t="n">
        <f aca="false">AB371-Assumptions!$B$29</f>
        <v>148608.029980024</v>
      </c>
      <c r="T371" s="6" t="n">
        <f aca="false">AC371-Assumptions!$B$29</f>
        <v>101091.944738767</v>
      </c>
      <c r="U371" s="6" t="n">
        <f aca="false">AD371-Assumptions!$B$29</f>
        <v>59346.7524395214</v>
      </c>
      <c r="V371" s="6" t="n">
        <f aca="false">AE371-Assumptions!$B$29</f>
        <v>8173.8090114501</v>
      </c>
      <c r="W371" s="6" t="n">
        <f aca="false">M371*(1+C371)</f>
        <v>398294.323684063</v>
      </c>
      <c r="X371" s="6" t="n">
        <f aca="false">N371*(1+D371)</f>
        <v>352889.051064584</v>
      </c>
      <c r="Y371" s="6" t="n">
        <f aca="false">O371*(1+E371)</f>
        <v>314295.549818603</v>
      </c>
      <c r="Z371" s="6" t="n">
        <f aca="false">P371*(1+F371)</f>
        <v>285080.30027228</v>
      </c>
      <c r="AA371" s="6" t="n">
        <f aca="false">Q371*(1+G371)</f>
        <v>238868.697721318</v>
      </c>
      <c r="AB371" s="6" t="n">
        <f aca="false">R371*(1+H371)</f>
        <v>198608.029980024</v>
      </c>
      <c r="AC371" s="6" t="n">
        <f aca="false">S371*(1+I371)</f>
        <v>151091.944738767</v>
      </c>
      <c r="AD371" s="6" t="n">
        <f aca="false">T371*(1+J371)</f>
        <v>109346.752439521</v>
      </c>
      <c r="AE371" s="6" t="n">
        <f aca="false">U371*(1+K371)</f>
        <v>58173.8090114501</v>
      </c>
      <c r="AF371" s="6" t="n">
        <f aca="false">V371*(1+L371)</f>
        <v>8667.89155822327</v>
      </c>
      <c r="AG371" s="6" t="n">
        <f aca="false">MIN(M371:V371)</f>
        <v>8173.8090114501</v>
      </c>
      <c r="AH371" s="19" t="n">
        <f aca="false">IF(AG371&gt;=0,1,0)</f>
        <v>1</v>
      </c>
    </row>
    <row r="372" customFormat="false" ht="15" hidden="false" customHeight="false" outlineLevel="0" collapsed="false">
      <c r="A372" s="0" t="n">
        <f aca="false">ROW()-1</f>
        <v>371</v>
      </c>
      <c r="B372" s="6" t="n">
        <f aca="false">Assumptions!$B$35</f>
        <v>441263.996662504</v>
      </c>
      <c r="C372" s="8" t="n">
        <f aca="true">NORMINV(RAND(),Assumptions!$B$14,Assumptions!$B$15)</f>
        <v>0.0606731438875094</v>
      </c>
      <c r="D372" s="8" t="n">
        <f aca="true">NORMINV(RAND(),Assumptions!$B$14,Assumptions!$B$15)</f>
        <v>0.0749465689261394</v>
      </c>
      <c r="E372" s="8" t="n">
        <f aca="true">NORMINV(RAND(),Assumptions!$B$14,Assumptions!$B$15)</f>
        <v>0.0683962174859072</v>
      </c>
      <c r="F372" s="8" t="n">
        <f aca="true">NORMINV(RAND(),Assumptions!$B$14,Assumptions!$B$15)</f>
        <v>0.0169411359328728</v>
      </c>
      <c r="G372" s="8" t="n">
        <f aca="true">NORMINV(RAND(),Assumptions!$B$14,Assumptions!$B$15)</f>
        <v>0.0421371446151207</v>
      </c>
      <c r="H372" s="8" t="n">
        <f aca="true">NORMINV(RAND(),Assumptions!$B$14,Assumptions!$B$15)</f>
        <v>0.0635978712590936</v>
      </c>
      <c r="I372" s="8" t="n">
        <f aca="true">NORMINV(RAND(),Assumptions!$B$14,Assumptions!$B$15)</f>
        <v>0.0535223331068293</v>
      </c>
      <c r="J372" s="8" t="n">
        <f aca="true">NORMINV(RAND(),Assumptions!$B$14,Assumptions!$B$15)</f>
        <v>0.110408142227729</v>
      </c>
      <c r="K372" s="8" t="n">
        <f aca="true">NORMINV(RAND(),Assumptions!$B$14,Assumptions!$B$15)</f>
        <v>0.00294138701668693</v>
      </c>
      <c r="L372" s="8" t="n">
        <f aca="true">NORMINV(RAND(),Assumptions!$B$14,Assumptions!$B$15)</f>
        <v>0.00306151590889277</v>
      </c>
      <c r="M372" s="6" t="n">
        <f aca="false">B372-Assumptions!$B$29</f>
        <v>391263.996662504</v>
      </c>
      <c r="N372" s="6" t="n">
        <f aca="false">W372-Assumptions!$B$29</f>
        <v>365003.21343001</v>
      </c>
      <c r="O372" s="6" t="n">
        <f aca="false">X372-Assumptions!$B$29</f>
        <v>342358.951923604</v>
      </c>
      <c r="P372" s="6" t="n">
        <f aca="false">Y372-Assumptions!$B$29</f>
        <v>315775.009257618</v>
      </c>
      <c r="Q372" s="6" t="n">
        <f aca="false">Z372-Assumptions!$B$29</f>
        <v>271124.596613656</v>
      </c>
      <c r="R372" s="6" t="n">
        <f aca="false">AA372-Assumptions!$B$29</f>
        <v>232549.012949882</v>
      </c>
      <c r="S372" s="6" t="n">
        <f aca="false">AB372-Assumptions!$B$29</f>
        <v>197338.635136898</v>
      </c>
      <c r="T372" s="6" t="n">
        <f aca="false">AC372-Assumptions!$B$29</f>
        <v>157900.659301542</v>
      </c>
      <c r="U372" s="6" t="n">
        <f aca="false">AD372-Assumptions!$B$29</f>
        <v>125334.177751558</v>
      </c>
      <c r="V372" s="6" t="n">
        <f aca="false">AE372-Assumptions!$B$29</f>
        <v>75702.834074744</v>
      </c>
      <c r="W372" s="6" t="n">
        <f aca="false">M372*(1+C372)</f>
        <v>415003.21343001</v>
      </c>
      <c r="X372" s="6" t="n">
        <f aca="false">N372*(1+D372)</f>
        <v>392358.951923604</v>
      </c>
      <c r="Y372" s="6" t="n">
        <f aca="false">O372*(1+E372)</f>
        <v>365775.009257618</v>
      </c>
      <c r="Z372" s="6" t="n">
        <f aca="false">P372*(1+F372)</f>
        <v>321124.596613656</v>
      </c>
      <c r="AA372" s="6" t="n">
        <f aca="false">Q372*(1+G372)</f>
        <v>282549.012949882</v>
      </c>
      <c r="AB372" s="6" t="n">
        <f aca="false">R372*(1+H372)</f>
        <v>247338.635136898</v>
      </c>
      <c r="AC372" s="6" t="n">
        <f aca="false">S372*(1+I372)</f>
        <v>207900.659301542</v>
      </c>
      <c r="AD372" s="6" t="n">
        <f aca="false">T372*(1+J372)</f>
        <v>175334.177751558</v>
      </c>
      <c r="AE372" s="6" t="n">
        <f aca="false">U372*(1+K372)</f>
        <v>125702.834074744</v>
      </c>
      <c r="AF372" s="6" t="n">
        <f aca="false">V372*(1+L372)</f>
        <v>75934.5995056121</v>
      </c>
      <c r="AG372" s="6" t="n">
        <f aca="false">MIN(M372:V372)</f>
        <v>75702.834074744</v>
      </c>
      <c r="AH372" s="19" t="n">
        <f aca="false">IF(AG372&gt;=0,1,0)</f>
        <v>1</v>
      </c>
    </row>
    <row r="373" customFormat="false" ht="15" hidden="false" customHeight="false" outlineLevel="0" collapsed="false">
      <c r="A373" s="0" t="n">
        <f aca="false">ROW()-1</f>
        <v>372</v>
      </c>
      <c r="B373" s="6" t="n">
        <f aca="false">Assumptions!$B$35</f>
        <v>441263.996662504</v>
      </c>
      <c r="C373" s="8" t="n">
        <f aca="true">NORMINV(RAND(),Assumptions!$B$14,Assumptions!$B$15)</f>
        <v>0.0692175943650935</v>
      </c>
      <c r="D373" s="8" t="n">
        <f aca="true">NORMINV(RAND(),Assumptions!$B$14,Assumptions!$B$15)</f>
        <v>0.0309529797360077</v>
      </c>
      <c r="E373" s="8" t="n">
        <f aca="true">NORMINV(RAND(),Assumptions!$B$14,Assumptions!$B$15)</f>
        <v>0.0677170874552283</v>
      </c>
      <c r="F373" s="8" t="n">
        <f aca="true">NORMINV(RAND(),Assumptions!$B$14,Assumptions!$B$15)</f>
        <v>0.058800086569329</v>
      </c>
      <c r="G373" s="8" t="n">
        <f aca="true">NORMINV(RAND(),Assumptions!$B$14,Assumptions!$B$15)</f>
        <v>0.0394535198602688</v>
      </c>
      <c r="H373" s="8" t="n">
        <f aca="true">NORMINV(RAND(),Assumptions!$B$14,Assumptions!$B$15)</f>
        <v>0.042267534650216</v>
      </c>
      <c r="I373" s="8" t="n">
        <f aca="true">NORMINV(RAND(),Assumptions!$B$14,Assumptions!$B$15)</f>
        <v>0.0532524266155295</v>
      </c>
      <c r="J373" s="8" t="n">
        <f aca="true">NORMINV(RAND(),Assumptions!$B$14,Assumptions!$B$15)</f>
        <v>0.0290535051629558</v>
      </c>
      <c r="K373" s="8" t="n">
        <f aca="true">NORMINV(RAND(),Assumptions!$B$14,Assumptions!$B$15)</f>
        <v>0.04484621728503</v>
      </c>
      <c r="L373" s="8" t="n">
        <f aca="true">NORMINV(RAND(),Assumptions!$B$14,Assumptions!$B$15)</f>
        <v>0.0370594888265765</v>
      </c>
      <c r="M373" s="6" t="n">
        <f aca="false">B373-Assumptions!$B$29</f>
        <v>391263.996662504</v>
      </c>
      <c r="N373" s="6" t="n">
        <f aca="false">W373-Assumptions!$B$29</f>
        <v>368346.349273154</v>
      </c>
      <c r="O373" s="6" t="n">
        <f aca="false">X373-Assumptions!$B$29</f>
        <v>329747.766358038</v>
      </c>
      <c r="P373" s="6" t="n">
        <f aca="false">Y373-Assumptions!$B$29</f>
        <v>302077.324690672</v>
      </c>
      <c r="Q373" s="6" t="n">
        <f aca="false">Z373-Assumptions!$B$29</f>
        <v>269839.497533115</v>
      </c>
      <c r="R373" s="6" t="n">
        <f aca="false">AA373-Assumptions!$B$29</f>
        <v>230485.615508122</v>
      </c>
      <c r="S373" s="6" t="n">
        <f aca="false">AB373-Assumptions!$B$29</f>
        <v>190227.674247988</v>
      </c>
      <c r="T373" s="6" t="n">
        <f aca="false">AC373-Assumptions!$B$29</f>
        <v>150357.759511122</v>
      </c>
      <c r="U373" s="6" t="n">
        <f aca="false">AD373-Assumptions!$B$29</f>
        <v>104726.179453369</v>
      </c>
      <c r="V373" s="6" t="n">
        <f aca="false">AE373-Assumptions!$B$29</f>
        <v>59422.7524525658</v>
      </c>
      <c r="W373" s="6" t="n">
        <f aca="false">M373*(1+C373)</f>
        <v>418346.349273154</v>
      </c>
      <c r="X373" s="6" t="n">
        <f aca="false">N373*(1+D373)</f>
        <v>379747.766358038</v>
      </c>
      <c r="Y373" s="6" t="n">
        <f aca="false">O373*(1+E373)</f>
        <v>352077.324690672</v>
      </c>
      <c r="Z373" s="6" t="n">
        <f aca="false">P373*(1+F373)</f>
        <v>319839.497533115</v>
      </c>
      <c r="AA373" s="6" t="n">
        <f aca="false">Q373*(1+G373)</f>
        <v>280485.615508122</v>
      </c>
      <c r="AB373" s="6" t="n">
        <f aca="false">R373*(1+H373)</f>
        <v>240227.674247988</v>
      </c>
      <c r="AC373" s="6" t="n">
        <f aca="false">S373*(1+I373)</f>
        <v>200357.759511122</v>
      </c>
      <c r="AD373" s="6" t="n">
        <f aca="false">T373*(1+J373)</f>
        <v>154726.179453369</v>
      </c>
      <c r="AE373" s="6" t="n">
        <f aca="false">U373*(1+K373)</f>
        <v>109422.752452566</v>
      </c>
      <c r="AF373" s="6" t="n">
        <f aca="false">V373*(1+L373)</f>
        <v>61624.929283126</v>
      </c>
      <c r="AG373" s="6" t="n">
        <f aca="false">MIN(M373:V373)</f>
        <v>59422.7524525658</v>
      </c>
      <c r="AH373" s="19" t="n">
        <f aca="false">IF(AG373&gt;=0,1,0)</f>
        <v>1</v>
      </c>
    </row>
    <row r="374" customFormat="false" ht="15" hidden="false" customHeight="false" outlineLevel="0" collapsed="false">
      <c r="A374" s="0" t="n">
        <f aca="false">ROW()-1</f>
        <v>373</v>
      </c>
      <c r="B374" s="6" t="n">
        <f aca="false">Assumptions!$B$35</f>
        <v>441263.996662504</v>
      </c>
      <c r="C374" s="8" t="n">
        <f aca="true">NORMINV(RAND(),Assumptions!$B$14,Assumptions!$B$15)</f>
        <v>0.062105816022684</v>
      </c>
      <c r="D374" s="8" t="n">
        <f aca="true">NORMINV(RAND(),Assumptions!$B$14,Assumptions!$B$15)</f>
        <v>0.0167186121305435</v>
      </c>
      <c r="E374" s="8" t="n">
        <f aca="true">NORMINV(RAND(),Assumptions!$B$14,Assumptions!$B$15)</f>
        <v>0.03394444984923</v>
      </c>
      <c r="F374" s="8" t="n">
        <f aca="true">NORMINV(RAND(),Assumptions!$B$14,Assumptions!$B$15)</f>
        <v>0.129499667578829</v>
      </c>
      <c r="G374" s="8" t="n">
        <f aca="true">NORMINV(RAND(),Assumptions!$B$14,Assumptions!$B$15)</f>
        <v>0.071285042222315</v>
      </c>
      <c r="H374" s="8" t="n">
        <f aca="true">NORMINV(RAND(),Assumptions!$B$14,Assumptions!$B$15)</f>
        <v>0.0793902541299007</v>
      </c>
      <c r="I374" s="8" t="n">
        <f aca="true">NORMINV(RAND(),Assumptions!$B$14,Assumptions!$B$15)</f>
        <v>0.0435322352083531</v>
      </c>
      <c r="J374" s="8" t="n">
        <f aca="true">NORMINV(RAND(),Assumptions!$B$14,Assumptions!$B$15)</f>
        <v>0.0470247106769405</v>
      </c>
      <c r="K374" s="8" t="n">
        <f aca="true">NORMINV(RAND(),Assumptions!$B$14,Assumptions!$B$15)</f>
        <v>0.0593624485588013</v>
      </c>
      <c r="L374" s="8" t="n">
        <f aca="true">NORMINV(RAND(),Assumptions!$B$14,Assumptions!$B$15)</f>
        <v>0.0630455131806446</v>
      </c>
      <c r="M374" s="6" t="n">
        <f aca="false">B374-Assumptions!$B$29</f>
        <v>391263.996662504</v>
      </c>
      <c r="N374" s="6" t="n">
        <f aca="false">W374-Assumptions!$B$29</f>
        <v>365563.766455525</v>
      </c>
      <c r="O374" s="6" t="n">
        <f aca="false">X374-Assumptions!$B$29</f>
        <v>321675.485275876</v>
      </c>
      <c r="P374" s="6" t="n">
        <f aca="false">Y374-Assumptions!$B$29</f>
        <v>282594.582653549</v>
      </c>
      <c r="Q374" s="6" t="n">
        <f aca="false">Z374-Assumptions!$B$29</f>
        <v>269190.487166762</v>
      </c>
      <c r="R374" s="6" t="n">
        <f aca="false">AA374-Assumptions!$B$29</f>
        <v>238379.74241029</v>
      </c>
      <c r="S374" s="6" t="n">
        <f aca="false">AB374-Assumptions!$B$29</f>
        <v>207304.770739663</v>
      </c>
      <c r="T374" s="6" t="n">
        <f aca="false">AC374-Assumptions!$B$29</f>
        <v>166329.210779316</v>
      </c>
      <c r="U374" s="6" t="n">
        <f aca="false">AD374-Assumptions!$B$29</f>
        <v>124150.793793337</v>
      </c>
      <c r="V374" s="6" t="n">
        <f aca="false">AE374-Assumptions!$B$29</f>
        <v>81520.6889034285</v>
      </c>
      <c r="W374" s="6" t="n">
        <f aca="false">M374*(1+C374)</f>
        <v>415563.766455525</v>
      </c>
      <c r="X374" s="6" t="n">
        <f aca="false">N374*(1+D374)</f>
        <v>371675.485275876</v>
      </c>
      <c r="Y374" s="6" t="n">
        <f aca="false">O374*(1+E374)</f>
        <v>332594.582653549</v>
      </c>
      <c r="Z374" s="6" t="n">
        <f aca="false">P374*(1+F374)</f>
        <v>319190.487166762</v>
      </c>
      <c r="AA374" s="6" t="n">
        <f aca="false">Q374*(1+G374)</f>
        <v>288379.74241029</v>
      </c>
      <c r="AB374" s="6" t="n">
        <f aca="false">R374*(1+H374)</f>
        <v>257304.770739663</v>
      </c>
      <c r="AC374" s="6" t="n">
        <f aca="false">S374*(1+I374)</f>
        <v>216329.210779316</v>
      </c>
      <c r="AD374" s="6" t="n">
        <f aca="false">T374*(1+J374)</f>
        <v>174150.793793337</v>
      </c>
      <c r="AE374" s="6" t="n">
        <f aca="false">U374*(1+K374)</f>
        <v>131520.688903428</v>
      </c>
      <c r="AF374" s="6" t="n">
        <f aca="false">V374*(1+L374)</f>
        <v>86660.2025701848</v>
      </c>
      <c r="AG374" s="6" t="n">
        <f aca="false">MIN(M374:V374)</f>
        <v>81520.6889034285</v>
      </c>
      <c r="AH374" s="19" t="n">
        <f aca="false">IF(AG374&gt;=0,1,0)</f>
        <v>1</v>
      </c>
    </row>
    <row r="375" customFormat="false" ht="15" hidden="false" customHeight="false" outlineLevel="0" collapsed="false">
      <c r="A375" s="0" t="n">
        <f aca="false">ROW()-1</f>
        <v>374</v>
      </c>
      <c r="B375" s="6" t="n">
        <f aca="false">Assumptions!$B$35</f>
        <v>441263.996662504</v>
      </c>
      <c r="C375" s="8" t="n">
        <f aca="true">NORMINV(RAND(),Assumptions!$B$14,Assumptions!$B$15)</f>
        <v>0.0465823798118601</v>
      </c>
      <c r="D375" s="8" t="n">
        <f aca="true">NORMINV(RAND(),Assumptions!$B$14,Assumptions!$B$15)</f>
        <v>0.0453192739791199</v>
      </c>
      <c r="E375" s="8" t="n">
        <f aca="true">NORMINV(RAND(),Assumptions!$B$14,Assumptions!$B$15)</f>
        <v>0.0513816954742096</v>
      </c>
      <c r="F375" s="8" t="n">
        <f aca="true">NORMINV(RAND(),Assumptions!$B$14,Assumptions!$B$15)</f>
        <v>0.0641483495621923</v>
      </c>
      <c r="G375" s="8" t="n">
        <f aca="true">NORMINV(RAND(),Assumptions!$B$14,Assumptions!$B$15)</f>
        <v>0.0502667742747237</v>
      </c>
      <c r="H375" s="8" t="n">
        <f aca="true">NORMINV(RAND(),Assumptions!$B$14,Assumptions!$B$15)</f>
        <v>-0.0105697186767359</v>
      </c>
      <c r="I375" s="8" t="n">
        <f aca="true">NORMINV(RAND(),Assumptions!$B$14,Assumptions!$B$15)</f>
        <v>0.0478160129625611</v>
      </c>
      <c r="J375" s="8" t="n">
        <f aca="true">NORMINV(RAND(),Assumptions!$B$14,Assumptions!$B$15)</f>
        <v>0.0188599478465297</v>
      </c>
      <c r="K375" s="8" t="n">
        <f aca="true">NORMINV(RAND(),Assumptions!$B$14,Assumptions!$B$15)</f>
        <v>0.0354662907888103</v>
      </c>
      <c r="L375" s="8" t="n">
        <f aca="true">NORMINV(RAND(),Assumptions!$B$14,Assumptions!$B$15)</f>
        <v>0.0384474509926577</v>
      </c>
      <c r="M375" s="6" t="n">
        <f aca="false">B375-Assumptions!$B$29</f>
        <v>391263.996662504</v>
      </c>
      <c r="N375" s="6" t="n">
        <f aca="false">W375-Assumptions!$B$29</f>
        <v>359490.004761743</v>
      </c>
      <c r="O375" s="6" t="n">
        <f aca="false">X375-Assumptions!$B$29</f>
        <v>325781.830780295</v>
      </c>
      <c r="P375" s="6" t="n">
        <f aca="false">Y375-Assumptions!$B$29</f>
        <v>292521.053600479</v>
      </c>
      <c r="Q375" s="6" t="n">
        <f aca="false">Z375-Assumptions!$B$29</f>
        <v>261285.796401143</v>
      </c>
      <c r="R375" s="6" t="n">
        <f aca="false">AA375-Assumptions!$B$29</f>
        <v>224419.790550031</v>
      </c>
      <c r="S375" s="6" t="n">
        <f aca="false">AB375-Assumptions!$B$29</f>
        <v>172047.736498425</v>
      </c>
      <c r="T375" s="6" t="n">
        <f aca="false">AC375-Assumptions!$B$29</f>
        <v>130274.373297013</v>
      </c>
      <c r="U375" s="6" t="n">
        <f aca="false">AD375-Assumptions!$B$29</f>
        <v>82731.3411831339</v>
      </c>
      <c r="V375" s="6" t="n">
        <f aca="false">AE375-Assumptions!$B$29</f>
        <v>35665.5149868832</v>
      </c>
      <c r="W375" s="6" t="n">
        <f aca="false">M375*(1+C375)</f>
        <v>409490.004761743</v>
      </c>
      <c r="X375" s="6" t="n">
        <f aca="false">N375*(1+D375)</f>
        <v>375781.830780295</v>
      </c>
      <c r="Y375" s="6" t="n">
        <f aca="false">O375*(1+E375)</f>
        <v>342521.053600479</v>
      </c>
      <c r="Z375" s="6" t="n">
        <f aca="false">P375*(1+F375)</f>
        <v>311285.796401143</v>
      </c>
      <c r="AA375" s="6" t="n">
        <f aca="false">Q375*(1+G375)</f>
        <v>274419.790550031</v>
      </c>
      <c r="AB375" s="6" t="n">
        <f aca="false">R375*(1+H375)</f>
        <v>222047.736498425</v>
      </c>
      <c r="AC375" s="6" t="n">
        <f aca="false">S375*(1+I375)</f>
        <v>180274.373297013</v>
      </c>
      <c r="AD375" s="6" t="n">
        <f aca="false">T375*(1+J375)</f>
        <v>132731.341183134</v>
      </c>
      <c r="AE375" s="6" t="n">
        <f aca="false">U375*(1+K375)</f>
        <v>85665.5149868832</v>
      </c>
      <c r="AF375" s="6" t="n">
        <f aca="false">V375*(1+L375)</f>
        <v>37036.7631264693</v>
      </c>
      <c r="AG375" s="6" t="n">
        <f aca="false">MIN(M375:V375)</f>
        <v>35665.5149868832</v>
      </c>
      <c r="AH375" s="19" t="n">
        <f aca="false">IF(AG375&gt;=0,1,0)</f>
        <v>1</v>
      </c>
    </row>
    <row r="376" customFormat="false" ht="15" hidden="false" customHeight="false" outlineLevel="0" collapsed="false">
      <c r="A376" s="0" t="n">
        <f aca="false">ROW()-1</f>
        <v>375</v>
      </c>
      <c r="B376" s="6" t="n">
        <f aca="false">Assumptions!$B$35</f>
        <v>441263.996662504</v>
      </c>
      <c r="C376" s="8" t="n">
        <f aca="true">NORMINV(RAND(),Assumptions!$B$14,Assumptions!$B$15)</f>
        <v>0.0608684516704774</v>
      </c>
      <c r="D376" s="8" t="n">
        <f aca="true">NORMINV(RAND(),Assumptions!$B$14,Assumptions!$B$15)</f>
        <v>0.0611672615048041</v>
      </c>
      <c r="E376" s="8" t="n">
        <f aca="true">NORMINV(RAND(),Assumptions!$B$14,Assumptions!$B$15)</f>
        <v>0.0528701115172847</v>
      </c>
      <c r="F376" s="8" t="n">
        <f aca="true">NORMINV(RAND(),Assumptions!$B$14,Assumptions!$B$15)</f>
        <v>0.0804442314479147</v>
      </c>
      <c r="G376" s="8" t="n">
        <f aca="true">NORMINV(RAND(),Assumptions!$B$14,Assumptions!$B$15)</f>
        <v>0.013826776123227</v>
      </c>
      <c r="H376" s="8" t="n">
        <f aca="true">NORMINV(RAND(),Assumptions!$B$14,Assumptions!$B$15)</f>
        <v>0.0155920823134798</v>
      </c>
      <c r="I376" s="8" t="n">
        <f aca="true">NORMINV(RAND(),Assumptions!$B$14,Assumptions!$B$15)</f>
        <v>0.0177106834262918</v>
      </c>
      <c r="J376" s="8" t="n">
        <f aca="true">NORMINV(RAND(),Assumptions!$B$14,Assumptions!$B$15)</f>
        <v>0.0505167602568318</v>
      </c>
      <c r="K376" s="8" t="n">
        <f aca="true">NORMINV(RAND(),Assumptions!$B$14,Assumptions!$B$15)</f>
        <v>0.0396963206050953</v>
      </c>
      <c r="L376" s="8" t="n">
        <f aca="true">NORMINV(RAND(),Assumptions!$B$14,Assumptions!$B$15)</f>
        <v>0.132528824864776</v>
      </c>
      <c r="M376" s="6" t="n">
        <f aca="false">B376-Assumptions!$B$29</f>
        <v>391263.996662504</v>
      </c>
      <c r="N376" s="6" t="n">
        <f aca="false">W376-Assumptions!$B$29</f>
        <v>365079.630333753</v>
      </c>
      <c r="O376" s="6" t="n">
        <f aca="false">X376-Assumptions!$B$29</f>
        <v>337410.551552455</v>
      </c>
      <c r="P376" s="6" t="n">
        <f aca="false">Y376-Assumptions!$B$29</f>
        <v>305249.485040142</v>
      </c>
      <c r="Q376" s="6" t="n">
        <f aca="false">Z376-Assumptions!$B$29</f>
        <v>279805.045264068</v>
      </c>
      <c r="R376" s="6" t="n">
        <f aca="false">AA376-Assumptions!$B$29</f>
        <v>233673.846983083</v>
      </c>
      <c r="S376" s="6" t="n">
        <f aca="false">AB376-Assumptions!$B$29</f>
        <v>187317.308839751</v>
      </c>
      <c r="T376" s="6" t="n">
        <f aca="false">AC376-Assumptions!$B$29</f>
        <v>140634.826396877</v>
      </c>
      <c r="U376" s="6" t="n">
        <f aca="false">AD376-Assumptions!$B$29</f>
        <v>97739.242205729</v>
      </c>
      <c r="V376" s="6" t="n">
        <f aca="false">AE376-Assumptions!$B$29</f>
        <v>51619.1305000267</v>
      </c>
      <c r="W376" s="6" t="n">
        <f aca="false">M376*(1+C376)</f>
        <v>415079.630333753</v>
      </c>
      <c r="X376" s="6" t="n">
        <f aca="false">N376*(1+D376)</f>
        <v>387410.551552455</v>
      </c>
      <c r="Y376" s="6" t="n">
        <f aca="false">O376*(1+E376)</f>
        <v>355249.485040142</v>
      </c>
      <c r="Z376" s="6" t="n">
        <f aca="false">P376*(1+F376)</f>
        <v>329805.045264068</v>
      </c>
      <c r="AA376" s="6" t="n">
        <f aca="false">Q376*(1+G376)</f>
        <v>283673.846983083</v>
      </c>
      <c r="AB376" s="6" t="n">
        <f aca="false">R376*(1+H376)</f>
        <v>237317.308839751</v>
      </c>
      <c r="AC376" s="6" t="n">
        <f aca="false">S376*(1+I376)</f>
        <v>190634.826396877</v>
      </c>
      <c r="AD376" s="6" t="n">
        <f aca="false">T376*(1+J376)</f>
        <v>147739.242205729</v>
      </c>
      <c r="AE376" s="6" t="n">
        <f aca="false">U376*(1+K376)</f>
        <v>101619.130500027</v>
      </c>
      <c r="AF376" s="6" t="n">
        <f aca="false">V376*(1+L376)</f>
        <v>58460.1532057367</v>
      </c>
      <c r="AG376" s="6" t="n">
        <f aca="false">MIN(M376:V376)</f>
        <v>51619.1305000267</v>
      </c>
      <c r="AH376" s="19" t="n">
        <f aca="false">IF(AG376&gt;=0,1,0)</f>
        <v>1</v>
      </c>
    </row>
    <row r="377" customFormat="false" ht="15" hidden="false" customHeight="false" outlineLevel="0" collapsed="false">
      <c r="A377" s="0" t="n">
        <f aca="false">ROW()-1</f>
        <v>376</v>
      </c>
      <c r="B377" s="6" t="n">
        <f aca="false">Assumptions!$B$35</f>
        <v>441263.996662504</v>
      </c>
      <c r="C377" s="8" t="n">
        <f aca="true">NORMINV(RAND(),Assumptions!$B$14,Assumptions!$B$15)</f>
        <v>0.0506125422198586</v>
      </c>
      <c r="D377" s="8" t="n">
        <f aca="true">NORMINV(RAND(),Assumptions!$B$14,Assumptions!$B$15)</f>
        <v>0.0632272757874333</v>
      </c>
      <c r="E377" s="8" t="n">
        <f aca="true">NORMINV(RAND(),Assumptions!$B$14,Assumptions!$B$15)</f>
        <v>0.0189442239747392</v>
      </c>
      <c r="F377" s="8" t="n">
        <f aca="true">NORMINV(RAND(),Assumptions!$B$14,Assumptions!$B$15)</f>
        <v>0.0740429989375076</v>
      </c>
      <c r="G377" s="8" t="n">
        <f aca="true">NORMINV(RAND(),Assumptions!$B$14,Assumptions!$B$15)</f>
        <v>0.0336636040515075</v>
      </c>
      <c r="H377" s="8" t="n">
        <f aca="true">NORMINV(RAND(),Assumptions!$B$14,Assumptions!$B$15)</f>
        <v>0.0764284256937775</v>
      </c>
      <c r="I377" s="8" t="n">
        <f aca="true">NORMINV(RAND(),Assumptions!$B$14,Assumptions!$B$15)</f>
        <v>0.0466336185937674</v>
      </c>
      <c r="J377" s="8" t="n">
        <f aca="true">NORMINV(RAND(),Assumptions!$B$14,Assumptions!$B$15)</f>
        <v>0.0581558569667742</v>
      </c>
      <c r="K377" s="8" t="n">
        <f aca="true">NORMINV(RAND(),Assumptions!$B$14,Assumptions!$B$15)</f>
        <v>0.0627158902538477</v>
      </c>
      <c r="L377" s="8" t="n">
        <f aca="true">NORMINV(RAND(),Assumptions!$B$14,Assumptions!$B$15)</f>
        <v>0.062089532467716</v>
      </c>
      <c r="M377" s="6" t="n">
        <f aca="false">B377-Assumptions!$B$29</f>
        <v>391263.996662504</v>
      </c>
      <c r="N377" s="6" t="n">
        <f aca="false">W377-Assumptions!$B$29</f>
        <v>361066.862212695</v>
      </c>
      <c r="O377" s="6" t="n">
        <f aca="false">X377-Assumptions!$B$29</f>
        <v>333896.13628752</v>
      </c>
      <c r="P377" s="6" t="n">
        <f aca="false">Y377-Assumptions!$B$29</f>
        <v>290221.539477651</v>
      </c>
      <c r="Q377" s="6" t="n">
        <f aca="false">Z377-Assumptions!$B$29</f>
        <v>261710.412616837</v>
      </c>
      <c r="R377" s="6" t="n">
        <f aca="false">AA377-Assumptions!$B$29</f>
        <v>220520.528323327</v>
      </c>
      <c r="S377" s="6" t="n">
        <f aca="false">AB377-Assumptions!$B$29</f>
        <v>187374.565136238</v>
      </c>
      <c r="T377" s="6" t="n">
        <f aca="false">AC377-Assumptions!$B$29</f>
        <v>146112.519140975</v>
      </c>
      <c r="U377" s="6" t="n">
        <f aca="false">AD377-Assumptions!$B$29</f>
        <v>104609.817905192</v>
      </c>
      <c r="V377" s="6" t="n">
        <f aca="false">AE377-Assumptions!$B$29</f>
        <v>61170.5157644095</v>
      </c>
      <c r="W377" s="6" t="n">
        <f aca="false">M377*(1+C377)</f>
        <v>411066.862212695</v>
      </c>
      <c r="X377" s="6" t="n">
        <f aca="false">N377*(1+D377)</f>
        <v>383896.13628752</v>
      </c>
      <c r="Y377" s="6" t="n">
        <f aca="false">O377*(1+E377)</f>
        <v>340221.539477651</v>
      </c>
      <c r="Z377" s="6" t="n">
        <f aca="false">P377*(1+F377)</f>
        <v>311710.412616837</v>
      </c>
      <c r="AA377" s="6" t="n">
        <f aca="false">Q377*(1+G377)</f>
        <v>270520.528323327</v>
      </c>
      <c r="AB377" s="6" t="n">
        <f aca="false">R377*(1+H377)</f>
        <v>237374.565136238</v>
      </c>
      <c r="AC377" s="6" t="n">
        <f aca="false">S377*(1+I377)</f>
        <v>196112.519140975</v>
      </c>
      <c r="AD377" s="6" t="n">
        <f aca="false">T377*(1+J377)</f>
        <v>154609.817905192</v>
      </c>
      <c r="AE377" s="6" t="n">
        <f aca="false">U377*(1+K377)</f>
        <v>111170.515764409</v>
      </c>
      <c r="AF377" s="6" t="n">
        <f aca="false">V377*(1+L377)</f>
        <v>64968.5644890307</v>
      </c>
      <c r="AG377" s="6" t="n">
        <f aca="false">MIN(M377:V377)</f>
        <v>61170.5157644095</v>
      </c>
      <c r="AH377" s="19" t="n">
        <f aca="false">IF(AG377&gt;=0,1,0)</f>
        <v>1</v>
      </c>
    </row>
    <row r="378" customFormat="false" ht="15" hidden="false" customHeight="false" outlineLevel="0" collapsed="false">
      <c r="A378" s="0" t="n">
        <f aca="false">ROW()-1</f>
        <v>377</v>
      </c>
      <c r="B378" s="6" t="n">
        <f aca="false">Assumptions!$B$35</f>
        <v>441263.996662504</v>
      </c>
      <c r="C378" s="8" t="n">
        <f aca="true">NORMINV(RAND(),Assumptions!$B$14,Assumptions!$B$15)</f>
        <v>0.0462553266682287</v>
      </c>
      <c r="D378" s="8" t="n">
        <f aca="true">NORMINV(RAND(),Assumptions!$B$14,Assumptions!$B$15)</f>
        <v>0.0482727759627619</v>
      </c>
      <c r="E378" s="8" t="n">
        <f aca="true">NORMINV(RAND(),Assumptions!$B$14,Assumptions!$B$15)</f>
        <v>0.0428407017469793</v>
      </c>
      <c r="F378" s="8" t="n">
        <f aca="true">NORMINV(RAND(),Assumptions!$B$14,Assumptions!$B$15)</f>
        <v>0.0715295637182162</v>
      </c>
      <c r="G378" s="8" t="n">
        <f aca="true">NORMINV(RAND(),Assumptions!$B$14,Assumptions!$B$15)</f>
        <v>0.0303501323287733</v>
      </c>
      <c r="H378" s="8" t="n">
        <f aca="true">NORMINV(RAND(),Assumptions!$B$14,Assumptions!$B$15)</f>
        <v>0.120653993550205</v>
      </c>
      <c r="I378" s="8" t="n">
        <f aca="true">NORMINV(RAND(),Assumptions!$B$14,Assumptions!$B$15)</f>
        <v>0.0441874502814413</v>
      </c>
      <c r="J378" s="8" t="n">
        <f aca="true">NORMINV(RAND(),Assumptions!$B$14,Assumptions!$B$15)</f>
        <v>0.0848373547727689</v>
      </c>
      <c r="K378" s="8" t="n">
        <f aca="true">NORMINV(RAND(),Assumptions!$B$14,Assumptions!$B$15)</f>
        <v>0.0298122681865726</v>
      </c>
      <c r="L378" s="8" t="n">
        <f aca="true">NORMINV(RAND(),Assumptions!$B$14,Assumptions!$B$15)</f>
        <v>0.0439705899829921</v>
      </c>
      <c r="M378" s="6" t="n">
        <f aca="false">B378-Assumptions!$B$29</f>
        <v>391263.996662504</v>
      </c>
      <c r="N378" s="6" t="n">
        <f aca="false">W378-Assumptions!$B$29</f>
        <v>359362.040641644</v>
      </c>
      <c r="O378" s="6" t="n">
        <f aca="false">X378-Assumptions!$B$29</f>
        <v>326709.443919059</v>
      </c>
      <c r="P378" s="6" t="n">
        <f aca="false">Y378-Assumptions!$B$29</f>
        <v>290705.905763917</v>
      </c>
      <c r="Q378" s="6" t="n">
        <f aca="false">Z378-Assumptions!$B$29</f>
        <v>261499.972373519</v>
      </c>
      <c r="R378" s="6" t="n">
        <f aca="false">AA378-Assumptions!$B$29</f>
        <v>219436.531139026</v>
      </c>
      <c r="S378" s="6" t="n">
        <f aca="false">AB378-Assumptions!$B$29</f>
        <v>195912.424951754</v>
      </c>
      <c r="T378" s="6" t="n">
        <f aca="false">AC378-Assumptions!$B$29</f>
        <v>154569.295488826</v>
      </c>
      <c r="U378" s="6" t="n">
        <f aca="false">AD378-Assumptions!$B$29</f>
        <v>117682.545647188</v>
      </c>
      <c r="V378" s="6" t="n">
        <f aca="false">AE378-Assumptions!$B$29</f>
        <v>71190.9292589007</v>
      </c>
      <c r="W378" s="6" t="n">
        <f aca="false">M378*(1+C378)</f>
        <v>409362.040641644</v>
      </c>
      <c r="X378" s="6" t="n">
        <f aca="false">N378*(1+D378)</f>
        <v>376709.443919059</v>
      </c>
      <c r="Y378" s="6" t="n">
        <f aca="false">O378*(1+E378)</f>
        <v>340705.905763917</v>
      </c>
      <c r="Z378" s="6" t="n">
        <f aca="false">P378*(1+F378)</f>
        <v>311499.972373519</v>
      </c>
      <c r="AA378" s="6" t="n">
        <f aca="false">Q378*(1+G378)</f>
        <v>269436.531139026</v>
      </c>
      <c r="AB378" s="6" t="n">
        <f aca="false">R378*(1+H378)</f>
        <v>245912.424951754</v>
      </c>
      <c r="AC378" s="6" t="n">
        <f aca="false">S378*(1+I378)</f>
        <v>204569.295488826</v>
      </c>
      <c r="AD378" s="6" t="n">
        <f aca="false">T378*(1+J378)</f>
        <v>167682.545647188</v>
      </c>
      <c r="AE378" s="6" t="n">
        <f aca="false">U378*(1+K378)</f>
        <v>121190.929258901</v>
      </c>
      <c r="AF378" s="6" t="n">
        <f aca="false">V378*(1+L378)</f>
        <v>74321.236419852</v>
      </c>
      <c r="AG378" s="6" t="n">
        <f aca="false">MIN(M378:V378)</f>
        <v>71190.9292589007</v>
      </c>
      <c r="AH378" s="19" t="n">
        <f aca="false">IF(AG378&gt;=0,1,0)</f>
        <v>1</v>
      </c>
    </row>
    <row r="379" customFormat="false" ht="15" hidden="false" customHeight="false" outlineLevel="0" collapsed="false">
      <c r="A379" s="0" t="n">
        <f aca="false">ROW()-1</f>
        <v>378</v>
      </c>
      <c r="B379" s="6" t="n">
        <f aca="false">Assumptions!$B$35</f>
        <v>441263.996662504</v>
      </c>
      <c r="C379" s="8" t="n">
        <f aca="true">NORMINV(RAND(),Assumptions!$B$14,Assumptions!$B$15)</f>
        <v>0.0789743392194265</v>
      </c>
      <c r="D379" s="8" t="n">
        <f aca="true">NORMINV(RAND(),Assumptions!$B$14,Assumptions!$B$15)</f>
        <v>0.0399696608004094</v>
      </c>
      <c r="E379" s="8" t="n">
        <f aca="true">NORMINV(RAND(),Assumptions!$B$14,Assumptions!$B$15)</f>
        <v>0.027562803143468</v>
      </c>
      <c r="F379" s="8" t="n">
        <f aca="true">NORMINV(RAND(),Assumptions!$B$14,Assumptions!$B$15)</f>
        <v>0.0104340474788036</v>
      </c>
      <c r="G379" s="8" t="n">
        <f aca="true">NORMINV(RAND(),Assumptions!$B$14,Assumptions!$B$15)</f>
        <v>0.0553203353854077</v>
      </c>
      <c r="H379" s="8" t="n">
        <f aca="true">NORMINV(RAND(),Assumptions!$B$14,Assumptions!$B$15)</f>
        <v>0.121405376226196</v>
      </c>
      <c r="I379" s="8" t="n">
        <f aca="true">NORMINV(RAND(),Assumptions!$B$14,Assumptions!$B$15)</f>
        <v>0.0868093328042467</v>
      </c>
      <c r="J379" s="8" t="n">
        <f aca="true">NORMINV(RAND(),Assumptions!$B$14,Assumptions!$B$15)</f>
        <v>0.0413340461749868</v>
      </c>
      <c r="K379" s="8" t="n">
        <f aca="true">NORMINV(RAND(),Assumptions!$B$14,Assumptions!$B$15)</f>
        <v>0.0144517602079389</v>
      </c>
      <c r="L379" s="8" t="n">
        <f aca="true">NORMINV(RAND(),Assumptions!$B$14,Assumptions!$B$15)</f>
        <v>0.101841526306445</v>
      </c>
      <c r="M379" s="6" t="n">
        <f aca="false">B379-Assumptions!$B$29</f>
        <v>391263.996662504</v>
      </c>
      <c r="N379" s="6" t="n">
        <f aca="false">W379-Assumptions!$B$29</f>
        <v>372163.812259277</v>
      </c>
      <c r="O379" s="6" t="n">
        <f aca="false">X379-Assumptions!$B$29</f>
        <v>337039.073597467</v>
      </c>
      <c r="P379" s="6" t="n">
        <f aca="false">Y379-Assumptions!$B$29</f>
        <v>296328.815234691</v>
      </c>
      <c r="Q379" s="6" t="n">
        <f aca="false">Z379-Assumptions!$B$29</f>
        <v>249420.724162187</v>
      </c>
      <c r="R379" s="6" t="n">
        <f aca="false">AA379-Assumptions!$B$29</f>
        <v>213218.762274911</v>
      </c>
      <c r="S379" s="6" t="n">
        <f aca="false">AB379-Assumptions!$B$29</f>
        <v>189104.66632738</v>
      </c>
      <c r="T379" s="6" t="n">
        <f aca="false">AC379-Assumptions!$B$29</f>
        <v>155520.71624143</v>
      </c>
      <c r="U379" s="6" t="n">
        <f aca="false">AD379-Assumptions!$B$29</f>
        <v>111949.01670772</v>
      </c>
      <c r="V379" s="6" t="n">
        <f aca="false">AE379-Assumptions!$B$29</f>
        <v>63566.8770526944</v>
      </c>
      <c r="W379" s="6" t="n">
        <f aca="false">M379*(1+C379)</f>
        <v>422163.812259277</v>
      </c>
      <c r="X379" s="6" t="n">
        <f aca="false">N379*(1+D379)</f>
        <v>387039.073597467</v>
      </c>
      <c r="Y379" s="6" t="n">
        <f aca="false">O379*(1+E379)</f>
        <v>346328.815234691</v>
      </c>
      <c r="Z379" s="6" t="n">
        <f aca="false">P379*(1+F379)</f>
        <v>299420.724162187</v>
      </c>
      <c r="AA379" s="6" t="n">
        <f aca="false">Q379*(1+G379)</f>
        <v>263218.762274911</v>
      </c>
      <c r="AB379" s="6" t="n">
        <f aca="false">R379*(1+H379)</f>
        <v>239104.66632738</v>
      </c>
      <c r="AC379" s="6" t="n">
        <f aca="false">S379*(1+I379)</f>
        <v>205520.71624143</v>
      </c>
      <c r="AD379" s="6" t="n">
        <f aca="false">T379*(1+J379)</f>
        <v>161949.01670772</v>
      </c>
      <c r="AE379" s="6" t="n">
        <f aca="false">U379*(1+K379)</f>
        <v>113566.877052694</v>
      </c>
      <c r="AF379" s="6" t="n">
        <f aca="false">V379*(1+L379)</f>
        <v>70040.624834275</v>
      </c>
      <c r="AG379" s="6" t="n">
        <f aca="false">MIN(M379:V379)</f>
        <v>63566.8770526944</v>
      </c>
      <c r="AH379" s="19" t="n">
        <f aca="false">IF(AG379&gt;=0,1,0)</f>
        <v>1</v>
      </c>
    </row>
    <row r="380" customFormat="false" ht="15" hidden="false" customHeight="false" outlineLevel="0" collapsed="false">
      <c r="A380" s="0" t="n">
        <f aca="false">ROW()-1</f>
        <v>379</v>
      </c>
      <c r="B380" s="6" t="n">
        <f aca="false">Assumptions!$B$35</f>
        <v>441263.996662504</v>
      </c>
      <c r="C380" s="8" t="n">
        <f aca="true">NORMINV(RAND(),Assumptions!$B$14,Assumptions!$B$15)</f>
        <v>0.0859251272936589</v>
      </c>
      <c r="D380" s="8" t="n">
        <f aca="true">NORMINV(RAND(),Assumptions!$B$14,Assumptions!$B$15)</f>
        <v>0.0372826173719379</v>
      </c>
      <c r="E380" s="8" t="n">
        <f aca="true">NORMINV(RAND(),Assumptions!$B$14,Assumptions!$B$15)</f>
        <v>0.0586633474934658</v>
      </c>
      <c r="F380" s="8" t="n">
        <f aca="true">NORMINV(RAND(),Assumptions!$B$14,Assumptions!$B$15)</f>
        <v>0.0945387981153888</v>
      </c>
      <c r="G380" s="8" t="n">
        <f aca="true">NORMINV(RAND(),Assumptions!$B$14,Assumptions!$B$15)</f>
        <v>0.0624343415379026</v>
      </c>
      <c r="H380" s="8" t="n">
        <f aca="true">NORMINV(RAND(),Assumptions!$B$14,Assumptions!$B$15)</f>
        <v>0.0428984319030139</v>
      </c>
      <c r="I380" s="8" t="n">
        <f aca="true">NORMINV(RAND(),Assumptions!$B$14,Assumptions!$B$15)</f>
        <v>0.0227594082399481</v>
      </c>
      <c r="J380" s="8" t="n">
        <f aca="true">NORMINV(RAND(),Assumptions!$B$14,Assumptions!$B$15)</f>
        <v>0.0694521766342832</v>
      </c>
      <c r="K380" s="8" t="n">
        <f aca="true">NORMINV(RAND(),Assumptions!$B$14,Assumptions!$B$15)</f>
        <v>0.0902400589503049</v>
      </c>
      <c r="L380" s="8" t="n">
        <f aca="true">NORMINV(RAND(),Assumptions!$B$14,Assumptions!$B$15)</f>
        <v>0.090286538494704</v>
      </c>
      <c r="M380" s="6" t="n">
        <f aca="false">B380-Assumptions!$B$29</f>
        <v>391263.996662504</v>
      </c>
      <c r="N380" s="6" t="n">
        <f aca="false">W380-Assumptions!$B$29</f>
        <v>374883.405381155</v>
      </c>
      <c r="O380" s="6" t="n">
        <f aca="false">X380-Assumptions!$B$29</f>
        <v>338860.03994307</v>
      </c>
      <c r="P380" s="6" t="n">
        <f aca="false">Y380-Assumptions!$B$29</f>
        <v>308738.7042179</v>
      </c>
      <c r="Q380" s="6" t="n">
        <f aca="false">Z380-Assumptions!$B$29</f>
        <v>287926.490246362</v>
      </c>
      <c r="R380" s="6" t="n">
        <f aca="false">AA380-Assumptions!$B$29</f>
        <v>255902.991076213</v>
      </c>
      <c r="S380" s="6" t="n">
        <f aca="false">AB380-Assumptions!$B$29</f>
        <v>216880.828112674</v>
      </c>
      <c r="T380" s="6" t="n">
        <f aca="false">AC380-Assumptions!$B$29</f>
        <v>171816.907419108</v>
      </c>
      <c r="U380" s="6" t="n">
        <f aca="false">AD380-Assumptions!$B$29</f>
        <v>133749.965621936</v>
      </c>
      <c r="V380" s="6" t="n">
        <f aca="false">AE380-Assumptions!$B$29</f>
        <v>95819.5704042612</v>
      </c>
      <c r="W380" s="6" t="n">
        <f aca="false">M380*(1+C380)</f>
        <v>424883.405381155</v>
      </c>
      <c r="X380" s="6" t="n">
        <f aca="false">N380*(1+D380)</f>
        <v>388860.03994307</v>
      </c>
      <c r="Y380" s="6" t="n">
        <f aca="false">O380*(1+E380)</f>
        <v>358738.7042179</v>
      </c>
      <c r="Z380" s="6" t="n">
        <f aca="false">P380*(1+F380)</f>
        <v>337926.490246362</v>
      </c>
      <c r="AA380" s="6" t="n">
        <f aca="false">Q380*(1+G380)</f>
        <v>305902.991076213</v>
      </c>
      <c r="AB380" s="6" t="n">
        <f aca="false">R380*(1+H380)</f>
        <v>266880.828112674</v>
      </c>
      <c r="AC380" s="6" t="n">
        <f aca="false">S380*(1+I380)</f>
        <v>221816.907419108</v>
      </c>
      <c r="AD380" s="6" t="n">
        <f aca="false">T380*(1+J380)</f>
        <v>183749.965621936</v>
      </c>
      <c r="AE380" s="6" t="n">
        <f aca="false">U380*(1+K380)</f>
        <v>145819.570404261</v>
      </c>
      <c r="AF380" s="6" t="n">
        <f aca="false">V380*(1+L380)</f>
        <v>104470.787736111</v>
      </c>
      <c r="AG380" s="6" t="n">
        <f aca="false">MIN(M380:V380)</f>
        <v>95819.5704042612</v>
      </c>
      <c r="AH380" s="19" t="n">
        <f aca="false">IF(AG380&gt;=0,1,0)</f>
        <v>1</v>
      </c>
    </row>
    <row r="381" customFormat="false" ht="15" hidden="false" customHeight="false" outlineLevel="0" collapsed="false">
      <c r="A381" s="0" t="n">
        <f aca="false">ROW()-1</f>
        <v>380</v>
      </c>
      <c r="B381" s="6" t="n">
        <f aca="false">Assumptions!$B$35</f>
        <v>441263.996662504</v>
      </c>
      <c r="C381" s="8" t="n">
        <f aca="true">NORMINV(RAND(),Assumptions!$B$14,Assumptions!$B$15)</f>
        <v>0.0555239680578782</v>
      </c>
      <c r="D381" s="8" t="n">
        <f aca="true">NORMINV(RAND(),Assumptions!$B$14,Assumptions!$B$15)</f>
        <v>0.0475174907425517</v>
      </c>
      <c r="E381" s="8" t="n">
        <f aca="true">NORMINV(RAND(),Assumptions!$B$14,Assumptions!$B$15)</f>
        <v>0.0439949171517268</v>
      </c>
      <c r="F381" s="8" t="n">
        <f aca="true">NORMINV(RAND(),Assumptions!$B$14,Assumptions!$B$15)</f>
        <v>0.0184373237053485</v>
      </c>
      <c r="G381" s="8" t="n">
        <f aca="true">NORMINV(RAND(),Assumptions!$B$14,Assumptions!$B$15)</f>
        <v>0.0562377983519235</v>
      </c>
      <c r="H381" s="8" t="n">
        <f aca="true">NORMINV(RAND(),Assumptions!$B$14,Assumptions!$B$15)</f>
        <v>0.0506571776913634</v>
      </c>
      <c r="I381" s="8" t="n">
        <f aca="true">NORMINV(RAND(),Assumptions!$B$14,Assumptions!$B$15)</f>
        <v>0.00687747628665112</v>
      </c>
      <c r="J381" s="8" t="n">
        <f aca="true">NORMINV(RAND(),Assumptions!$B$14,Assumptions!$B$15)</f>
        <v>0.0953580371567299</v>
      </c>
      <c r="K381" s="8" t="n">
        <f aca="true">NORMINV(RAND(),Assumptions!$B$14,Assumptions!$B$15)</f>
        <v>0.0279806038231913</v>
      </c>
      <c r="L381" s="8" t="n">
        <f aca="true">NORMINV(RAND(),Assumptions!$B$14,Assumptions!$B$15)</f>
        <v>0.063983437032098</v>
      </c>
      <c r="M381" s="6" t="n">
        <f aca="false">B381-Assumptions!$B$29</f>
        <v>391263.996662504</v>
      </c>
      <c r="N381" s="6" t="n">
        <f aca="false">W381-Assumptions!$B$29</f>
        <v>362988.52631539</v>
      </c>
      <c r="O381" s="6" t="n">
        <f aca="false">X381-Assumptions!$B$29</f>
        <v>330236.830254234</v>
      </c>
      <c r="P381" s="6" t="n">
        <f aca="false">Y381-Assumptions!$B$29</f>
        <v>294765.572241718</v>
      </c>
      <c r="Q381" s="6" t="n">
        <f aca="false">Z381-Assumptions!$B$29</f>
        <v>250200.260514331</v>
      </c>
      <c r="R381" s="6" t="n">
        <f aca="false">AA381-Assumptions!$B$29</f>
        <v>214270.972312735</v>
      </c>
      <c r="S381" s="6" t="n">
        <f aca="false">AB381-Assumptions!$B$29</f>
        <v>175125.335031282</v>
      </c>
      <c r="T381" s="6" t="n">
        <f aca="false">AC381-Assumptions!$B$29</f>
        <v>126329.755370152</v>
      </c>
      <c r="U381" s="6" t="n">
        <f aca="false">AD381-Assumptions!$B$29</f>
        <v>88376.3128767391</v>
      </c>
      <c r="V381" s="6" t="n">
        <f aca="false">AE381-Assumptions!$B$29</f>
        <v>40849.1354746975</v>
      </c>
      <c r="W381" s="6" t="n">
        <f aca="false">M381*(1+C381)</f>
        <v>412988.52631539</v>
      </c>
      <c r="X381" s="6" t="n">
        <f aca="false">N381*(1+D381)</f>
        <v>380236.830254234</v>
      </c>
      <c r="Y381" s="6" t="n">
        <f aca="false">O381*(1+E381)</f>
        <v>344765.572241718</v>
      </c>
      <c r="Z381" s="6" t="n">
        <f aca="false">P381*(1+F381)</f>
        <v>300200.260514331</v>
      </c>
      <c r="AA381" s="6" t="n">
        <f aca="false">Q381*(1+G381)</f>
        <v>264270.972312735</v>
      </c>
      <c r="AB381" s="6" t="n">
        <f aca="false">R381*(1+H381)</f>
        <v>225125.335031282</v>
      </c>
      <c r="AC381" s="6" t="n">
        <f aca="false">S381*(1+I381)</f>
        <v>176329.755370152</v>
      </c>
      <c r="AD381" s="6" t="n">
        <f aca="false">T381*(1+J381)</f>
        <v>138376.312876739</v>
      </c>
      <c r="AE381" s="6" t="n">
        <f aca="false">U381*(1+K381)</f>
        <v>90849.1354746975</v>
      </c>
      <c r="AF381" s="6" t="n">
        <f aca="false">V381*(1+L381)</f>
        <v>43462.8035621585</v>
      </c>
      <c r="AG381" s="6" t="n">
        <f aca="false">MIN(M381:V381)</f>
        <v>40849.1354746975</v>
      </c>
      <c r="AH381" s="19" t="n">
        <f aca="false">IF(AG381&gt;=0,1,0)</f>
        <v>1</v>
      </c>
    </row>
    <row r="382" customFormat="false" ht="15" hidden="false" customHeight="false" outlineLevel="0" collapsed="false">
      <c r="A382" s="0" t="n">
        <f aca="false">ROW()-1</f>
        <v>381</v>
      </c>
      <c r="B382" s="6" t="n">
        <f aca="false">Assumptions!$B$35</f>
        <v>441263.996662504</v>
      </c>
      <c r="C382" s="8" t="n">
        <f aca="true">NORMINV(RAND(),Assumptions!$B$14,Assumptions!$B$15)</f>
        <v>0.0864626422561542</v>
      </c>
      <c r="D382" s="8" t="n">
        <f aca="true">NORMINV(RAND(),Assumptions!$B$14,Assumptions!$B$15)</f>
        <v>0.0677070241092029</v>
      </c>
      <c r="E382" s="8" t="n">
        <f aca="true">NORMINV(RAND(),Assumptions!$B$14,Assumptions!$B$15)</f>
        <v>0.0538937141443795</v>
      </c>
      <c r="F382" s="8" t="n">
        <f aca="true">NORMINV(RAND(),Assumptions!$B$14,Assumptions!$B$15)</f>
        <v>0.0350848128241686</v>
      </c>
      <c r="G382" s="8" t="n">
        <f aca="true">NORMINV(RAND(),Assumptions!$B$14,Assumptions!$B$15)</f>
        <v>0.0750045105448061</v>
      </c>
      <c r="H382" s="8" t="n">
        <f aca="true">NORMINV(RAND(),Assumptions!$B$14,Assumptions!$B$15)</f>
        <v>0.0601941541750228</v>
      </c>
      <c r="I382" s="8" t="n">
        <f aca="true">NORMINV(RAND(),Assumptions!$B$14,Assumptions!$B$15)</f>
        <v>0.008423618602216</v>
      </c>
      <c r="J382" s="8" t="n">
        <f aca="true">NORMINV(RAND(),Assumptions!$B$14,Assumptions!$B$15)</f>
        <v>0.0505341149122213</v>
      </c>
      <c r="K382" s="8" t="n">
        <f aca="true">NORMINV(RAND(),Assumptions!$B$14,Assumptions!$B$15)</f>
        <v>0.0384217808902883</v>
      </c>
      <c r="L382" s="8" t="n">
        <f aca="true">NORMINV(RAND(),Assumptions!$B$14,Assumptions!$B$15)</f>
        <v>0.0608679876024535</v>
      </c>
      <c r="M382" s="6" t="n">
        <f aca="false">B382-Assumptions!$B$29</f>
        <v>391263.996662504</v>
      </c>
      <c r="N382" s="6" t="n">
        <f aca="false">W382-Assumptions!$B$29</f>
        <v>375093.715633647</v>
      </c>
      <c r="O382" s="6" t="n">
        <f aca="false">X382-Assumptions!$B$29</f>
        <v>350490.194881265</v>
      </c>
      <c r="P382" s="6" t="n">
        <f aca="false">Y382-Assumptions!$B$29</f>
        <v>319379.413254603</v>
      </c>
      <c r="Q382" s="6" t="n">
        <f aca="false">Z382-Assumptions!$B$29</f>
        <v>280584.780188534</v>
      </c>
      <c r="R382" s="6" t="n">
        <f aca="false">AA382-Assumptions!$B$29</f>
        <v>251629.904292897</v>
      </c>
      <c r="S382" s="6" t="n">
        <f aca="false">AB382-Assumptions!$B$29</f>
        <v>216776.55354695</v>
      </c>
      <c r="T382" s="6" t="n">
        <f aca="false">AC382-Assumptions!$B$29</f>
        <v>168602.596555932</v>
      </c>
      <c r="U382" s="6" t="n">
        <f aca="false">AD382-Assumptions!$B$29</f>
        <v>127122.779544788</v>
      </c>
      <c r="V382" s="6" t="n">
        <f aca="false">AE382-Assumptions!$B$29</f>
        <v>82007.0631266226</v>
      </c>
      <c r="W382" s="6" t="n">
        <f aca="false">M382*(1+C382)</f>
        <v>425093.715633647</v>
      </c>
      <c r="X382" s="6" t="n">
        <f aca="false">N382*(1+D382)</f>
        <v>400490.194881265</v>
      </c>
      <c r="Y382" s="6" t="n">
        <f aca="false">O382*(1+E382)</f>
        <v>369379.413254603</v>
      </c>
      <c r="Z382" s="6" t="n">
        <f aca="false">P382*(1+F382)</f>
        <v>330584.780188534</v>
      </c>
      <c r="AA382" s="6" t="n">
        <f aca="false">Q382*(1+G382)</f>
        <v>301629.904292897</v>
      </c>
      <c r="AB382" s="6" t="n">
        <f aca="false">R382*(1+H382)</f>
        <v>266776.55354695</v>
      </c>
      <c r="AC382" s="6" t="n">
        <f aca="false">S382*(1+I382)</f>
        <v>218602.596555932</v>
      </c>
      <c r="AD382" s="6" t="n">
        <f aca="false">T382*(1+J382)</f>
        <v>177122.779544788</v>
      </c>
      <c r="AE382" s="6" t="n">
        <f aca="false">U382*(1+K382)</f>
        <v>132007.063126623</v>
      </c>
      <c r="AF382" s="6" t="n">
        <f aca="false">V382*(1+L382)</f>
        <v>86998.6680283275</v>
      </c>
      <c r="AG382" s="6" t="n">
        <f aca="false">MIN(M382:V382)</f>
        <v>82007.0631266226</v>
      </c>
      <c r="AH382" s="19" t="n">
        <f aca="false">IF(AG382&gt;=0,1,0)</f>
        <v>1</v>
      </c>
    </row>
    <row r="383" customFormat="false" ht="15" hidden="false" customHeight="false" outlineLevel="0" collapsed="false">
      <c r="A383" s="0" t="n">
        <f aca="false">ROW()-1</f>
        <v>382</v>
      </c>
      <c r="B383" s="6" t="n">
        <f aca="false">Assumptions!$B$35</f>
        <v>441263.996662504</v>
      </c>
      <c r="C383" s="8" t="n">
        <f aca="true">NORMINV(RAND(),Assumptions!$B$14,Assumptions!$B$15)</f>
        <v>-0.011459749073841</v>
      </c>
      <c r="D383" s="8" t="n">
        <f aca="true">NORMINV(RAND(),Assumptions!$B$14,Assumptions!$B$15)</f>
        <v>0.0556510260910115</v>
      </c>
      <c r="E383" s="8" t="n">
        <f aca="true">NORMINV(RAND(),Assumptions!$B$14,Assumptions!$B$15)</f>
        <v>0.0279210840952771</v>
      </c>
      <c r="F383" s="8" t="n">
        <f aca="true">NORMINV(RAND(),Assumptions!$B$14,Assumptions!$B$15)</f>
        <v>0.0515669359543165</v>
      </c>
      <c r="G383" s="8" t="n">
        <f aca="true">NORMINV(RAND(),Assumptions!$B$14,Assumptions!$B$15)</f>
        <v>0.0183327623496001</v>
      </c>
      <c r="H383" s="8" t="n">
        <f aca="true">NORMINV(RAND(),Assumptions!$B$14,Assumptions!$B$15)</f>
        <v>0.00792178566339177</v>
      </c>
      <c r="I383" s="8" t="n">
        <f aca="true">NORMINV(RAND(),Assumptions!$B$14,Assumptions!$B$15)</f>
        <v>0.0882033420597242</v>
      </c>
      <c r="J383" s="8" t="n">
        <f aca="true">NORMINV(RAND(),Assumptions!$B$14,Assumptions!$B$15)</f>
        <v>-0.0596445624232349</v>
      </c>
      <c r="K383" s="8" t="n">
        <f aca="true">NORMINV(RAND(),Assumptions!$B$14,Assumptions!$B$15)</f>
        <v>0.106790029414004</v>
      </c>
      <c r="L383" s="8" t="n">
        <f aca="true">NORMINV(RAND(),Assumptions!$B$14,Assumptions!$B$15)</f>
        <v>-0.0130935401927194</v>
      </c>
      <c r="M383" s="6" t="n">
        <f aca="false">B383-Assumptions!$B$29</f>
        <v>391263.996662504</v>
      </c>
      <c r="N383" s="6" t="n">
        <f aca="false">W383-Assumptions!$B$29</f>
        <v>336780.209439123</v>
      </c>
      <c r="O383" s="6" t="n">
        <f aca="false">X383-Assumptions!$B$29</f>
        <v>305522.373661556</v>
      </c>
      <c r="P383" s="6" t="n">
        <f aca="false">Y383-Assumptions!$B$29</f>
        <v>264052.889549549</v>
      </c>
      <c r="Q383" s="6" t="n">
        <f aca="false">Z383-Assumptions!$B$29</f>
        <v>227669.287993503</v>
      </c>
      <c r="R383" s="6" t="n">
        <f aca="false">AA383-Assumptions!$B$29</f>
        <v>181843.09494459</v>
      </c>
      <c r="S383" s="6" t="n">
        <f aca="false">AB383-Assumptions!$B$29</f>
        <v>133283.616967109</v>
      </c>
      <c r="T383" s="6" t="n">
        <f aca="false">AC383-Assumptions!$B$29</f>
        <v>95039.6774254164</v>
      </c>
      <c r="U383" s="6" t="n">
        <f aca="false">AD383-Assumptions!$B$29</f>
        <v>39371.077452532</v>
      </c>
      <c r="V383" s="6" t="n">
        <f aca="false">AE383-Assumptions!$B$29</f>
        <v>-6424.48402825103</v>
      </c>
      <c r="W383" s="6" t="n">
        <f aca="false">M383*(1+C383)</f>
        <v>386780.209439123</v>
      </c>
      <c r="X383" s="6" t="n">
        <f aca="false">N383*(1+D383)</f>
        <v>355522.373661556</v>
      </c>
      <c r="Y383" s="6" t="n">
        <f aca="false">O383*(1+E383)</f>
        <v>314052.889549549</v>
      </c>
      <c r="Z383" s="6" t="n">
        <f aca="false">P383*(1+F383)</f>
        <v>277669.287993503</v>
      </c>
      <c r="AA383" s="6" t="n">
        <f aca="false">Q383*(1+G383)</f>
        <v>231843.09494459</v>
      </c>
      <c r="AB383" s="6" t="n">
        <f aca="false">R383*(1+H383)</f>
        <v>183283.616967109</v>
      </c>
      <c r="AC383" s="6" t="n">
        <f aca="false">S383*(1+I383)</f>
        <v>145039.677425416</v>
      </c>
      <c r="AD383" s="6" t="n">
        <f aca="false">T383*(1+J383)</f>
        <v>89371.077452532</v>
      </c>
      <c r="AE383" s="6" t="n">
        <f aca="false">U383*(1+K383)</f>
        <v>43575.515971749</v>
      </c>
      <c r="AF383" s="6" t="n">
        <f aca="false">V383*(1+L383)</f>
        <v>-6340.36478840965</v>
      </c>
      <c r="AG383" s="6" t="n">
        <f aca="false">MIN(M383:V383)</f>
        <v>-6424.48402825103</v>
      </c>
      <c r="AH383" s="19" t="n">
        <f aca="false">IF(AG383&gt;=0,1,0)</f>
        <v>0</v>
      </c>
    </row>
    <row r="384" customFormat="false" ht="15" hidden="false" customHeight="false" outlineLevel="0" collapsed="false">
      <c r="A384" s="0" t="n">
        <f aca="false">ROW()-1</f>
        <v>383</v>
      </c>
      <c r="B384" s="6" t="n">
        <f aca="false">Assumptions!$B$35</f>
        <v>441263.996662504</v>
      </c>
      <c r="C384" s="8" t="n">
        <f aca="true">NORMINV(RAND(),Assumptions!$B$14,Assumptions!$B$15)</f>
        <v>0.052395441163982</v>
      </c>
      <c r="D384" s="8" t="n">
        <f aca="true">NORMINV(RAND(),Assumptions!$B$14,Assumptions!$B$15)</f>
        <v>0.0645886424439212</v>
      </c>
      <c r="E384" s="8" t="n">
        <f aca="true">NORMINV(RAND(),Assumptions!$B$14,Assumptions!$B$15)</f>
        <v>0.0413106566596809</v>
      </c>
      <c r="F384" s="8" t="n">
        <f aca="true">NORMINV(RAND(),Assumptions!$B$14,Assumptions!$B$15)</f>
        <v>0.00938576700536866</v>
      </c>
      <c r="G384" s="8" t="n">
        <f aca="true">NORMINV(RAND(),Assumptions!$B$14,Assumptions!$B$15)</f>
        <v>0.0363426512589537</v>
      </c>
      <c r="H384" s="8" t="n">
        <f aca="true">NORMINV(RAND(),Assumptions!$B$14,Assumptions!$B$15)</f>
        <v>0.078920498756669</v>
      </c>
      <c r="I384" s="8" t="n">
        <f aca="true">NORMINV(RAND(),Assumptions!$B$14,Assumptions!$B$15)</f>
        <v>0.037237518081484</v>
      </c>
      <c r="J384" s="8" t="n">
        <f aca="true">NORMINV(RAND(),Assumptions!$B$14,Assumptions!$B$15)</f>
        <v>0.0863463071427651</v>
      </c>
      <c r="K384" s="8" t="n">
        <f aca="true">NORMINV(RAND(),Assumptions!$B$14,Assumptions!$B$15)</f>
        <v>0.0758724960799376</v>
      </c>
      <c r="L384" s="8" t="n">
        <f aca="true">NORMINV(RAND(),Assumptions!$B$14,Assumptions!$B$15)</f>
        <v>0.0593470410656746</v>
      </c>
      <c r="M384" s="6" t="n">
        <f aca="false">B384-Assumptions!$B$29</f>
        <v>391263.996662504</v>
      </c>
      <c r="N384" s="6" t="n">
        <f aca="false">W384-Assumptions!$B$29</f>
        <v>361764.446379218</v>
      </c>
      <c r="O384" s="6" t="n">
        <f aca="false">X384-Assumptions!$B$29</f>
        <v>335130.320855329</v>
      </c>
      <c r="P384" s="6" t="n">
        <f aca="false">Y384-Assumptions!$B$29</f>
        <v>298974.774476432</v>
      </c>
      <c r="Q384" s="6" t="n">
        <f aca="false">Z384-Assumptions!$B$29</f>
        <v>251780.88205015</v>
      </c>
      <c r="R384" s="6" t="n">
        <f aca="false">AA384-Assumptions!$B$29</f>
        <v>210931.266840171</v>
      </c>
      <c r="S384" s="6" t="n">
        <f aca="false">AB384-Assumptions!$B$29</f>
        <v>177578.067622573</v>
      </c>
      <c r="T384" s="6" t="n">
        <f aca="false">AC384-Assumptions!$B$29</f>
        <v>134190.634126543</v>
      </c>
      <c r="U384" s="6" t="n">
        <f aca="false">AD384-Assumptions!$B$29</f>
        <v>95777.4998365163</v>
      </c>
      <c r="V384" s="6" t="n">
        <f aca="false">AE384-Assumptions!$B$29</f>
        <v>53044.3778174086</v>
      </c>
      <c r="W384" s="6" t="n">
        <f aca="false">M384*(1+C384)</f>
        <v>411764.446379218</v>
      </c>
      <c r="X384" s="6" t="n">
        <f aca="false">N384*(1+D384)</f>
        <v>385130.320855329</v>
      </c>
      <c r="Y384" s="6" t="n">
        <f aca="false">O384*(1+E384)</f>
        <v>348974.774476432</v>
      </c>
      <c r="Z384" s="6" t="n">
        <f aca="false">P384*(1+F384)</f>
        <v>301780.88205015</v>
      </c>
      <c r="AA384" s="6" t="n">
        <f aca="false">Q384*(1+G384)</f>
        <v>260931.266840171</v>
      </c>
      <c r="AB384" s="6" t="n">
        <f aca="false">R384*(1+H384)</f>
        <v>227578.067622573</v>
      </c>
      <c r="AC384" s="6" t="n">
        <f aca="false">S384*(1+I384)</f>
        <v>184190.634126543</v>
      </c>
      <c r="AD384" s="6" t="n">
        <f aca="false">T384*(1+J384)</f>
        <v>145777.499836516</v>
      </c>
      <c r="AE384" s="6" t="n">
        <f aca="false">U384*(1+K384)</f>
        <v>103044.377817409</v>
      </c>
      <c r="AF384" s="6" t="n">
        <f aca="false">V384*(1+L384)</f>
        <v>56192.4046860415</v>
      </c>
      <c r="AG384" s="6" t="n">
        <f aca="false">MIN(M384:V384)</f>
        <v>53044.3778174086</v>
      </c>
      <c r="AH384" s="19" t="n">
        <f aca="false">IF(AG384&gt;=0,1,0)</f>
        <v>1</v>
      </c>
    </row>
    <row r="385" customFormat="false" ht="15" hidden="false" customHeight="false" outlineLevel="0" collapsed="false">
      <c r="A385" s="0" t="n">
        <f aca="false">ROW()-1</f>
        <v>384</v>
      </c>
      <c r="B385" s="6" t="n">
        <f aca="false">Assumptions!$B$35</f>
        <v>441263.996662504</v>
      </c>
      <c r="C385" s="8" t="n">
        <f aca="true">NORMINV(RAND(),Assumptions!$B$14,Assumptions!$B$15)</f>
        <v>0.0394599543821354</v>
      </c>
      <c r="D385" s="8" t="n">
        <f aca="true">NORMINV(RAND(),Assumptions!$B$14,Assumptions!$B$15)</f>
        <v>0.0103238110614436</v>
      </c>
      <c r="E385" s="8" t="n">
        <f aca="true">NORMINV(RAND(),Assumptions!$B$14,Assumptions!$B$15)</f>
        <v>0.068815583719137</v>
      </c>
      <c r="F385" s="8" t="n">
        <f aca="true">NORMINV(RAND(),Assumptions!$B$14,Assumptions!$B$15)</f>
        <v>0.018966081701564</v>
      </c>
      <c r="G385" s="8" t="n">
        <f aca="true">NORMINV(RAND(),Assumptions!$B$14,Assumptions!$B$15)</f>
        <v>0.0736075445929306</v>
      </c>
      <c r="H385" s="8" t="n">
        <f aca="true">NORMINV(RAND(),Assumptions!$B$14,Assumptions!$B$15)</f>
        <v>-0.015345156382511</v>
      </c>
      <c r="I385" s="8" t="n">
        <f aca="true">NORMINV(RAND(),Assumptions!$B$14,Assumptions!$B$15)</f>
        <v>0.064800680413511</v>
      </c>
      <c r="J385" s="8" t="n">
        <f aca="true">NORMINV(RAND(),Assumptions!$B$14,Assumptions!$B$15)</f>
        <v>0.0368164877102168</v>
      </c>
      <c r="K385" s="8" t="n">
        <f aca="true">NORMINV(RAND(),Assumptions!$B$14,Assumptions!$B$15)</f>
        <v>0.0400158562010117</v>
      </c>
      <c r="L385" s="8" t="n">
        <f aca="true">NORMINV(RAND(),Assumptions!$B$14,Assumptions!$B$15)</f>
        <v>0.0401566903065978</v>
      </c>
      <c r="M385" s="6" t="n">
        <f aca="false">B385-Assumptions!$B$29</f>
        <v>391263.996662504</v>
      </c>
      <c r="N385" s="6" t="n">
        <f aca="false">W385-Assumptions!$B$29</f>
        <v>356703.256122178</v>
      </c>
      <c r="O385" s="6" t="n">
        <f aca="false">X385-Assumptions!$B$29</f>
        <v>310385.793143385</v>
      </c>
      <c r="P385" s="6" t="n">
        <f aca="false">Y385-Assumptions!$B$29</f>
        <v>281745.172676674</v>
      </c>
      <c r="Q385" s="6" t="n">
        <f aca="false">Z385-Assumptions!$B$29</f>
        <v>237088.774640681</v>
      </c>
      <c r="R385" s="6" t="n">
        <f aca="false">AA385-Assumptions!$B$29</f>
        <v>204540.297192529</v>
      </c>
      <c r="S385" s="6" t="n">
        <f aca="false">AB385-Assumptions!$B$29</f>
        <v>151401.594345584</v>
      </c>
      <c r="T385" s="6" t="n">
        <f aca="false">AC385-Assumptions!$B$29</f>
        <v>111212.520674868</v>
      </c>
      <c r="U385" s="6" t="n">
        <f aca="false">AD385-Assumptions!$B$29</f>
        <v>65306.9750755167</v>
      </c>
      <c r="V385" s="6" t="n">
        <f aca="false">AE385-Assumptions!$B$29</f>
        <v>17920.2895990616</v>
      </c>
      <c r="W385" s="6" t="n">
        <f aca="false">M385*(1+C385)</f>
        <v>406703.256122178</v>
      </c>
      <c r="X385" s="6" t="n">
        <f aca="false">N385*(1+D385)</f>
        <v>360385.793143385</v>
      </c>
      <c r="Y385" s="6" t="n">
        <f aca="false">O385*(1+E385)</f>
        <v>331745.172676674</v>
      </c>
      <c r="Z385" s="6" t="n">
        <f aca="false">P385*(1+F385)</f>
        <v>287088.774640681</v>
      </c>
      <c r="AA385" s="6" t="n">
        <f aca="false">Q385*(1+G385)</f>
        <v>254540.297192529</v>
      </c>
      <c r="AB385" s="6" t="n">
        <f aca="false">R385*(1+H385)</f>
        <v>201401.594345584</v>
      </c>
      <c r="AC385" s="6" t="n">
        <f aca="false">S385*(1+I385)</f>
        <v>161212.520674868</v>
      </c>
      <c r="AD385" s="6" t="n">
        <f aca="false">T385*(1+J385)</f>
        <v>115306.975075517</v>
      </c>
      <c r="AE385" s="6" t="n">
        <f aca="false">U385*(1+K385)</f>
        <v>67920.2895990616</v>
      </c>
      <c r="AF385" s="6" t="n">
        <f aca="false">V385*(1+L385)</f>
        <v>18639.9091186957</v>
      </c>
      <c r="AG385" s="6" t="n">
        <f aca="false">MIN(M385:V385)</f>
        <v>17920.2895990616</v>
      </c>
      <c r="AH385" s="19" t="n">
        <f aca="false">IF(AG385&gt;=0,1,0)</f>
        <v>1</v>
      </c>
    </row>
    <row r="386" customFormat="false" ht="15" hidden="false" customHeight="false" outlineLevel="0" collapsed="false">
      <c r="A386" s="0" t="n">
        <f aca="false">ROW()-1</f>
        <v>385</v>
      </c>
      <c r="B386" s="6" t="n">
        <f aca="false">Assumptions!$B$35</f>
        <v>441263.996662504</v>
      </c>
      <c r="C386" s="8" t="n">
        <f aca="true">NORMINV(RAND(),Assumptions!$B$14,Assumptions!$B$15)</f>
        <v>0.0241559259570867</v>
      </c>
      <c r="D386" s="8" t="n">
        <f aca="true">NORMINV(RAND(),Assumptions!$B$14,Assumptions!$B$15)</f>
        <v>0.0459069611245713</v>
      </c>
      <c r="E386" s="8" t="n">
        <f aca="true">NORMINV(RAND(),Assumptions!$B$14,Assumptions!$B$15)</f>
        <v>0.0749636201600926</v>
      </c>
      <c r="F386" s="8" t="n">
        <f aca="true">NORMINV(RAND(),Assumptions!$B$14,Assumptions!$B$15)</f>
        <v>0.0545402016496532</v>
      </c>
      <c r="G386" s="8" t="n">
        <f aca="true">NORMINV(RAND(),Assumptions!$B$14,Assumptions!$B$15)</f>
        <v>0.0174585322973803</v>
      </c>
      <c r="H386" s="8" t="n">
        <f aca="true">NORMINV(RAND(),Assumptions!$B$14,Assumptions!$B$15)</f>
        <v>0.0557974890491819</v>
      </c>
      <c r="I386" s="8" t="n">
        <f aca="true">NORMINV(RAND(),Assumptions!$B$14,Assumptions!$B$15)</f>
        <v>0.0833693124291772</v>
      </c>
      <c r="J386" s="8" t="n">
        <f aca="true">NORMINV(RAND(),Assumptions!$B$14,Assumptions!$B$15)</f>
        <v>0.0401144285341138</v>
      </c>
      <c r="K386" s="8" t="n">
        <f aca="true">NORMINV(RAND(),Assumptions!$B$14,Assumptions!$B$15)</f>
        <v>0.053391303932687</v>
      </c>
      <c r="L386" s="8" t="n">
        <f aca="true">NORMINV(RAND(),Assumptions!$B$14,Assumptions!$B$15)</f>
        <v>0.080847262211845</v>
      </c>
      <c r="M386" s="6" t="n">
        <f aca="false">B386-Assumptions!$B$29</f>
        <v>391263.996662504</v>
      </c>
      <c r="N386" s="6" t="n">
        <f aca="false">W386-Assumptions!$B$29</f>
        <v>350715.340795557</v>
      </c>
      <c r="O386" s="6" t="n">
        <f aca="false">X386-Assumptions!$B$29</f>
        <v>316815.616311249</v>
      </c>
      <c r="P386" s="6" t="n">
        <f aca="false">Y386-Assumptions!$B$29</f>
        <v>290565.261833191</v>
      </c>
      <c r="Q386" s="6" t="n">
        <f aca="false">Z386-Assumptions!$B$29</f>
        <v>256412.749805958</v>
      </c>
      <c r="R386" s="6" t="n">
        <f aca="false">AA386-Assumptions!$B$29</f>
        <v>210889.340079905</v>
      </c>
      <c r="S386" s="6" t="n">
        <f aca="false">AB386-Assumptions!$B$29</f>
        <v>172656.435723603</v>
      </c>
      <c r="T386" s="6" t="n">
        <f aca="false">AC386-Assumptions!$B$29</f>
        <v>137050.684056352</v>
      </c>
      <c r="U386" s="6" t="n">
        <f aca="false">AD386-Assumptions!$B$29</f>
        <v>92548.393927482</v>
      </c>
      <c r="V386" s="6" t="n">
        <f aca="false">AE386-Assumptions!$B$29</f>
        <v>47489.6733561462</v>
      </c>
      <c r="W386" s="6" t="n">
        <f aca="false">M386*(1+C386)</f>
        <v>400715.340795557</v>
      </c>
      <c r="X386" s="6" t="n">
        <f aca="false">N386*(1+D386)</f>
        <v>366815.616311249</v>
      </c>
      <c r="Y386" s="6" t="n">
        <f aca="false">O386*(1+E386)</f>
        <v>340565.261833191</v>
      </c>
      <c r="Z386" s="6" t="n">
        <f aca="false">P386*(1+F386)</f>
        <v>306412.749805958</v>
      </c>
      <c r="AA386" s="6" t="n">
        <f aca="false">Q386*(1+G386)</f>
        <v>260889.340079905</v>
      </c>
      <c r="AB386" s="6" t="n">
        <f aca="false">R386*(1+H386)</f>
        <v>222656.435723603</v>
      </c>
      <c r="AC386" s="6" t="n">
        <f aca="false">S386*(1+I386)</f>
        <v>187050.684056352</v>
      </c>
      <c r="AD386" s="6" t="n">
        <f aca="false">T386*(1+J386)</f>
        <v>142548.393927482</v>
      </c>
      <c r="AE386" s="6" t="n">
        <f aca="false">U386*(1+K386)</f>
        <v>97489.6733561463</v>
      </c>
      <c r="AF386" s="6" t="n">
        <f aca="false">V386*(1+L386)</f>
        <v>51329.0834303255</v>
      </c>
      <c r="AG386" s="6" t="n">
        <f aca="false">MIN(M386:V386)</f>
        <v>47489.6733561462</v>
      </c>
      <c r="AH386" s="19" t="n">
        <f aca="false">IF(AG386&gt;=0,1,0)</f>
        <v>1</v>
      </c>
    </row>
    <row r="387" customFormat="false" ht="15" hidden="false" customHeight="false" outlineLevel="0" collapsed="false">
      <c r="A387" s="0" t="n">
        <f aca="false">ROW()-1</f>
        <v>386</v>
      </c>
      <c r="B387" s="6" t="n">
        <f aca="false">Assumptions!$B$35</f>
        <v>441263.996662504</v>
      </c>
      <c r="C387" s="8" t="n">
        <f aca="true">NORMINV(RAND(),Assumptions!$B$14,Assumptions!$B$15)</f>
        <v>0.0968388596214434</v>
      </c>
      <c r="D387" s="8" t="n">
        <f aca="true">NORMINV(RAND(),Assumptions!$B$14,Assumptions!$B$15)</f>
        <v>0.0259000437488508</v>
      </c>
      <c r="E387" s="8" t="n">
        <f aca="true">NORMINV(RAND(),Assumptions!$B$14,Assumptions!$B$15)</f>
        <v>0.0421093544622859</v>
      </c>
      <c r="F387" s="8" t="n">
        <f aca="true">NORMINV(RAND(),Assumptions!$B$14,Assumptions!$B$15)</f>
        <v>0.023689969620179</v>
      </c>
      <c r="G387" s="8" t="n">
        <f aca="true">NORMINV(RAND(),Assumptions!$B$14,Assumptions!$B$15)</f>
        <v>0.0104619426412911</v>
      </c>
      <c r="H387" s="8" t="n">
        <f aca="true">NORMINV(RAND(),Assumptions!$B$14,Assumptions!$B$15)</f>
        <v>-0.0116890871313843</v>
      </c>
      <c r="I387" s="8" t="n">
        <f aca="true">NORMINV(RAND(),Assumptions!$B$14,Assumptions!$B$15)</f>
        <v>0.00856163855135507</v>
      </c>
      <c r="J387" s="8" t="n">
        <f aca="true">NORMINV(RAND(),Assumptions!$B$14,Assumptions!$B$15)</f>
        <v>0.0157359693465234</v>
      </c>
      <c r="K387" s="8" t="n">
        <f aca="true">NORMINV(RAND(),Assumptions!$B$14,Assumptions!$B$15)</f>
        <v>0.0644639650053754</v>
      </c>
      <c r="L387" s="8" t="n">
        <f aca="true">NORMINV(RAND(),Assumptions!$B$14,Assumptions!$B$15)</f>
        <v>0.0170747509259208</v>
      </c>
      <c r="M387" s="6" t="n">
        <f aca="false">B387-Assumptions!$B$29</f>
        <v>391263.996662504</v>
      </c>
      <c r="N387" s="6" t="n">
        <f aca="false">W387-Assumptions!$B$29</f>
        <v>379153.555910229</v>
      </c>
      <c r="O387" s="6" t="n">
        <f aca="false">X387-Assumptions!$B$29</f>
        <v>338973.649595836</v>
      </c>
      <c r="P387" s="6" t="n">
        <f aca="false">Y387-Assumptions!$B$29</f>
        <v>303247.611160042</v>
      </c>
      <c r="Q387" s="6" t="n">
        <f aca="false">Z387-Assumptions!$B$29</f>
        <v>260431.537855815</v>
      </c>
      <c r="R387" s="6" t="n">
        <f aca="false">AA387-Assumptions!$B$29</f>
        <v>213156.157666846</v>
      </c>
      <c r="S387" s="6" t="n">
        <f aca="false">AB387-Assumptions!$B$29</f>
        <v>160664.556767287</v>
      </c>
      <c r="T387" s="6" t="n">
        <f aca="false">AC387-Assumptions!$B$29</f>
        <v>112040.108630342</v>
      </c>
      <c r="U387" s="6" t="n">
        <f aca="false">AD387-Assumptions!$B$29</f>
        <v>63803.1683453301</v>
      </c>
      <c r="V387" s="6" t="n">
        <f aca="false">AE387-Assumptions!$B$29</f>
        <v>17916.1735567755</v>
      </c>
      <c r="W387" s="6" t="n">
        <f aca="false">M387*(1+C387)</f>
        <v>429153.555910229</v>
      </c>
      <c r="X387" s="6" t="n">
        <f aca="false">N387*(1+D387)</f>
        <v>388973.649595836</v>
      </c>
      <c r="Y387" s="6" t="n">
        <f aca="false">O387*(1+E387)</f>
        <v>353247.611160042</v>
      </c>
      <c r="Z387" s="6" t="n">
        <f aca="false">P387*(1+F387)</f>
        <v>310431.537855815</v>
      </c>
      <c r="AA387" s="6" t="n">
        <f aca="false">Q387*(1+G387)</f>
        <v>263156.157666846</v>
      </c>
      <c r="AB387" s="6" t="n">
        <f aca="false">R387*(1+H387)</f>
        <v>210664.556767287</v>
      </c>
      <c r="AC387" s="6" t="n">
        <f aca="false">S387*(1+I387)</f>
        <v>162040.108630342</v>
      </c>
      <c r="AD387" s="6" t="n">
        <f aca="false">T387*(1+J387)</f>
        <v>113803.16834533</v>
      </c>
      <c r="AE387" s="6" t="n">
        <f aca="false">U387*(1+K387)</f>
        <v>67916.1735567755</v>
      </c>
      <c r="AF387" s="6" t="n">
        <f aca="false">V387*(1+L387)</f>
        <v>18222.087757803</v>
      </c>
      <c r="AG387" s="6" t="n">
        <f aca="false">MIN(M387:V387)</f>
        <v>17916.1735567755</v>
      </c>
      <c r="AH387" s="19" t="n">
        <f aca="false">IF(AG387&gt;=0,1,0)</f>
        <v>1</v>
      </c>
    </row>
    <row r="388" customFormat="false" ht="15" hidden="false" customHeight="false" outlineLevel="0" collapsed="false">
      <c r="A388" s="0" t="n">
        <f aca="false">ROW()-1</f>
        <v>387</v>
      </c>
      <c r="B388" s="6" t="n">
        <f aca="false">Assumptions!$B$35</f>
        <v>441263.996662504</v>
      </c>
      <c r="C388" s="8" t="n">
        <f aca="true">NORMINV(RAND(),Assumptions!$B$14,Assumptions!$B$15)</f>
        <v>0.088068355756526</v>
      </c>
      <c r="D388" s="8" t="n">
        <f aca="true">NORMINV(RAND(),Assumptions!$B$14,Assumptions!$B$15)</f>
        <v>0.0555641571721198</v>
      </c>
      <c r="E388" s="8" t="n">
        <f aca="true">NORMINV(RAND(),Assumptions!$B$14,Assumptions!$B$15)</f>
        <v>0.0943831851100944</v>
      </c>
      <c r="F388" s="8" t="n">
        <f aca="true">NORMINV(RAND(),Assumptions!$B$14,Assumptions!$B$15)</f>
        <v>0.0670905116369119</v>
      </c>
      <c r="G388" s="8" t="n">
        <f aca="true">NORMINV(RAND(),Assumptions!$B$14,Assumptions!$B$15)</f>
        <v>0.022908635412931</v>
      </c>
      <c r="H388" s="8" t="n">
        <f aca="true">NORMINV(RAND(),Assumptions!$B$14,Assumptions!$B$15)</f>
        <v>-0.022324308359656</v>
      </c>
      <c r="I388" s="8" t="n">
        <f aca="true">NORMINV(RAND(),Assumptions!$B$14,Assumptions!$B$15)</f>
        <v>0.016340005124442</v>
      </c>
      <c r="J388" s="8" t="n">
        <f aca="true">NORMINV(RAND(),Assumptions!$B$14,Assumptions!$B$15)</f>
        <v>0.0221419144192662</v>
      </c>
      <c r="K388" s="8" t="n">
        <f aca="true">NORMINV(RAND(),Assumptions!$B$14,Assumptions!$B$15)</f>
        <v>0.0760263439357806</v>
      </c>
      <c r="L388" s="8" t="n">
        <f aca="true">NORMINV(RAND(),Assumptions!$B$14,Assumptions!$B$15)</f>
        <v>0.00795998135929015</v>
      </c>
      <c r="M388" s="6" t="n">
        <f aca="false">B388-Assumptions!$B$29</f>
        <v>391263.996662504</v>
      </c>
      <c r="N388" s="6" t="n">
        <f aca="false">W388-Assumptions!$B$29</f>
        <v>375721.973515297</v>
      </c>
      <c r="O388" s="6" t="n">
        <f aca="false">X388-Assumptions!$B$29</f>
        <v>346598.64830472</v>
      </c>
      <c r="P388" s="6" t="n">
        <f aca="false">Y388-Assumptions!$B$29</f>
        <v>329311.732686573</v>
      </c>
      <c r="Q388" s="6" t="n">
        <f aca="false">Z388-Assumptions!$B$29</f>
        <v>301405.425320553</v>
      </c>
      <c r="R388" s="6" t="n">
        <f aca="false">AA388-Assumptions!$B$29</f>
        <v>258310.212320701</v>
      </c>
      <c r="S388" s="6" t="n">
        <f aca="false">AB388-Assumptions!$B$29</f>
        <v>202543.615488406</v>
      </c>
      <c r="T388" s="6" t="n">
        <f aca="false">AC388-Assumptions!$B$29</f>
        <v>155853.179203409</v>
      </c>
      <c r="U388" s="6" t="n">
        <f aca="false">AD388-Assumptions!$B$29</f>
        <v>109304.066959302</v>
      </c>
      <c r="V388" s="6" t="n">
        <f aca="false">AE388-Assumptions!$B$29</f>
        <v>67614.055547529</v>
      </c>
      <c r="W388" s="6" t="n">
        <f aca="false">M388*(1+C388)</f>
        <v>425721.973515297</v>
      </c>
      <c r="X388" s="6" t="n">
        <f aca="false">N388*(1+D388)</f>
        <v>396598.64830472</v>
      </c>
      <c r="Y388" s="6" t="n">
        <f aca="false">O388*(1+E388)</f>
        <v>379311.732686573</v>
      </c>
      <c r="Z388" s="6" t="n">
        <f aca="false">P388*(1+F388)</f>
        <v>351405.425320553</v>
      </c>
      <c r="AA388" s="6" t="n">
        <f aca="false">Q388*(1+G388)</f>
        <v>308310.212320701</v>
      </c>
      <c r="AB388" s="6" t="n">
        <f aca="false">R388*(1+H388)</f>
        <v>252543.615488406</v>
      </c>
      <c r="AC388" s="6" t="n">
        <f aca="false">S388*(1+I388)</f>
        <v>205853.179203409</v>
      </c>
      <c r="AD388" s="6" t="n">
        <f aca="false">T388*(1+J388)</f>
        <v>159304.066959302</v>
      </c>
      <c r="AE388" s="6" t="n">
        <f aca="false">U388*(1+K388)</f>
        <v>117614.055547529</v>
      </c>
      <c r="AF388" s="6" t="n">
        <f aca="false">V388*(1+L388)</f>
        <v>68152.2621693133</v>
      </c>
      <c r="AG388" s="6" t="n">
        <f aca="false">MIN(M388:V388)</f>
        <v>67614.055547529</v>
      </c>
      <c r="AH388" s="19" t="n">
        <f aca="false">IF(AG388&gt;=0,1,0)</f>
        <v>1</v>
      </c>
    </row>
    <row r="389" customFormat="false" ht="15" hidden="false" customHeight="false" outlineLevel="0" collapsed="false">
      <c r="A389" s="0" t="n">
        <f aca="false">ROW()-1</f>
        <v>388</v>
      </c>
      <c r="B389" s="6" t="n">
        <f aca="false">Assumptions!$B$35</f>
        <v>441263.996662504</v>
      </c>
      <c r="C389" s="8" t="n">
        <f aca="true">NORMINV(RAND(),Assumptions!$B$14,Assumptions!$B$15)</f>
        <v>0.0512178031168285</v>
      </c>
      <c r="D389" s="8" t="n">
        <f aca="true">NORMINV(RAND(),Assumptions!$B$14,Assumptions!$B$15)</f>
        <v>0.113568793850119</v>
      </c>
      <c r="E389" s="8" t="n">
        <f aca="true">NORMINV(RAND(),Assumptions!$B$14,Assumptions!$B$15)</f>
        <v>0.0586134936833653</v>
      </c>
      <c r="F389" s="8" t="n">
        <f aca="true">NORMINV(RAND(),Assumptions!$B$14,Assumptions!$B$15)</f>
        <v>0.0196127499412912</v>
      </c>
      <c r="G389" s="8" t="n">
        <f aca="true">NORMINV(RAND(),Assumptions!$B$14,Assumptions!$B$15)</f>
        <v>0.00752162168036332</v>
      </c>
      <c r="H389" s="8" t="n">
        <f aca="true">NORMINV(RAND(),Assumptions!$B$14,Assumptions!$B$15)</f>
        <v>0.0837947661044181</v>
      </c>
      <c r="I389" s="8" t="n">
        <f aca="true">NORMINV(RAND(),Assumptions!$B$14,Assumptions!$B$15)</f>
        <v>0.0474470284491752</v>
      </c>
      <c r="J389" s="8" t="n">
        <f aca="true">NORMINV(RAND(),Assumptions!$B$14,Assumptions!$B$15)</f>
        <v>0.0505438455705257</v>
      </c>
      <c r="K389" s="8" t="n">
        <f aca="true">NORMINV(RAND(),Assumptions!$B$14,Assumptions!$B$15)</f>
        <v>0.0565202111465174</v>
      </c>
      <c r="L389" s="8" t="n">
        <f aca="true">NORMINV(RAND(),Assumptions!$B$14,Assumptions!$B$15)</f>
        <v>0.0461819016951948</v>
      </c>
      <c r="M389" s="6" t="n">
        <f aca="false">B389-Assumptions!$B$29</f>
        <v>391263.996662504</v>
      </c>
      <c r="N389" s="6" t="n">
        <f aca="false">W389-Assumptions!$B$29</f>
        <v>361303.679010267</v>
      </c>
      <c r="O389" s="6" t="n">
        <f aca="false">X389-Assumptions!$B$29</f>
        <v>352336.502049074</v>
      </c>
      <c r="P389" s="6" t="n">
        <f aca="false">Y389-Assumptions!$B$29</f>
        <v>322988.175386346</v>
      </c>
      <c r="Q389" s="6" t="n">
        <f aca="false">Z389-Assumptions!$B$29</f>
        <v>279322.861704193</v>
      </c>
      <c r="R389" s="6" t="n">
        <f aca="false">AA389-Assumptions!$B$29</f>
        <v>231423.822596608</v>
      </c>
      <c r="S389" s="6" t="n">
        <f aca="false">AB389-Assumptions!$B$29</f>
        <v>200815.927682081</v>
      </c>
      <c r="T389" s="6" t="n">
        <f aca="false">AC389-Assumptions!$B$29</f>
        <v>160344.04671586</v>
      </c>
      <c r="U389" s="6" t="n">
        <f aca="false">AD389-Assumptions!$B$29</f>
        <v>118448.45145122</v>
      </c>
      <c r="V389" s="6" t="n">
        <f aca="false">AE389-Assumptions!$B$29</f>
        <v>75143.1829372209</v>
      </c>
      <c r="W389" s="6" t="n">
        <f aca="false">M389*(1+C389)</f>
        <v>411303.679010267</v>
      </c>
      <c r="X389" s="6" t="n">
        <f aca="false">N389*(1+D389)</f>
        <v>402336.502049074</v>
      </c>
      <c r="Y389" s="6" t="n">
        <f aca="false">O389*(1+E389)</f>
        <v>372988.175386346</v>
      </c>
      <c r="Z389" s="6" t="n">
        <f aca="false">P389*(1+F389)</f>
        <v>329322.861704193</v>
      </c>
      <c r="AA389" s="6" t="n">
        <f aca="false">Q389*(1+G389)</f>
        <v>281423.822596608</v>
      </c>
      <c r="AB389" s="6" t="n">
        <f aca="false">R389*(1+H389)</f>
        <v>250815.927682081</v>
      </c>
      <c r="AC389" s="6" t="n">
        <f aca="false">S389*(1+I389)</f>
        <v>210344.04671586</v>
      </c>
      <c r="AD389" s="6" t="n">
        <f aca="false">T389*(1+J389)</f>
        <v>168448.45145122</v>
      </c>
      <c r="AE389" s="6" t="n">
        <f aca="false">U389*(1+K389)</f>
        <v>125143.182937221</v>
      </c>
      <c r="AF389" s="6" t="n">
        <f aca="false">V389*(1+L389)</f>
        <v>78613.4380246916</v>
      </c>
      <c r="AG389" s="6" t="n">
        <f aca="false">MIN(M389:V389)</f>
        <v>75143.1829372209</v>
      </c>
      <c r="AH389" s="19" t="n">
        <f aca="false">IF(AG389&gt;=0,1,0)</f>
        <v>1</v>
      </c>
    </row>
    <row r="390" customFormat="false" ht="15" hidden="false" customHeight="false" outlineLevel="0" collapsed="false">
      <c r="A390" s="0" t="n">
        <f aca="false">ROW()-1</f>
        <v>389</v>
      </c>
      <c r="B390" s="6" t="n">
        <f aca="false">Assumptions!$B$35</f>
        <v>441263.996662504</v>
      </c>
      <c r="C390" s="8" t="n">
        <f aca="true">NORMINV(RAND(),Assumptions!$B$14,Assumptions!$B$15)</f>
        <v>0.134134874113727</v>
      </c>
      <c r="D390" s="8" t="n">
        <f aca="true">NORMINV(RAND(),Assumptions!$B$14,Assumptions!$B$15)</f>
        <v>0.0648778978461393</v>
      </c>
      <c r="E390" s="8" t="n">
        <f aca="true">NORMINV(RAND(),Assumptions!$B$14,Assumptions!$B$15)</f>
        <v>0.0153386168098123</v>
      </c>
      <c r="F390" s="8" t="n">
        <f aca="true">NORMINV(RAND(),Assumptions!$B$14,Assumptions!$B$15)</f>
        <v>0.0743674120905045</v>
      </c>
      <c r="G390" s="8" t="n">
        <f aca="true">NORMINV(RAND(),Assumptions!$B$14,Assumptions!$B$15)</f>
        <v>0.0745276064320604</v>
      </c>
      <c r="H390" s="8" t="n">
        <f aca="true">NORMINV(RAND(),Assumptions!$B$14,Assumptions!$B$15)</f>
        <v>0.0653498652438082</v>
      </c>
      <c r="I390" s="8" t="n">
        <f aca="true">NORMINV(RAND(),Assumptions!$B$14,Assumptions!$B$15)</f>
        <v>-0.00486272902174564</v>
      </c>
      <c r="J390" s="8" t="n">
        <f aca="true">NORMINV(RAND(),Assumptions!$B$14,Assumptions!$B$15)</f>
        <v>0.0309459247943634</v>
      </c>
      <c r="K390" s="8" t="n">
        <f aca="true">NORMINV(RAND(),Assumptions!$B$14,Assumptions!$B$15)</f>
        <v>0.0535780821113119</v>
      </c>
      <c r="L390" s="8" t="n">
        <f aca="true">NORMINV(RAND(),Assumptions!$B$14,Assumptions!$B$15)</f>
        <v>0.0439837463850415</v>
      </c>
      <c r="M390" s="6" t="n">
        <f aca="false">B390-Assumptions!$B$29</f>
        <v>391263.996662504</v>
      </c>
      <c r="N390" s="6" t="n">
        <f aca="false">W390-Assumptions!$B$29</f>
        <v>393746.143600062</v>
      </c>
      <c r="O390" s="6" t="n">
        <f aca="false">X390-Assumptions!$B$29</f>
        <v>369291.565681858</v>
      </c>
      <c r="P390" s="6" t="n">
        <f aca="false">Y390-Assumptions!$B$29</f>
        <v>324955.987498948</v>
      </c>
      <c r="Q390" s="6" t="n">
        <f aca="false">Z390-Assumptions!$B$29</f>
        <v>299122.123332559</v>
      </c>
      <c r="R390" s="6" t="n">
        <f aca="false">AA390-Assumptions!$B$29</f>
        <v>271414.97921541</v>
      </c>
      <c r="S390" s="6" t="n">
        <f aca="false">AB390-Assumptions!$B$29</f>
        <v>239151.911532288</v>
      </c>
      <c r="T390" s="6" t="n">
        <f aca="false">AC390-Assumptions!$B$29</f>
        <v>187988.980591474</v>
      </c>
      <c r="U390" s="6" t="n">
        <f aca="false">AD390-Assumptions!$B$29</f>
        <v>143806.473447027</v>
      </c>
      <c r="V390" s="6" t="n">
        <f aca="false">AE390-Assumptions!$B$29</f>
        <v>101511.34848951</v>
      </c>
      <c r="W390" s="6" t="n">
        <f aca="false">M390*(1+C390)</f>
        <v>443746.143600062</v>
      </c>
      <c r="X390" s="6" t="n">
        <f aca="false">N390*(1+D390)</f>
        <v>419291.565681858</v>
      </c>
      <c r="Y390" s="6" t="n">
        <f aca="false">O390*(1+E390)</f>
        <v>374955.987498948</v>
      </c>
      <c r="Z390" s="6" t="n">
        <f aca="false">P390*(1+F390)</f>
        <v>349122.123332559</v>
      </c>
      <c r="AA390" s="6" t="n">
        <f aca="false">Q390*(1+G390)</f>
        <v>321414.97921541</v>
      </c>
      <c r="AB390" s="6" t="n">
        <f aca="false">R390*(1+H390)</f>
        <v>289151.911532288</v>
      </c>
      <c r="AC390" s="6" t="n">
        <f aca="false">S390*(1+I390)</f>
        <v>237988.980591474</v>
      </c>
      <c r="AD390" s="6" t="n">
        <f aca="false">T390*(1+J390)</f>
        <v>193806.473447027</v>
      </c>
      <c r="AE390" s="6" t="n">
        <f aca="false">U390*(1+K390)</f>
        <v>151511.34848951</v>
      </c>
      <c r="AF390" s="6" t="n">
        <f aca="false">V390*(1+L390)</f>
        <v>105976.197896676</v>
      </c>
      <c r="AG390" s="6" t="n">
        <f aca="false">MIN(M390:V390)</f>
        <v>101511.34848951</v>
      </c>
      <c r="AH390" s="19" t="n">
        <f aca="false">IF(AG390&gt;=0,1,0)</f>
        <v>1</v>
      </c>
    </row>
    <row r="391" customFormat="false" ht="15" hidden="false" customHeight="false" outlineLevel="0" collapsed="false">
      <c r="A391" s="0" t="n">
        <f aca="false">ROW()-1</f>
        <v>390</v>
      </c>
      <c r="B391" s="6" t="n">
        <f aca="false">Assumptions!$B$35</f>
        <v>441263.996662504</v>
      </c>
      <c r="C391" s="8" t="n">
        <f aca="true">NORMINV(RAND(),Assumptions!$B$14,Assumptions!$B$15)</f>
        <v>0.0810212360669213</v>
      </c>
      <c r="D391" s="8" t="n">
        <f aca="true">NORMINV(RAND(),Assumptions!$B$14,Assumptions!$B$15)</f>
        <v>0.0438727526939518</v>
      </c>
      <c r="E391" s="8" t="n">
        <f aca="true">NORMINV(RAND(),Assumptions!$B$14,Assumptions!$B$15)</f>
        <v>0.048985165427249</v>
      </c>
      <c r="F391" s="8" t="n">
        <f aca="true">NORMINV(RAND(),Assumptions!$B$14,Assumptions!$B$15)</f>
        <v>0.0481270471904276</v>
      </c>
      <c r="G391" s="8" t="n">
        <f aca="true">NORMINV(RAND(),Assumptions!$B$14,Assumptions!$B$15)</f>
        <v>-0.0369526903438869</v>
      </c>
      <c r="H391" s="8" t="n">
        <f aca="true">NORMINV(RAND(),Assumptions!$B$14,Assumptions!$B$15)</f>
        <v>0.0351117963956661</v>
      </c>
      <c r="I391" s="8" t="n">
        <f aca="true">NORMINV(RAND(),Assumptions!$B$14,Assumptions!$B$15)</f>
        <v>0.0213024725858196</v>
      </c>
      <c r="J391" s="8" t="n">
        <f aca="true">NORMINV(RAND(),Assumptions!$B$14,Assumptions!$B$15)</f>
        <v>0.0340034319759153</v>
      </c>
      <c r="K391" s="8" t="n">
        <f aca="true">NORMINV(RAND(),Assumptions!$B$14,Assumptions!$B$15)</f>
        <v>0.0672683929027436</v>
      </c>
      <c r="L391" s="8" t="n">
        <f aca="true">NORMINV(RAND(),Assumptions!$B$14,Assumptions!$B$15)</f>
        <v>0.0435887603661177</v>
      </c>
      <c r="M391" s="6" t="n">
        <f aca="false">B391-Assumptions!$B$29</f>
        <v>391263.996662504</v>
      </c>
      <c r="N391" s="6" t="n">
        <f aca="false">W391-Assumptions!$B$29</f>
        <v>372964.689300583</v>
      </c>
      <c r="O391" s="6" t="n">
        <f aca="false">X391-Assumptions!$B$29</f>
        <v>339327.676877844</v>
      </c>
      <c r="P391" s="6" t="n">
        <f aca="false">Y391-Assumptions!$B$29</f>
        <v>305949.69926375</v>
      </c>
      <c r="Q391" s="6" t="n">
        <f aca="false">Z391-Assumptions!$B$29</f>
        <v>270674.154878113</v>
      </c>
      <c r="R391" s="6" t="n">
        <f aca="false">AA391-Assumptions!$B$29</f>
        <v>210672.016648809</v>
      </c>
      <c r="S391" s="6" t="n">
        <f aca="false">AB391-Assumptions!$B$29</f>
        <v>168069.089603646</v>
      </c>
      <c r="T391" s="6" t="n">
        <f aca="false">AC391-Assumptions!$B$29</f>
        <v>121649.376777452</v>
      </c>
      <c r="U391" s="6" t="n">
        <f aca="false">AD391-Assumptions!$B$29</f>
        <v>75785.8730856163</v>
      </c>
      <c r="V391" s="6" t="n">
        <f aca="false">AE391-Assumptions!$B$29</f>
        <v>30883.866972817</v>
      </c>
      <c r="W391" s="6" t="n">
        <f aca="false">M391*(1+C391)</f>
        <v>422964.689300583</v>
      </c>
      <c r="X391" s="6" t="n">
        <f aca="false">N391*(1+D391)</f>
        <v>389327.676877844</v>
      </c>
      <c r="Y391" s="6" t="n">
        <f aca="false">O391*(1+E391)</f>
        <v>355949.69926375</v>
      </c>
      <c r="Z391" s="6" t="n">
        <f aca="false">P391*(1+F391)</f>
        <v>320674.154878113</v>
      </c>
      <c r="AA391" s="6" t="n">
        <f aca="false">Q391*(1+G391)</f>
        <v>260672.016648809</v>
      </c>
      <c r="AB391" s="6" t="n">
        <f aca="false">R391*(1+H391)</f>
        <v>218069.089603646</v>
      </c>
      <c r="AC391" s="6" t="n">
        <f aca="false">S391*(1+I391)</f>
        <v>171649.376777452</v>
      </c>
      <c r="AD391" s="6" t="n">
        <f aca="false">T391*(1+J391)</f>
        <v>125785.873085616</v>
      </c>
      <c r="AE391" s="6" t="n">
        <f aca="false">U391*(1+K391)</f>
        <v>80883.866972817</v>
      </c>
      <c r="AF391" s="6" t="n">
        <f aca="false">V391*(1+L391)</f>
        <v>32230.0564494742</v>
      </c>
      <c r="AG391" s="6" t="n">
        <f aca="false">MIN(M391:V391)</f>
        <v>30883.866972817</v>
      </c>
      <c r="AH391" s="19" t="n">
        <f aca="false">IF(AG391&gt;=0,1,0)</f>
        <v>1</v>
      </c>
    </row>
    <row r="392" customFormat="false" ht="15" hidden="false" customHeight="false" outlineLevel="0" collapsed="false">
      <c r="A392" s="0" t="n">
        <f aca="false">ROW()-1</f>
        <v>391</v>
      </c>
      <c r="B392" s="6" t="n">
        <f aca="false">Assumptions!$B$35</f>
        <v>441263.996662504</v>
      </c>
      <c r="C392" s="8" t="n">
        <f aca="true">NORMINV(RAND(),Assumptions!$B$14,Assumptions!$B$15)</f>
        <v>0.0559094507015075</v>
      </c>
      <c r="D392" s="8" t="n">
        <f aca="true">NORMINV(RAND(),Assumptions!$B$14,Assumptions!$B$15)</f>
        <v>0.0395416607527913</v>
      </c>
      <c r="E392" s="8" t="n">
        <f aca="true">NORMINV(RAND(),Assumptions!$B$14,Assumptions!$B$15)</f>
        <v>0.0648954570763016</v>
      </c>
      <c r="F392" s="8" t="n">
        <f aca="true">NORMINV(RAND(),Assumptions!$B$14,Assumptions!$B$15)</f>
        <v>-0.000311778342793036</v>
      </c>
      <c r="G392" s="8" t="n">
        <f aca="true">NORMINV(RAND(),Assumptions!$B$14,Assumptions!$B$15)</f>
        <v>0.00419009454797067</v>
      </c>
      <c r="H392" s="8" t="n">
        <f aca="true">NORMINV(RAND(),Assumptions!$B$14,Assumptions!$B$15)</f>
        <v>0.0380826645484635</v>
      </c>
      <c r="I392" s="8" t="n">
        <f aca="true">NORMINV(RAND(),Assumptions!$B$14,Assumptions!$B$15)</f>
        <v>0.0518594438608625</v>
      </c>
      <c r="J392" s="8" t="n">
        <f aca="true">NORMINV(RAND(),Assumptions!$B$14,Assumptions!$B$15)</f>
        <v>0.0262299278191168</v>
      </c>
      <c r="K392" s="8" t="n">
        <f aca="true">NORMINV(RAND(),Assumptions!$B$14,Assumptions!$B$15)</f>
        <v>0.0164246224531731</v>
      </c>
      <c r="L392" s="8" t="n">
        <f aca="true">NORMINV(RAND(),Assumptions!$B$14,Assumptions!$B$15)</f>
        <v>0.0322142237713711</v>
      </c>
      <c r="M392" s="6" t="n">
        <f aca="false">B392-Assumptions!$B$29</f>
        <v>391263.996662504</v>
      </c>
      <c r="N392" s="6" t="n">
        <f aca="false">W392-Assumptions!$B$29</f>
        <v>363139.351795181</v>
      </c>
      <c r="O392" s="6" t="n">
        <f aca="false">X392-Assumptions!$B$29</f>
        <v>327498.484849854</v>
      </c>
      <c r="P392" s="6" t="n">
        <f aca="false">Y392-Assumptions!$B$29</f>
        <v>298751.648715982</v>
      </c>
      <c r="Q392" s="6" t="n">
        <f aca="false">Z392-Assumptions!$B$29</f>
        <v>248658.504422038</v>
      </c>
      <c r="R392" s="6" t="n">
        <f aca="false">AA392-Assumptions!$B$29</f>
        <v>199700.407065723</v>
      </c>
      <c r="S392" s="6" t="n">
        <f aca="false">AB392-Assumptions!$B$29</f>
        <v>157305.530678199</v>
      </c>
      <c r="T392" s="6" t="n">
        <f aca="false">AC392-Assumptions!$B$29</f>
        <v>115463.308015408</v>
      </c>
      <c r="U392" s="6" t="n">
        <f aca="false">AD392-Assumptions!$B$29</f>
        <v>68491.9022504089</v>
      </c>
      <c r="V392" s="6" t="n">
        <f aca="false">AE392-Assumptions!$B$29</f>
        <v>19616.8558859715</v>
      </c>
      <c r="W392" s="6" t="n">
        <f aca="false">M392*(1+C392)</f>
        <v>413139.351795181</v>
      </c>
      <c r="X392" s="6" t="n">
        <f aca="false">N392*(1+D392)</f>
        <v>377498.484849854</v>
      </c>
      <c r="Y392" s="6" t="n">
        <f aca="false">O392*(1+E392)</f>
        <v>348751.648715982</v>
      </c>
      <c r="Z392" s="6" t="n">
        <f aca="false">P392*(1+F392)</f>
        <v>298658.504422038</v>
      </c>
      <c r="AA392" s="6" t="n">
        <f aca="false">Q392*(1+G392)</f>
        <v>249700.407065723</v>
      </c>
      <c r="AB392" s="6" t="n">
        <f aca="false">R392*(1+H392)</f>
        <v>207305.530678199</v>
      </c>
      <c r="AC392" s="6" t="n">
        <f aca="false">S392*(1+I392)</f>
        <v>165463.308015408</v>
      </c>
      <c r="AD392" s="6" t="n">
        <f aca="false">T392*(1+J392)</f>
        <v>118491.902250409</v>
      </c>
      <c r="AE392" s="6" t="n">
        <f aca="false">U392*(1+K392)</f>
        <v>69616.8558859715</v>
      </c>
      <c r="AF392" s="6" t="n">
        <f aca="false">V392*(1+L392)</f>
        <v>20248.7976711729</v>
      </c>
      <c r="AG392" s="6" t="n">
        <f aca="false">MIN(M392:V392)</f>
        <v>19616.8558859715</v>
      </c>
      <c r="AH392" s="19" t="n">
        <f aca="false">IF(AG392&gt;=0,1,0)</f>
        <v>1</v>
      </c>
    </row>
    <row r="393" customFormat="false" ht="15" hidden="false" customHeight="false" outlineLevel="0" collapsed="false">
      <c r="A393" s="0" t="n">
        <f aca="false">ROW()-1</f>
        <v>392</v>
      </c>
      <c r="B393" s="6" t="n">
        <f aca="false">Assumptions!$B$35</f>
        <v>441263.996662504</v>
      </c>
      <c r="C393" s="8" t="n">
        <f aca="true">NORMINV(RAND(),Assumptions!$B$14,Assumptions!$B$15)</f>
        <v>0.00814796179458834</v>
      </c>
      <c r="D393" s="8" t="n">
        <f aca="true">NORMINV(RAND(),Assumptions!$B$14,Assumptions!$B$15)</f>
        <v>0.0453720275020181</v>
      </c>
      <c r="E393" s="8" t="n">
        <f aca="true">NORMINV(RAND(),Assumptions!$B$14,Assumptions!$B$15)</f>
        <v>-0.00071608758470014</v>
      </c>
      <c r="F393" s="8" t="n">
        <f aca="true">NORMINV(RAND(),Assumptions!$B$14,Assumptions!$B$15)</f>
        <v>0.064535749994455</v>
      </c>
      <c r="G393" s="8" t="n">
        <f aca="true">NORMINV(RAND(),Assumptions!$B$14,Assumptions!$B$15)</f>
        <v>0.0727720946791743</v>
      </c>
      <c r="H393" s="8" t="n">
        <f aca="true">NORMINV(RAND(),Assumptions!$B$14,Assumptions!$B$15)</f>
        <v>0.0450526821698752</v>
      </c>
      <c r="I393" s="8" t="n">
        <f aca="true">NORMINV(RAND(),Assumptions!$B$14,Assumptions!$B$15)</f>
        <v>0.046873284786662</v>
      </c>
      <c r="J393" s="8" t="n">
        <f aca="true">NORMINV(RAND(),Assumptions!$B$14,Assumptions!$B$15)</f>
        <v>0.016248094967138</v>
      </c>
      <c r="K393" s="8" t="n">
        <f aca="true">NORMINV(RAND(),Assumptions!$B$14,Assumptions!$B$15)</f>
        <v>0.0642732963646996</v>
      </c>
      <c r="L393" s="8" t="n">
        <f aca="true">NORMINV(RAND(),Assumptions!$B$14,Assumptions!$B$15)</f>
        <v>0.0831454264157994</v>
      </c>
      <c r="M393" s="6" t="n">
        <f aca="false">B393-Assumptions!$B$29</f>
        <v>391263.996662504</v>
      </c>
      <c r="N393" s="6" t="n">
        <f aca="false">W393-Assumptions!$B$29</f>
        <v>344452.000758908</v>
      </c>
      <c r="O393" s="6" t="n">
        <f aca="false">X393-Assumptions!$B$29</f>
        <v>310080.486410466</v>
      </c>
      <c r="P393" s="6" t="n">
        <f aca="false">Y393-Assumptions!$B$29</f>
        <v>259858.44162389</v>
      </c>
      <c r="Q393" s="6" t="n">
        <f aca="false">Z393-Assumptions!$B$29</f>
        <v>226628.601046478</v>
      </c>
      <c r="R393" s="6" t="n">
        <f aca="false">AA393-Assumptions!$B$29</f>
        <v>193120.839058841</v>
      </c>
      <c r="S393" s="6" t="n">
        <f aca="false">AB393-Assumptions!$B$29</f>
        <v>151821.450841338</v>
      </c>
      <c r="T393" s="6" t="n">
        <f aca="false">AC393-Assumptions!$B$29</f>
        <v>108937.820943349</v>
      </c>
      <c r="U393" s="6" t="n">
        <f aca="false">AD393-Assumptions!$B$29</f>
        <v>60707.8530035491</v>
      </c>
      <c r="V393" s="6" t="n">
        <f aca="false">AE393-Assumptions!$B$29</f>
        <v>14609.7468313108</v>
      </c>
      <c r="W393" s="6" t="n">
        <f aca="false">M393*(1+C393)</f>
        <v>394452.000758908</v>
      </c>
      <c r="X393" s="6" t="n">
        <f aca="false">N393*(1+D393)</f>
        <v>360080.486410466</v>
      </c>
      <c r="Y393" s="6" t="n">
        <f aca="false">O393*(1+E393)</f>
        <v>309858.44162389</v>
      </c>
      <c r="Z393" s="6" t="n">
        <f aca="false">P393*(1+F393)</f>
        <v>276628.601046478</v>
      </c>
      <c r="AA393" s="6" t="n">
        <f aca="false">Q393*(1+G393)</f>
        <v>243120.839058841</v>
      </c>
      <c r="AB393" s="6" t="n">
        <f aca="false">R393*(1+H393)</f>
        <v>201821.450841338</v>
      </c>
      <c r="AC393" s="6" t="n">
        <f aca="false">S393*(1+I393)</f>
        <v>158937.820943349</v>
      </c>
      <c r="AD393" s="6" t="n">
        <f aca="false">T393*(1+J393)</f>
        <v>110707.853003549</v>
      </c>
      <c r="AE393" s="6" t="n">
        <f aca="false">U393*(1+K393)</f>
        <v>64609.7468313109</v>
      </c>
      <c r="AF393" s="6" t="n">
        <f aca="false">V393*(1+L393)</f>
        <v>15824.4804614271</v>
      </c>
      <c r="AG393" s="6" t="n">
        <f aca="false">MIN(M393:V393)</f>
        <v>14609.7468313108</v>
      </c>
      <c r="AH393" s="19" t="n">
        <f aca="false">IF(AG393&gt;=0,1,0)</f>
        <v>1</v>
      </c>
    </row>
    <row r="394" customFormat="false" ht="15" hidden="false" customHeight="false" outlineLevel="0" collapsed="false">
      <c r="A394" s="0" t="n">
        <f aca="false">ROW()-1</f>
        <v>393</v>
      </c>
      <c r="B394" s="6" t="n">
        <f aca="false">Assumptions!$B$35</f>
        <v>441263.996662504</v>
      </c>
      <c r="C394" s="8" t="n">
        <f aca="true">NORMINV(RAND(),Assumptions!$B$14,Assumptions!$B$15)</f>
        <v>0.013149414550712</v>
      </c>
      <c r="D394" s="8" t="n">
        <f aca="true">NORMINV(RAND(),Assumptions!$B$14,Assumptions!$B$15)</f>
        <v>0.0785970037369514</v>
      </c>
      <c r="E394" s="8" t="n">
        <f aca="true">NORMINV(RAND(),Assumptions!$B$14,Assumptions!$B$15)</f>
        <v>0.097189475656393</v>
      </c>
      <c r="F394" s="8" t="n">
        <f aca="true">NORMINV(RAND(),Assumptions!$B$14,Assumptions!$B$15)</f>
        <v>0.0740284316859035</v>
      </c>
      <c r="G394" s="8" t="n">
        <f aca="true">NORMINV(RAND(),Assumptions!$B$14,Assumptions!$B$15)</f>
        <v>0.0698096212346208</v>
      </c>
      <c r="H394" s="8" t="n">
        <f aca="true">NORMINV(RAND(),Assumptions!$B$14,Assumptions!$B$15)</f>
        <v>0.0437188068063987</v>
      </c>
      <c r="I394" s="8" t="n">
        <f aca="true">NORMINV(RAND(),Assumptions!$B$14,Assumptions!$B$15)</f>
        <v>0.108569325292884</v>
      </c>
      <c r="J394" s="8" t="n">
        <f aca="true">NORMINV(RAND(),Assumptions!$B$14,Assumptions!$B$15)</f>
        <v>0.041523757740415</v>
      </c>
      <c r="K394" s="8" t="n">
        <f aca="true">NORMINV(RAND(),Assumptions!$B$14,Assumptions!$B$15)</f>
        <v>0.0281050894775467</v>
      </c>
      <c r="L394" s="8" t="n">
        <f aca="true">NORMINV(RAND(),Assumptions!$B$14,Assumptions!$B$15)</f>
        <v>0.0930544636583959</v>
      </c>
      <c r="M394" s="6" t="n">
        <f aca="false">B394-Assumptions!$B$29</f>
        <v>391263.996662504</v>
      </c>
      <c r="N394" s="6" t="n">
        <f aca="false">W394-Assumptions!$B$29</f>
        <v>346408.889153387</v>
      </c>
      <c r="O394" s="6" t="n">
        <f aca="false">X394-Assumptions!$B$29</f>
        <v>323635.589908689</v>
      </c>
      <c r="P394" s="6" t="n">
        <f aca="false">Y394-Assumptions!$B$29</f>
        <v>305089.563195662</v>
      </c>
      <c r="Q394" s="6" t="n">
        <f aca="false">Z394-Assumptions!$B$29</f>
        <v>277674.865082774</v>
      </c>
      <c r="R394" s="6" t="n">
        <f aca="false">AA394-Assumptions!$B$29</f>
        <v>247059.242240577</v>
      </c>
      <c r="S394" s="6" t="n">
        <f aca="false">AB394-Assumptions!$B$29</f>
        <v>207860.377521828</v>
      </c>
      <c r="T394" s="6" t="n">
        <f aca="false">AC394-Assumptions!$B$29</f>
        <v>180427.638464497</v>
      </c>
      <c r="U394" s="6" t="n">
        <f aca="false">AD394-Assumptions!$B$29</f>
        <v>137919.672013772</v>
      </c>
      <c r="V394" s="6" t="n">
        <f aca="false">AE394-Assumptions!$B$29</f>
        <v>91795.9167364333</v>
      </c>
      <c r="W394" s="6" t="n">
        <f aca="false">M394*(1+C394)</f>
        <v>396408.889153387</v>
      </c>
      <c r="X394" s="6" t="n">
        <f aca="false">N394*(1+D394)</f>
        <v>373635.589908689</v>
      </c>
      <c r="Y394" s="6" t="n">
        <f aca="false">O394*(1+E394)</f>
        <v>355089.563195662</v>
      </c>
      <c r="Z394" s="6" t="n">
        <f aca="false">P394*(1+F394)</f>
        <v>327674.865082774</v>
      </c>
      <c r="AA394" s="6" t="n">
        <f aca="false">Q394*(1+G394)</f>
        <v>297059.242240577</v>
      </c>
      <c r="AB394" s="6" t="n">
        <f aca="false">R394*(1+H394)</f>
        <v>257860.377521828</v>
      </c>
      <c r="AC394" s="6" t="n">
        <f aca="false">S394*(1+I394)</f>
        <v>230427.638464497</v>
      </c>
      <c r="AD394" s="6" t="n">
        <f aca="false">T394*(1+J394)</f>
        <v>187919.672013772</v>
      </c>
      <c r="AE394" s="6" t="n">
        <f aca="false">U394*(1+K394)</f>
        <v>141795.916736433</v>
      </c>
      <c r="AF394" s="6" t="n">
        <f aca="false">V394*(1+L394)</f>
        <v>100337.936534373</v>
      </c>
      <c r="AG394" s="6" t="n">
        <f aca="false">MIN(M394:V394)</f>
        <v>91795.9167364333</v>
      </c>
      <c r="AH394" s="19" t="n">
        <f aca="false">IF(AG394&gt;=0,1,0)</f>
        <v>1</v>
      </c>
    </row>
    <row r="395" customFormat="false" ht="15" hidden="false" customHeight="false" outlineLevel="0" collapsed="false">
      <c r="A395" s="0" t="n">
        <f aca="false">ROW()-1</f>
        <v>394</v>
      </c>
      <c r="B395" s="6" t="n">
        <f aca="false">Assumptions!$B$35</f>
        <v>441263.996662504</v>
      </c>
      <c r="C395" s="8" t="n">
        <f aca="true">NORMINV(RAND(),Assumptions!$B$14,Assumptions!$B$15)</f>
        <v>0.0487197501106194</v>
      </c>
      <c r="D395" s="8" t="n">
        <f aca="true">NORMINV(RAND(),Assumptions!$B$14,Assumptions!$B$15)</f>
        <v>0.0365989923224208</v>
      </c>
      <c r="E395" s="8" t="n">
        <f aca="true">NORMINV(RAND(),Assumptions!$B$14,Assumptions!$B$15)</f>
        <v>0.0315020612764262</v>
      </c>
      <c r="F395" s="8" t="n">
        <f aca="true">NORMINV(RAND(),Assumptions!$B$14,Assumptions!$B$15)</f>
        <v>0.0248271750272535</v>
      </c>
      <c r="G395" s="8" t="n">
        <f aca="true">NORMINV(RAND(),Assumptions!$B$14,Assumptions!$B$15)</f>
        <v>0.00480220667572018</v>
      </c>
      <c r="H395" s="8" t="n">
        <f aca="true">NORMINV(RAND(),Assumptions!$B$14,Assumptions!$B$15)</f>
        <v>0.0861721383439496</v>
      </c>
      <c r="I395" s="8" t="n">
        <f aca="true">NORMINV(RAND(),Assumptions!$B$14,Assumptions!$B$15)</f>
        <v>0.023039869512018</v>
      </c>
      <c r="J395" s="8" t="n">
        <f aca="true">NORMINV(RAND(),Assumptions!$B$14,Assumptions!$B$15)</f>
        <v>0.0492235456089352</v>
      </c>
      <c r="K395" s="8" t="n">
        <f aca="true">NORMINV(RAND(),Assumptions!$B$14,Assumptions!$B$15)</f>
        <v>0.0713987297483644</v>
      </c>
      <c r="L395" s="8" t="n">
        <f aca="true">NORMINV(RAND(),Assumptions!$B$14,Assumptions!$B$15)</f>
        <v>0.0434944065343426</v>
      </c>
      <c r="M395" s="6" t="n">
        <f aca="false">B395-Assumptions!$B$29</f>
        <v>391263.996662504</v>
      </c>
      <c r="N395" s="6" t="n">
        <f aca="false">W395-Assumptions!$B$29</f>
        <v>360326.280807183</v>
      </c>
      <c r="O395" s="6" t="n">
        <f aca="false">X395-Assumptions!$B$29</f>
        <v>323513.859592011</v>
      </c>
      <c r="P395" s="6" t="n">
        <f aca="false">Y395-Assumptions!$B$29</f>
        <v>283705.213020652</v>
      </c>
      <c r="Q395" s="6" t="n">
        <f aca="false">Z395-Assumptions!$B$29</f>
        <v>240748.81200046</v>
      </c>
      <c r="R395" s="6" t="n">
        <f aca="false">AA395-Assumptions!$B$29</f>
        <v>191904.93755262</v>
      </c>
      <c r="S395" s="6" t="n">
        <f aca="false">AB395-Assumptions!$B$29</f>
        <v>158441.796380292</v>
      </c>
      <c r="T395" s="6" t="n">
        <f aca="false">AC395-Assumptions!$B$29</f>
        <v>112092.274694144</v>
      </c>
      <c r="U395" s="6" t="n">
        <f aca="false">AD395-Assumptions!$B$29</f>
        <v>67609.85388996</v>
      </c>
      <c r="V395" s="6" t="n">
        <f aca="false">AE395-Assumptions!$B$29</f>
        <v>22437.1115761756</v>
      </c>
      <c r="W395" s="6" t="n">
        <f aca="false">M395*(1+C395)</f>
        <v>410326.280807183</v>
      </c>
      <c r="X395" s="6" t="n">
        <f aca="false">N395*(1+D395)</f>
        <v>373513.859592011</v>
      </c>
      <c r="Y395" s="6" t="n">
        <f aca="false">O395*(1+E395)</f>
        <v>333705.213020652</v>
      </c>
      <c r="Z395" s="6" t="n">
        <f aca="false">P395*(1+F395)</f>
        <v>290748.81200046</v>
      </c>
      <c r="AA395" s="6" t="n">
        <f aca="false">Q395*(1+G395)</f>
        <v>241904.93755262</v>
      </c>
      <c r="AB395" s="6" t="n">
        <f aca="false">R395*(1+H395)</f>
        <v>208441.796380292</v>
      </c>
      <c r="AC395" s="6" t="n">
        <f aca="false">S395*(1+I395)</f>
        <v>162092.274694144</v>
      </c>
      <c r="AD395" s="6" t="n">
        <f aca="false">T395*(1+J395)</f>
        <v>117609.85388996</v>
      </c>
      <c r="AE395" s="6" t="n">
        <f aca="false">U395*(1+K395)</f>
        <v>72437.1115761756</v>
      </c>
      <c r="AF395" s="6" t="n">
        <f aca="false">V395*(1+L395)</f>
        <v>23413.0004285262</v>
      </c>
      <c r="AG395" s="6" t="n">
        <f aca="false">MIN(M395:V395)</f>
        <v>22437.1115761756</v>
      </c>
      <c r="AH395" s="19" t="n">
        <f aca="false">IF(AG395&gt;=0,1,0)</f>
        <v>1</v>
      </c>
    </row>
    <row r="396" customFormat="false" ht="15" hidden="false" customHeight="false" outlineLevel="0" collapsed="false">
      <c r="A396" s="0" t="n">
        <f aca="false">ROW()-1</f>
        <v>395</v>
      </c>
      <c r="B396" s="6" t="n">
        <f aca="false">Assumptions!$B$35</f>
        <v>441263.996662504</v>
      </c>
      <c r="C396" s="8" t="n">
        <f aca="true">NORMINV(RAND(),Assumptions!$B$14,Assumptions!$B$15)</f>
        <v>0.0049697719802789</v>
      </c>
      <c r="D396" s="8" t="n">
        <f aca="true">NORMINV(RAND(),Assumptions!$B$14,Assumptions!$B$15)</f>
        <v>0.0809253207778327</v>
      </c>
      <c r="E396" s="8" t="n">
        <f aca="true">NORMINV(RAND(),Assumptions!$B$14,Assumptions!$B$15)</f>
        <v>0.0313243068932176</v>
      </c>
      <c r="F396" s="8" t="n">
        <f aca="true">NORMINV(RAND(),Assumptions!$B$14,Assumptions!$B$15)</f>
        <v>0.0742928145347708</v>
      </c>
      <c r="G396" s="8" t="n">
        <f aca="true">NORMINV(RAND(),Assumptions!$B$14,Assumptions!$B$15)</f>
        <v>-0.0277039701054871</v>
      </c>
      <c r="H396" s="8" t="n">
        <f aca="true">NORMINV(RAND(),Assumptions!$B$14,Assumptions!$B$15)</f>
        <v>0.0645088812676491</v>
      </c>
      <c r="I396" s="8" t="n">
        <f aca="true">NORMINV(RAND(),Assumptions!$B$14,Assumptions!$B$15)</f>
        <v>0.0223941881993522</v>
      </c>
      <c r="J396" s="8" t="n">
        <f aca="true">NORMINV(RAND(),Assumptions!$B$14,Assumptions!$B$15)</f>
        <v>0.0660980039462857</v>
      </c>
      <c r="K396" s="8" t="n">
        <f aca="true">NORMINV(RAND(),Assumptions!$B$14,Assumptions!$B$15)</f>
        <v>-0.00528947233114964</v>
      </c>
      <c r="L396" s="8" t="n">
        <f aca="true">NORMINV(RAND(),Assumptions!$B$14,Assumptions!$B$15)</f>
        <v>0.0154362404363636</v>
      </c>
      <c r="M396" s="6" t="n">
        <f aca="false">B396-Assumptions!$B$29</f>
        <v>391263.996662504</v>
      </c>
      <c r="N396" s="6" t="n">
        <f aca="false">W396-Assumptions!$B$29</f>
        <v>343208.489510009</v>
      </c>
      <c r="O396" s="6" t="n">
        <f aca="false">X396-Assumptions!$B$29</f>
        <v>320982.746617282</v>
      </c>
      <c r="P396" s="6" t="n">
        <f aca="false">Y396-Assumptions!$B$29</f>
        <v>281037.308679749</v>
      </c>
      <c r="Q396" s="6" t="n">
        <f aca="false">Z396-Assumptions!$B$29</f>
        <v>251916.361330845</v>
      </c>
      <c r="R396" s="6" t="n">
        <f aca="false">AA396-Assumptions!$B$29</f>
        <v>194937.277987452</v>
      </c>
      <c r="S396" s="6" t="n">
        <f aca="false">AB396-Assumptions!$B$29</f>
        <v>157512.463707783</v>
      </c>
      <c r="T396" s="6" t="n">
        <f aca="false">AC396-Assumptions!$B$29</f>
        <v>111039.827463799</v>
      </c>
      <c r="U396" s="6" t="n">
        <f aca="false">AD396-Assumptions!$B$29</f>
        <v>68379.3384176961</v>
      </c>
      <c r="V396" s="6" t="n">
        <f aca="false">AE396-Assumptions!$B$29</f>
        <v>18017.6477991134</v>
      </c>
      <c r="W396" s="6" t="n">
        <f aca="false">M396*(1+C396)</f>
        <v>393208.489510009</v>
      </c>
      <c r="X396" s="6" t="n">
        <f aca="false">N396*(1+D396)</f>
        <v>370982.746617282</v>
      </c>
      <c r="Y396" s="6" t="n">
        <f aca="false">O396*(1+E396)</f>
        <v>331037.308679749</v>
      </c>
      <c r="Z396" s="6" t="n">
        <f aca="false">P396*(1+F396)</f>
        <v>301916.361330845</v>
      </c>
      <c r="AA396" s="6" t="n">
        <f aca="false">Q396*(1+G396)</f>
        <v>244937.277987452</v>
      </c>
      <c r="AB396" s="6" t="n">
        <f aca="false">R396*(1+H396)</f>
        <v>207512.463707783</v>
      </c>
      <c r="AC396" s="6" t="n">
        <f aca="false">S396*(1+I396)</f>
        <v>161039.827463799</v>
      </c>
      <c r="AD396" s="6" t="n">
        <f aca="false">T396*(1+J396)</f>
        <v>118379.338417696</v>
      </c>
      <c r="AE396" s="6" t="n">
        <f aca="false">U396*(1+K396)</f>
        <v>68017.6477991134</v>
      </c>
      <c r="AF396" s="6" t="n">
        <f aca="false">V396*(1+L396)</f>
        <v>18295.7725426382</v>
      </c>
      <c r="AG396" s="6" t="n">
        <f aca="false">MIN(M396:V396)</f>
        <v>18017.6477991134</v>
      </c>
      <c r="AH396" s="19" t="n">
        <f aca="false">IF(AG396&gt;=0,1,0)</f>
        <v>1</v>
      </c>
    </row>
    <row r="397" customFormat="false" ht="15" hidden="false" customHeight="false" outlineLevel="0" collapsed="false">
      <c r="A397" s="0" t="n">
        <f aca="false">ROW()-1</f>
        <v>396</v>
      </c>
      <c r="B397" s="6" t="n">
        <f aca="false">Assumptions!$B$35</f>
        <v>441263.996662504</v>
      </c>
      <c r="C397" s="8" t="n">
        <f aca="true">NORMINV(RAND(),Assumptions!$B$14,Assumptions!$B$15)</f>
        <v>0.096853673249611</v>
      </c>
      <c r="D397" s="8" t="n">
        <f aca="true">NORMINV(RAND(),Assumptions!$B$14,Assumptions!$B$15)</f>
        <v>0.0123292502451323</v>
      </c>
      <c r="E397" s="8" t="n">
        <f aca="true">NORMINV(RAND(),Assumptions!$B$14,Assumptions!$B$15)</f>
        <v>0.0427456740746709</v>
      </c>
      <c r="F397" s="8" t="n">
        <f aca="true">NORMINV(RAND(),Assumptions!$B$14,Assumptions!$B$15)</f>
        <v>0.0704996849290403</v>
      </c>
      <c r="G397" s="8" t="n">
        <f aca="true">NORMINV(RAND(),Assumptions!$B$14,Assumptions!$B$15)</f>
        <v>0.0429607823757373</v>
      </c>
      <c r="H397" s="8" t="n">
        <f aca="true">NORMINV(RAND(),Assumptions!$B$14,Assumptions!$B$15)</f>
        <v>-0.00311917789332849</v>
      </c>
      <c r="I397" s="8" t="n">
        <f aca="true">NORMINV(RAND(),Assumptions!$B$14,Assumptions!$B$15)</f>
        <v>0.0600588348704022</v>
      </c>
      <c r="J397" s="8" t="n">
        <f aca="true">NORMINV(RAND(),Assumptions!$B$14,Assumptions!$B$15)</f>
        <v>0.0249146843313616</v>
      </c>
      <c r="K397" s="8" t="n">
        <f aca="true">NORMINV(RAND(),Assumptions!$B$14,Assumptions!$B$15)</f>
        <v>0.0729374534482476</v>
      </c>
      <c r="L397" s="8" t="n">
        <f aca="true">NORMINV(RAND(),Assumptions!$B$14,Assumptions!$B$15)</f>
        <v>0.0630605300168544</v>
      </c>
      <c r="M397" s="6" t="n">
        <f aca="false">B397-Assumptions!$B$29</f>
        <v>391263.996662504</v>
      </c>
      <c r="N397" s="6" t="n">
        <f aca="false">W397-Assumptions!$B$29</f>
        <v>379159.351949591</v>
      </c>
      <c r="O397" s="6" t="n">
        <f aca="false">X397-Assumptions!$B$29</f>
        <v>333834.102482559</v>
      </c>
      <c r="P397" s="6" t="n">
        <f aca="false">Y397-Assumptions!$B$29</f>
        <v>298104.066222289</v>
      </c>
      <c r="Q397" s="6" t="n">
        <f aca="false">Z397-Assumptions!$B$29</f>
        <v>269120.308967026</v>
      </c>
      <c r="R397" s="6" t="n">
        <f aca="false">AA397-Assumptions!$B$29</f>
        <v>230681.92799345</v>
      </c>
      <c r="S397" s="6" t="n">
        <f aca="false">AB397-Assumptions!$B$29</f>
        <v>179962.390023262</v>
      </c>
      <c r="T397" s="6" t="n">
        <f aca="false">AC397-Assumptions!$B$29</f>
        <v>140770.721488552</v>
      </c>
      <c r="U397" s="6" t="n">
        <f aca="false">AD397-Assumptions!$B$29</f>
        <v>94277.9795775375</v>
      </c>
      <c r="V397" s="6" t="n">
        <f aca="false">AE397-Assumptions!$B$29</f>
        <v>51154.375324169</v>
      </c>
      <c r="W397" s="6" t="n">
        <f aca="false">M397*(1+C397)</f>
        <v>429159.351949591</v>
      </c>
      <c r="X397" s="6" t="n">
        <f aca="false">N397*(1+D397)</f>
        <v>383834.102482559</v>
      </c>
      <c r="Y397" s="6" t="n">
        <f aca="false">O397*(1+E397)</f>
        <v>348104.066222289</v>
      </c>
      <c r="Z397" s="6" t="n">
        <f aca="false">P397*(1+F397)</f>
        <v>319120.308967026</v>
      </c>
      <c r="AA397" s="6" t="n">
        <f aca="false">Q397*(1+G397)</f>
        <v>280681.92799345</v>
      </c>
      <c r="AB397" s="6" t="n">
        <f aca="false">R397*(1+H397)</f>
        <v>229962.390023262</v>
      </c>
      <c r="AC397" s="6" t="n">
        <f aca="false">S397*(1+I397)</f>
        <v>190770.721488552</v>
      </c>
      <c r="AD397" s="6" t="n">
        <f aca="false">T397*(1+J397)</f>
        <v>144277.979577537</v>
      </c>
      <c r="AE397" s="6" t="n">
        <f aca="false">U397*(1+K397)</f>
        <v>101154.375324169</v>
      </c>
      <c r="AF397" s="6" t="n">
        <f aca="false">V397*(1+L397)</f>
        <v>54380.1973447921</v>
      </c>
      <c r="AG397" s="6" t="n">
        <f aca="false">MIN(M397:V397)</f>
        <v>51154.375324169</v>
      </c>
      <c r="AH397" s="19" t="n">
        <f aca="false">IF(AG397&gt;=0,1,0)</f>
        <v>1</v>
      </c>
    </row>
    <row r="398" customFormat="false" ht="15" hidden="false" customHeight="false" outlineLevel="0" collapsed="false">
      <c r="A398" s="0" t="n">
        <f aca="false">ROW()-1</f>
        <v>397</v>
      </c>
      <c r="B398" s="6" t="n">
        <f aca="false">Assumptions!$B$35</f>
        <v>441263.996662504</v>
      </c>
      <c r="C398" s="8" t="n">
        <f aca="true">NORMINV(RAND(),Assumptions!$B$14,Assumptions!$B$15)</f>
        <v>0.00287886810718865</v>
      </c>
      <c r="D398" s="8" t="n">
        <f aca="true">NORMINV(RAND(),Assumptions!$B$14,Assumptions!$B$15)</f>
        <v>0.0174577001238325</v>
      </c>
      <c r="E398" s="8" t="n">
        <f aca="true">NORMINV(RAND(),Assumptions!$B$14,Assumptions!$B$15)</f>
        <v>0.0215350243754549</v>
      </c>
      <c r="F398" s="8" t="n">
        <f aca="true">NORMINV(RAND(),Assumptions!$B$14,Assumptions!$B$15)</f>
        <v>0.0725030859589125</v>
      </c>
      <c r="G398" s="8" t="n">
        <f aca="true">NORMINV(RAND(),Assumptions!$B$14,Assumptions!$B$15)</f>
        <v>0.0232036155031989</v>
      </c>
      <c r="H398" s="8" t="n">
        <f aca="true">NORMINV(RAND(),Assumptions!$B$14,Assumptions!$B$15)</f>
        <v>0.0918485515205495</v>
      </c>
      <c r="I398" s="8" t="n">
        <f aca="true">NORMINV(RAND(),Assumptions!$B$14,Assumptions!$B$15)</f>
        <v>0.0742802423913121</v>
      </c>
      <c r="J398" s="8" t="n">
        <f aca="true">NORMINV(RAND(),Assumptions!$B$14,Assumptions!$B$15)</f>
        <v>0.00313700927293857</v>
      </c>
      <c r="K398" s="8" t="n">
        <f aca="true">NORMINV(RAND(),Assumptions!$B$14,Assumptions!$B$15)</f>
        <v>0.0405232208063208</v>
      </c>
      <c r="L398" s="8" t="n">
        <f aca="true">NORMINV(RAND(),Assumptions!$B$14,Assumptions!$B$15)</f>
        <v>0.0584745598277816</v>
      </c>
      <c r="M398" s="6" t="n">
        <f aca="false">B398-Assumptions!$B$29</f>
        <v>391263.996662504</v>
      </c>
      <c r="N398" s="6" t="n">
        <f aca="false">W398-Assumptions!$B$29</f>
        <v>342390.394103986</v>
      </c>
      <c r="O398" s="6" t="n">
        <f aca="false">X398-Assumptions!$B$29</f>
        <v>298367.742929535</v>
      </c>
      <c r="P398" s="6" t="n">
        <f aca="false">Y398-Assumptions!$B$29</f>
        <v>254793.099546372</v>
      </c>
      <c r="Q398" s="6" t="n">
        <f aca="false">Z398-Assumptions!$B$29</f>
        <v>223266.38554452</v>
      </c>
      <c r="R398" s="6" t="n">
        <f aca="false">AA398-Assumptions!$B$29</f>
        <v>178446.972909484</v>
      </c>
      <c r="S398" s="6" t="n">
        <f aca="false">AB398-Assumptions!$B$29</f>
        <v>144837.068894447</v>
      </c>
      <c r="T398" s="6" t="n">
        <f aca="false">AC398-Assumptions!$B$29</f>
        <v>105595.601479173</v>
      </c>
      <c r="U398" s="6" t="n">
        <f aca="false">AD398-Assumptions!$B$29</f>
        <v>55926.8558601952</v>
      </c>
      <c r="V398" s="6" t="n">
        <f aca="false">AE398-Assumptions!$B$29</f>
        <v>8193.19218922115</v>
      </c>
      <c r="W398" s="6" t="n">
        <f aca="false">M398*(1+C398)</f>
        <v>392390.394103986</v>
      </c>
      <c r="X398" s="6" t="n">
        <f aca="false">N398*(1+D398)</f>
        <v>348367.742929535</v>
      </c>
      <c r="Y398" s="6" t="n">
        <f aca="false">O398*(1+E398)</f>
        <v>304793.099546372</v>
      </c>
      <c r="Z398" s="6" t="n">
        <f aca="false">P398*(1+F398)</f>
        <v>273266.38554452</v>
      </c>
      <c r="AA398" s="6" t="n">
        <f aca="false">Q398*(1+G398)</f>
        <v>228446.972909484</v>
      </c>
      <c r="AB398" s="6" t="n">
        <f aca="false">R398*(1+H398)</f>
        <v>194837.068894447</v>
      </c>
      <c r="AC398" s="6" t="n">
        <f aca="false">S398*(1+I398)</f>
        <v>155595.601479174</v>
      </c>
      <c r="AD398" s="6" t="n">
        <f aca="false">T398*(1+J398)</f>
        <v>105926.855860195</v>
      </c>
      <c r="AE398" s="6" t="n">
        <f aca="false">U398*(1+K398)</f>
        <v>58193.1921892212</v>
      </c>
      <c r="AF398" s="6" t="n">
        <f aca="false">V398*(1+L398)</f>
        <v>8672.28549607028</v>
      </c>
      <c r="AG398" s="6" t="n">
        <f aca="false">MIN(M398:V398)</f>
        <v>8193.19218922115</v>
      </c>
      <c r="AH398" s="19" t="n">
        <f aca="false">IF(AG398&gt;=0,1,0)</f>
        <v>1</v>
      </c>
    </row>
    <row r="399" customFormat="false" ht="15" hidden="false" customHeight="false" outlineLevel="0" collapsed="false">
      <c r="A399" s="0" t="n">
        <f aca="false">ROW()-1</f>
        <v>398</v>
      </c>
      <c r="B399" s="6" t="n">
        <f aca="false">Assumptions!$B$35</f>
        <v>441263.996662504</v>
      </c>
      <c r="C399" s="8" t="n">
        <f aca="true">NORMINV(RAND(),Assumptions!$B$14,Assumptions!$B$15)</f>
        <v>0.0843049151590552</v>
      </c>
      <c r="D399" s="8" t="n">
        <f aca="true">NORMINV(RAND(),Assumptions!$B$14,Assumptions!$B$15)</f>
        <v>0.0478984559159026</v>
      </c>
      <c r="E399" s="8" t="n">
        <f aca="true">NORMINV(RAND(),Assumptions!$B$14,Assumptions!$B$15)</f>
        <v>0.0198474655499513</v>
      </c>
      <c r="F399" s="8" t="n">
        <f aca="true">NORMINV(RAND(),Assumptions!$B$14,Assumptions!$B$15)</f>
        <v>-0.00230353232148553</v>
      </c>
      <c r="G399" s="8" t="n">
        <f aca="true">NORMINV(RAND(),Assumptions!$B$14,Assumptions!$B$15)</f>
        <v>0.0560010578929081</v>
      </c>
      <c r="H399" s="8" t="n">
        <f aca="true">NORMINV(RAND(),Assumptions!$B$14,Assumptions!$B$15)</f>
        <v>0.0439474630190257</v>
      </c>
      <c r="I399" s="8" t="n">
        <f aca="true">NORMINV(RAND(),Assumptions!$B$14,Assumptions!$B$15)</f>
        <v>0.0840219868564303</v>
      </c>
      <c r="J399" s="8" t="n">
        <f aca="true">NORMINV(RAND(),Assumptions!$B$14,Assumptions!$B$15)</f>
        <v>0.0803905061038368</v>
      </c>
      <c r="K399" s="8" t="n">
        <f aca="true">NORMINV(RAND(),Assumptions!$B$14,Assumptions!$B$15)</f>
        <v>0.0711860400622996</v>
      </c>
      <c r="L399" s="8" t="n">
        <f aca="true">NORMINV(RAND(),Assumptions!$B$14,Assumptions!$B$15)</f>
        <v>0.100250431119072</v>
      </c>
      <c r="M399" s="6" t="n">
        <f aca="false">B399-Assumptions!$B$29</f>
        <v>391263.996662504</v>
      </c>
      <c r="N399" s="6" t="n">
        <f aca="false">W399-Assumptions!$B$29</f>
        <v>374249.474705929</v>
      </c>
      <c r="O399" s="6" t="n">
        <f aca="false">X399-Assumptions!$B$29</f>
        <v>342175.44667168</v>
      </c>
      <c r="P399" s="6" t="n">
        <f aca="false">Y399-Assumptions!$B$29</f>
        <v>298966.762061536</v>
      </c>
      <c r="Q399" s="6" t="n">
        <f aca="false">Z399-Assumptions!$B$29</f>
        <v>248278.082462077</v>
      </c>
      <c r="R399" s="6" t="n">
        <f aca="false">AA399-Assumptions!$B$29</f>
        <v>212181.917731576</v>
      </c>
      <c r="S399" s="6" t="n">
        <f aca="false">AB399-Assumptions!$B$29</f>
        <v>171506.77471439</v>
      </c>
      <c r="T399" s="6" t="n">
        <f aca="false">AC399-Assumptions!$B$29</f>
        <v>135917.114685232</v>
      </c>
      <c r="U399" s="6" t="n">
        <f aca="false">AD399-Assumptions!$B$29</f>
        <v>96843.5603229508</v>
      </c>
      <c r="V399" s="6" t="n">
        <f aca="false">AE399-Assumptions!$B$29</f>
        <v>53737.4698878761</v>
      </c>
      <c r="W399" s="6" t="n">
        <f aca="false">M399*(1+C399)</f>
        <v>424249.474705929</v>
      </c>
      <c r="X399" s="6" t="n">
        <f aca="false">N399*(1+D399)</f>
        <v>392175.44667168</v>
      </c>
      <c r="Y399" s="6" t="n">
        <f aca="false">O399*(1+E399)</f>
        <v>348966.762061536</v>
      </c>
      <c r="Z399" s="6" t="n">
        <f aca="false">P399*(1+F399)</f>
        <v>298278.082462077</v>
      </c>
      <c r="AA399" s="6" t="n">
        <f aca="false">Q399*(1+G399)</f>
        <v>262181.917731576</v>
      </c>
      <c r="AB399" s="6" t="n">
        <f aca="false">R399*(1+H399)</f>
        <v>221506.77471439</v>
      </c>
      <c r="AC399" s="6" t="n">
        <f aca="false">S399*(1+I399)</f>
        <v>185917.114685232</v>
      </c>
      <c r="AD399" s="6" t="n">
        <f aca="false">T399*(1+J399)</f>
        <v>146843.560322951</v>
      </c>
      <c r="AE399" s="6" t="n">
        <f aca="false">U399*(1+K399)</f>
        <v>103737.469887876</v>
      </c>
      <c r="AF399" s="6" t="n">
        <f aca="false">V399*(1+L399)</f>
        <v>59124.6744113838</v>
      </c>
      <c r="AG399" s="6" t="n">
        <f aca="false">MIN(M399:V399)</f>
        <v>53737.4698878761</v>
      </c>
      <c r="AH399" s="19" t="n">
        <f aca="false">IF(AG399&gt;=0,1,0)</f>
        <v>1</v>
      </c>
    </row>
    <row r="400" customFormat="false" ht="15" hidden="false" customHeight="false" outlineLevel="0" collapsed="false">
      <c r="A400" s="0" t="n">
        <f aca="false">ROW()-1</f>
        <v>399</v>
      </c>
      <c r="B400" s="6" t="n">
        <f aca="false">Assumptions!$B$35</f>
        <v>441263.996662504</v>
      </c>
      <c r="C400" s="8" t="n">
        <f aca="true">NORMINV(RAND(),Assumptions!$B$14,Assumptions!$B$15)</f>
        <v>0.0585403794564706</v>
      </c>
      <c r="D400" s="8" t="n">
        <f aca="true">NORMINV(RAND(),Assumptions!$B$14,Assumptions!$B$15)</f>
        <v>0.0277319075744243</v>
      </c>
      <c r="E400" s="8" t="n">
        <f aca="true">NORMINV(RAND(),Assumptions!$B$14,Assumptions!$B$15)</f>
        <v>0.0295010456538939</v>
      </c>
      <c r="F400" s="8" t="n">
        <f aca="true">NORMINV(RAND(),Assumptions!$B$14,Assumptions!$B$15)</f>
        <v>0.0483185055473866</v>
      </c>
      <c r="G400" s="8" t="n">
        <f aca="true">NORMINV(RAND(),Assumptions!$B$14,Assumptions!$B$15)</f>
        <v>0.0542595051902352</v>
      </c>
      <c r="H400" s="8" t="n">
        <f aca="true">NORMINV(RAND(),Assumptions!$B$14,Assumptions!$B$15)</f>
        <v>0.0213795841117344</v>
      </c>
      <c r="I400" s="8" t="n">
        <f aca="true">NORMINV(RAND(),Assumptions!$B$14,Assumptions!$B$15)</f>
        <v>0.0260362269634373</v>
      </c>
      <c r="J400" s="8" t="n">
        <f aca="true">NORMINV(RAND(),Assumptions!$B$14,Assumptions!$B$15)</f>
        <v>0.0476546517546426</v>
      </c>
      <c r="K400" s="8" t="n">
        <f aca="true">NORMINV(RAND(),Assumptions!$B$14,Assumptions!$B$15)</f>
        <v>0.0554736754336743</v>
      </c>
      <c r="L400" s="8" t="n">
        <f aca="true">NORMINV(RAND(),Assumptions!$B$14,Assumptions!$B$15)</f>
        <v>0.0440875187578753</v>
      </c>
      <c r="M400" s="6" t="n">
        <f aca="false">B400-Assumptions!$B$29</f>
        <v>391263.996662504</v>
      </c>
      <c r="N400" s="6" t="n">
        <f aca="false">W400-Assumptions!$B$29</f>
        <v>364168.739494782</v>
      </c>
      <c r="O400" s="6" t="n">
        <f aca="false">X400-Assumptions!$B$29</f>
        <v>324267.833319946</v>
      </c>
      <c r="P400" s="6" t="n">
        <f aca="false">Y400-Assumptions!$B$29</f>
        <v>283834.073474807</v>
      </c>
      <c r="Q400" s="6" t="n">
        <f aca="false">Z400-Assumptions!$B$29</f>
        <v>247548.511728536</v>
      </c>
      <c r="R400" s="6" t="n">
        <f aca="false">AA400-Assumptions!$B$29</f>
        <v>210980.371485506</v>
      </c>
      <c r="S400" s="6" t="n">
        <f aca="false">AB400-Assumptions!$B$29</f>
        <v>165491.044083605</v>
      </c>
      <c r="T400" s="6" t="n">
        <f aca="false">AC400-Assumptions!$B$29</f>
        <v>119799.806467782</v>
      </c>
      <c r="U400" s="6" t="n">
        <f aca="false">AD400-Assumptions!$B$29</f>
        <v>75508.8245252779</v>
      </c>
      <c r="V400" s="6" t="n">
        <f aca="false">AE400-Assumptions!$B$29</f>
        <v>29697.5765493714</v>
      </c>
      <c r="W400" s="6" t="n">
        <f aca="false">M400*(1+C400)</f>
        <v>414168.739494782</v>
      </c>
      <c r="X400" s="6" t="n">
        <f aca="false">N400*(1+D400)</f>
        <v>374267.833319946</v>
      </c>
      <c r="Y400" s="6" t="n">
        <f aca="false">O400*(1+E400)</f>
        <v>333834.073474807</v>
      </c>
      <c r="Z400" s="6" t="n">
        <f aca="false">P400*(1+F400)</f>
        <v>297548.511728536</v>
      </c>
      <c r="AA400" s="6" t="n">
        <f aca="false">Q400*(1+G400)</f>
        <v>260980.371485506</v>
      </c>
      <c r="AB400" s="6" t="n">
        <f aca="false">R400*(1+H400)</f>
        <v>215491.044083605</v>
      </c>
      <c r="AC400" s="6" t="n">
        <f aca="false">S400*(1+I400)</f>
        <v>169799.806467782</v>
      </c>
      <c r="AD400" s="6" t="n">
        <f aca="false">T400*(1+J400)</f>
        <v>125508.824525278</v>
      </c>
      <c r="AE400" s="6" t="n">
        <f aca="false">U400*(1+K400)</f>
        <v>79697.5765493714</v>
      </c>
      <c r="AF400" s="6" t="n">
        <f aca="false">V400*(1+L400)</f>
        <v>31006.8690125553</v>
      </c>
      <c r="AG400" s="6" t="n">
        <f aca="false">MIN(M400:V400)</f>
        <v>29697.5765493714</v>
      </c>
      <c r="AH400" s="19" t="n">
        <f aca="false">IF(AG400&gt;=0,1,0)</f>
        <v>1</v>
      </c>
    </row>
    <row r="401" customFormat="false" ht="15" hidden="false" customHeight="false" outlineLevel="0" collapsed="false">
      <c r="A401" s="0" t="n">
        <f aca="false">ROW()-1</f>
        <v>400</v>
      </c>
      <c r="B401" s="6" t="n">
        <f aca="false">Assumptions!$B$35</f>
        <v>441263.996662504</v>
      </c>
      <c r="C401" s="8" t="n">
        <f aca="true">NORMINV(RAND(),Assumptions!$B$14,Assumptions!$B$15)</f>
        <v>0.0441511895213511</v>
      </c>
      <c r="D401" s="8" t="n">
        <f aca="true">NORMINV(RAND(),Assumptions!$B$14,Assumptions!$B$15)</f>
        <v>0.0268832942774235</v>
      </c>
      <c r="E401" s="8" t="n">
        <f aca="true">NORMINV(RAND(),Assumptions!$B$14,Assumptions!$B$15)</f>
        <v>-0.0152667697223827</v>
      </c>
      <c r="F401" s="8" t="n">
        <f aca="true">NORMINV(RAND(),Assumptions!$B$14,Assumptions!$B$15)</f>
        <v>0.0717748062429268</v>
      </c>
      <c r="G401" s="8" t="n">
        <f aca="true">NORMINV(RAND(),Assumptions!$B$14,Assumptions!$B$15)</f>
        <v>0.00654325746307697</v>
      </c>
      <c r="H401" s="8" t="n">
        <f aca="true">NORMINV(RAND(),Assumptions!$B$14,Assumptions!$B$15)</f>
        <v>0.0502899932452243</v>
      </c>
      <c r="I401" s="8" t="n">
        <f aca="true">NORMINV(RAND(),Assumptions!$B$14,Assumptions!$B$15)</f>
        <v>0.0449347739420448</v>
      </c>
      <c r="J401" s="8" t="n">
        <f aca="true">NORMINV(RAND(),Assumptions!$B$14,Assumptions!$B$15)</f>
        <v>0.0776190800236055</v>
      </c>
      <c r="K401" s="8" t="n">
        <f aca="true">NORMINV(RAND(),Assumptions!$B$14,Assumptions!$B$15)</f>
        <v>0.0451314693307477</v>
      </c>
      <c r="L401" s="8" t="n">
        <f aca="true">NORMINV(RAND(),Assumptions!$B$14,Assumptions!$B$15)</f>
        <v>0.0113670619750294</v>
      </c>
      <c r="M401" s="6" t="n">
        <f aca="false">B401-Assumptions!$B$29</f>
        <v>391263.996662504</v>
      </c>
      <c r="N401" s="6" t="n">
        <f aca="false">W401-Assumptions!$B$29</f>
        <v>358538.767532031</v>
      </c>
      <c r="O401" s="6" t="n">
        <f aca="false">X401-Assumptions!$B$29</f>
        <v>318177.470729459</v>
      </c>
      <c r="P401" s="6" t="n">
        <f aca="false">Y401-Assumptions!$B$29</f>
        <v>263319.928552983</v>
      </c>
      <c r="Q401" s="6" t="n">
        <f aca="false">Z401-Assumptions!$B$29</f>
        <v>232219.665404774</v>
      </c>
      <c r="R401" s="6" t="n">
        <f aca="false">AA401-Assumptions!$B$29</f>
        <v>183739.138463507</v>
      </c>
      <c r="S401" s="6" t="n">
        <f aca="false">AB401-Assumptions!$B$29</f>
        <v>142979.37849572</v>
      </c>
      <c r="T401" s="6" t="n">
        <f aca="false">AC401-Assumptions!$B$29</f>
        <v>99404.1245467996</v>
      </c>
      <c r="U401" s="6" t="n">
        <f aca="false">AD401-Assumptions!$B$29</f>
        <v>57119.7812446741</v>
      </c>
      <c r="V401" s="6" t="n">
        <f aca="false">AE401-Assumptions!$B$29</f>
        <v>9697.68090009714</v>
      </c>
      <c r="W401" s="6" t="n">
        <f aca="false">M401*(1+C401)</f>
        <v>408538.767532031</v>
      </c>
      <c r="X401" s="6" t="n">
        <f aca="false">N401*(1+D401)</f>
        <v>368177.470729459</v>
      </c>
      <c r="Y401" s="6" t="n">
        <f aca="false">O401*(1+E401)</f>
        <v>313319.928552983</v>
      </c>
      <c r="Z401" s="6" t="n">
        <f aca="false">P401*(1+F401)</f>
        <v>282219.665404774</v>
      </c>
      <c r="AA401" s="6" t="n">
        <f aca="false">Q401*(1+G401)</f>
        <v>233739.138463507</v>
      </c>
      <c r="AB401" s="6" t="n">
        <f aca="false">R401*(1+H401)</f>
        <v>192979.37849572</v>
      </c>
      <c r="AC401" s="6" t="n">
        <f aca="false">S401*(1+I401)</f>
        <v>149404.1245468</v>
      </c>
      <c r="AD401" s="6" t="n">
        <f aca="false">T401*(1+J401)</f>
        <v>107119.781244674</v>
      </c>
      <c r="AE401" s="6" t="n">
        <f aca="false">U401*(1+K401)</f>
        <v>59697.6809000971</v>
      </c>
      <c r="AF401" s="6" t="n">
        <f aca="false">V401*(1+L401)</f>
        <v>9807.9150399026</v>
      </c>
      <c r="AG401" s="6" t="n">
        <f aca="false">MIN(M401:V401)</f>
        <v>9697.68090009714</v>
      </c>
      <c r="AH401" s="19" t="n">
        <f aca="false">IF(AG401&gt;=0,1,0)</f>
        <v>1</v>
      </c>
    </row>
    <row r="402" customFormat="false" ht="15" hidden="false" customHeight="false" outlineLevel="0" collapsed="false">
      <c r="A402" s="0" t="n">
        <f aca="false">ROW()-1</f>
        <v>401</v>
      </c>
      <c r="B402" s="6" t="n">
        <f aca="false">Assumptions!$B$35</f>
        <v>441263.996662504</v>
      </c>
      <c r="C402" s="8" t="n">
        <f aca="true">NORMINV(RAND(),Assumptions!$B$14,Assumptions!$B$15)</f>
        <v>0.0370948316529774</v>
      </c>
      <c r="D402" s="8" t="n">
        <f aca="true">NORMINV(RAND(),Assumptions!$B$14,Assumptions!$B$15)</f>
        <v>0.0582011219927276</v>
      </c>
      <c r="E402" s="8" t="n">
        <f aca="true">NORMINV(RAND(),Assumptions!$B$14,Assumptions!$B$15)</f>
        <v>0.0768468896578407</v>
      </c>
      <c r="F402" s="8" t="n">
        <f aca="true">NORMINV(RAND(),Assumptions!$B$14,Assumptions!$B$15)</f>
        <v>0.0538471748966976</v>
      </c>
      <c r="G402" s="8" t="n">
        <f aca="true">NORMINV(RAND(),Assumptions!$B$14,Assumptions!$B$15)</f>
        <v>0.0659268626211964</v>
      </c>
      <c r="H402" s="8" t="n">
        <f aca="true">NORMINV(RAND(),Assumptions!$B$14,Assumptions!$B$15)</f>
        <v>0.0660175485091056</v>
      </c>
      <c r="I402" s="8" t="n">
        <f aca="true">NORMINV(RAND(),Assumptions!$B$14,Assumptions!$B$15)</f>
        <v>0.0731458387566575</v>
      </c>
      <c r="J402" s="8" t="n">
        <f aca="true">NORMINV(RAND(),Assumptions!$B$14,Assumptions!$B$15)</f>
        <v>-0.00247727031241701</v>
      </c>
      <c r="K402" s="8" t="n">
        <f aca="true">NORMINV(RAND(),Assumptions!$B$14,Assumptions!$B$15)</f>
        <v>-0.0320509304179109</v>
      </c>
      <c r="L402" s="8" t="n">
        <f aca="true">NORMINV(RAND(),Assumptions!$B$14,Assumptions!$B$15)</f>
        <v>0.0241810757714598</v>
      </c>
      <c r="M402" s="6" t="n">
        <f aca="false">B402-Assumptions!$B$29</f>
        <v>391263.996662504</v>
      </c>
      <c r="N402" s="6" t="n">
        <f aca="false">W402-Assumptions!$B$29</f>
        <v>355777.86875057</v>
      </c>
      <c r="O402" s="6" t="n">
        <f aca="false">X402-Assumptions!$B$29</f>
        <v>326484.539892035</v>
      </c>
      <c r="P402" s="6" t="n">
        <f aca="false">Y402-Assumptions!$B$29</f>
        <v>301573.861304109</v>
      </c>
      <c r="Q402" s="6" t="n">
        <f aca="false">Z402-Assumptions!$B$29</f>
        <v>267812.761758024</v>
      </c>
      <c r="R402" s="6" t="n">
        <f aca="false">AA402-Assumptions!$B$29</f>
        <v>235468.816910648</v>
      </c>
      <c r="S402" s="6" t="n">
        <f aca="false">AB402-Assumptions!$B$29</f>
        <v>201013.890953428</v>
      </c>
      <c r="T402" s="6" t="n">
        <f aca="false">AC402-Assumptions!$B$29</f>
        <v>165717.220608956</v>
      </c>
      <c r="U402" s="6" t="n">
        <f aca="false">AD402-Assumptions!$B$29</f>
        <v>115306.694258085</v>
      </c>
      <c r="V402" s="6" t="n">
        <f aca="false">AE402-Assumptions!$B$29</f>
        <v>61611.0074237002</v>
      </c>
      <c r="W402" s="6" t="n">
        <f aca="false">M402*(1+C402)</f>
        <v>405777.86875057</v>
      </c>
      <c r="X402" s="6" t="n">
        <f aca="false">N402*(1+D402)</f>
        <v>376484.539892035</v>
      </c>
      <c r="Y402" s="6" t="n">
        <f aca="false">O402*(1+E402)</f>
        <v>351573.861304109</v>
      </c>
      <c r="Z402" s="6" t="n">
        <f aca="false">P402*(1+F402)</f>
        <v>317812.761758024</v>
      </c>
      <c r="AA402" s="6" t="n">
        <f aca="false">Q402*(1+G402)</f>
        <v>285468.816910648</v>
      </c>
      <c r="AB402" s="6" t="n">
        <f aca="false">R402*(1+H402)</f>
        <v>251013.890953428</v>
      </c>
      <c r="AC402" s="6" t="n">
        <f aca="false">S402*(1+I402)</f>
        <v>215717.220608956</v>
      </c>
      <c r="AD402" s="6" t="n">
        <f aca="false">T402*(1+J402)</f>
        <v>165306.694258085</v>
      </c>
      <c r="AE402" s="6" t="n">
        <f aca="false">U402*(1+K402)</f>
        <v>111611.0074237</v>
      </c>
      <c r="AF402" s="6" t="n">
        <f aca="false">V402*(1+L402)</f>
        <v>63100.8278625687</v>
      </c>
      <c r="AG402" s="6" t="n">
        <f aca="false">MIN(M402:V402)</f>
        <v>61611.0074237002</v>
      </c>
      <c r="AH402" s="19" t="n">
        <f aca="false">IF(AG402&gt;=0,1,0)</f>
        <v>1</v>
      </c>
    </row>
    <row r="403" customFormat="false" ht="15" hidden="false" customHeight="false" outlineLevel="0" collapsed="false">
      <c r="A403" s="0" t="n">
        <f aca="false">ROW()-1</f>
        <v>402</v>
      </c>
      <c r="B403" s="6" t="n">
        <f aca="false">Assumptions!$B$35</f>
        <v>441263.996662504</v>
      </c>
      <c r="C403" s="8" t="n">
        <f aca="true">NORMINV(RAND(),Assumptions!$B$14,Assumptions!$B$15)</f>
        <v>0.00509246310927636</v>
      </c>
      <c r="D403" s="8" t="n">
        <f aca="true">NORMINV(RAND(),Assumptions!$B$14,Assumptions!$B$15)</f>
        <v>0.0178054868478829</v>
      </c>
      <c r="E403" s="8" t="n">
        <f aca="true">NORMINV(RAND(),Assumptions!$B$14,Assumptions!$B$15)</f>
        <v>0.103895053220482</v>
      </c>
      <c r="F403" s="8" t="n">
        <f aca="true">NORMINV(RAND(),Assumptions!$B$14,Assumptions!$B$15)</f>
        <v>0.135302405459101</v>
      </c>
      <c r="G403" s="8" t="n">
        <f aca="true">NORMINV(RAND(),Assumptions!$B$14,Assumptions!$B$15)</f>
        <v>0.0630983343549022</v>
      </c>
      <c r="H403" s="8" t="n">
        <f aca="true">NORMINV(RAND(),Assumptions!$B$14,Assumptions!$B$15)</f>
        <v>0.0697002551830024</v>
      </c>
      <c r="I403" s="8" t="n">
        <f aca="true">NORMINV(RAND(),Assumptions!$B$14,Assumptions!$B$15)</f>
        <v>0.00959085892813641</v>
      </c>
      <c r="J403" s="8" t="n">
        <f aca="true">NORMINV(RAND(),Assumptions!$B$14,Assumptions!$B$15)</f>
        <v>0.0407565561943697</v>
      </c>
      <c r="K403" s="8" t="n">
        <f aca="true">NORMINV(RAND(),Assumptions!$B$14,Assumptions!$B$15)</f>
        <v>0.033247409154633</v>
      </c>
      <c r="L403" s="8" t="n">
        <f aca="true">NORMINV(RAND(),Assumptions!$B$14,Assumptions!$B$15)</f>
        <v>0.0147431001969141</v>
      </c>
      <c r="M403" s="6" t="n">
        <f aca="false">B403-Assumptions!$B$29</f>
        <v>391263.996662504</v>
      </c>
      <c r="N403" s="6" t="n">
        <f aca="false">W403-Assumptions!$B$29</f>
        <v>343256.494131495</v>
      </c>
      <c r="O403" s="6" t="n">
        <f aca="false">X403-Assumptions!$B$29</f>
        <v>299368.343123204</v>
      </c>
      <c r="P403" s="6" t="n">
        <f aca="false">Y403-Assumptions!$B$29</f>
        <v>280471.233064517</v>
      </c>
      <c r="Q403" s="6" t="n">
        <f aca="false">Z403-Assumptions!$B$29</f>
        <v>268419.665560226</v>
      </c>
      <c r="R403" s="6" t="n">
        <f aca="false">AA403-Assumptions!$B$29</f>
        <v>235356.499365176</v>
      </c>
      <c r="S403" s="6" t="n">
        <f aca="false">AB403-Assumptions!$B$29</f>
        <v>201760.907429907</v>
      </c>
      <c r="T403" s="6" t="n">
        <f aca="false">AC403-Assumptions!$B$29</f>
        <v>153695.96783028</v>
      </c>
      <c r="U403" s="6" t="n">
        <f aca="false">AD403-Assumptions!$B$29</f>
        <v>109960.086180003</v>
      </c>
      <c r="V403" s="6" t="n">
        <f aca="false">AE403-Assumptions!$B$29</f>
        <v>63615.9741559085</v>
      </c>
      <c r="W403" s="6" t="n">
        <f aca="false">M403*(1+C403)</f>
        <v>393256.494131495</v>
      </c>
      <c r="X403" s="6" t="n">
        <f aca="false">N403*(1+D403)</f>
        <v>349368.343123204</v>
      </c>
      <c r="Y403" s="6" t="n">
        <f aca="false">O403*(1+E403)</f>
        <v>330471.233064517</v>
      </c>
      <c r="Z403" s="6" t="n">
        <f aca="false">P403*(1+F403)</f>
        <v>318419.665560226</v>
      </c>
      <c r="AA403" s="6" t="n">
        <f aca="false">Q403*(1+G403)</f>
        <v>285356.499365177</v>
      </c>
      <c r="AB403" s="6" t="n">
        <f aca="false">R403*(1+H403)</f>
        <v>251760.907429907</v>
      </c>
      <c r="AC403" s="6" t="n">
        <f aca="false">S403*(1+I403)</f>
        <v>203695.96783028</v>
      </c>
      <c r="AD403" s="6" t="n">
        <f aca="false">T403*(1+J403)</f>
        <v>159960.086180003</v>
      </c>
      <c r="AE403" s="6" t="n">
        <f aca="false">U403*(1+K403)</f>
        <v>113615.974155909</v>
      </c>
      <c r="AF403" s="6" t="n">
        <f aca="false">V403*(1+L403)</f>
        <v>64553.8708370134</v>
      </c>
      <c r="AG403" s="6" t="n">
        <f aca="false">MIN(M403:V403)</f>
        <v>63615.9741559085</v>
      </c>
      <c r="AH403" s="19" t="n">
        <f aca="false">IF(AG403&gt;=0,1,0)</f>
        <v>1</v>
      </c>
    </row>
    <row r="404" customFormat="false" ht="15" hidden="false" customHeight="false" outlineLevel="0" collapsed="false">
      <c r="A404" s="0" t="n">
        <f aca="false">ROW()-1</f>
        <v>403</v>
      </c>
      <c r="B404" s="6" t="n">
        <f aca="false">Assumptions!$B$35</f>
        <v>441263.996662504</v>
      </c>
      <c r="C404" s="8" t="n">
        <f aca="true">NORMINV(RAND(),Assumptions!$B$14,Assumptions!$B$15)</f>
        <v>0.0162217559661208</v>
      </c>
      <c r="D404" s="8" t="n">
        <f aca="true">NORMINV(RAND(),Assumptions!$B$14,Assumptions!$B$15)</f>
        <v>0.074858780424086</v>
      </c>
      <c r="E404" s="8" t="n">
        <f aca="true">NORMINV(RAND(),Assumptions!$B$14,Assumptions!$B$15)</f>
        <v>0.0289856306736963</v>
      </c>
      <c r="F404" s="8" t="n">
        <f aca="true">NORMINV(RAND(),Assumptions!$B$14,Assumptions!$B$15)</f>
        <v>0.090346510644085</v>
      </c>
      <c r="G404" s="8" t="n">
        <f aca="true">NORMINV(RAND(),Assumptions!$B$14,Assumptions!$B$15)</f>
        <v>0.0574026781838396</v>
      </c>
      <c r="H404" s="8" t="n">
        <f aca="true">NORMINV(RAND(),Assumptions!$B$14,Assumptions!$B$15)</f>
        <v>0.0328113372268764</v>
      </c>
      <c r="I404" s="8" t="n">
        <f aca="true">NORMINV(RAND(),Assumptions!$B$14,Assumptions!$B$15)</f>
        <v>0.029825565427093</v>
      </c>
      <c r="J404" s="8" t="n">
        <f aca="true">NORMINV(RAND(),Assumptions!$B$14,Assumptions!$B$15)</f>
        <v>0.0111422934400081</v>
      </c>
      <c r="K404" s="8" t="n">
        <f aca="true">NORMINV(RAND(),Assumptions!$B$14,Assumptions!$B$15)</f>
        <v>0.0394141549333659</v>
      </c>
      <c r="L404" s="8" t="n">
        <f aca="true">NORMINV(RAND(),Assumptions!$B$14,Assumptions!$B$15)</f>
        <v>0.0216881231516028</v>
      </c>
      <c r="M404" s="6" t="n">
        <f aca="false">B404-Assumptions!$B$29</f>
        <v>391263.996662504</v>
      </c>
      <c r="N404" s="6" t="n">
        <f aca="false">W404-Assumptions!$B$29</f>
        <v>347610.985734692</v>
      </c>
      <c r="O404" s="6" t="n">
        <f aca="false">X404-Assumptions!$B$29</f>
        <v>323632.720188805</v>
      </c>
      <c r="P404" s="6" t="n">
        <f aca="false">Y404-Assumptions!$B$29</f>
        <v>283013.418690122</v>
      </c>
      <c r="Q404" s="6" t="n">
        <f aca="false">Z404-Assumptions!$B$29</f>
        <v>258582.693534227</v>
      </c>
      <c r="R404" s="6" t="n">
        <f aca="false">AA404-Assumptions!$B$29</f>
        <v>223426.032675083</v>
      </c>
      <c r="S404" s="6" t="n">
        <f aca="false">AB404-Assumptions!$B$29</f>
        <v>180756.939578448</v>
      </c>
      <c r="T404" s="6" t="n">
        <f aca="false">AC404-Assumptions!$B$29</f>
        <v>136148.117506246</v>
      </c>
      <c r="U404" s="6" t="n">
        <f aca="false">AD404-Assumptions!$B$29</f>
        <v>87665.1197828057</v>
      </c>
      <c r="V404" s="6" t="n">
        <f aca="false">AE404-Assumptions!$B$29</f>
        <v>41120.3663961773</v>
      </c>
      <c r="W404" s="6" t="n">
        <f aca="false">M404*(1+C404)</f>
        <v>397610.985734692</v>
      </c>
      <c r="X404" s="6" t="n">
        <f aca="false">N404*(1+D404)</f>
        <v>373632.720188805</v>
      </c>
      <c r="Y404" s="6" t="n">
        <f aca="false">O404*(1+E404)</f>
        <v>333013.418690122</v>
      </c>
      <c r="Z404" s="6" t="n">
        <f aca="false">P404*(1+F404)</f>
        <v>308582.693534227</v>
      </c>
      <c r="AA404" s="6" t="n">
        <f aca="false">Q404*(1+G404)</f>
        <v>273426.032675083</v>
      </c>
      <c r="AB404" s="6" t="n">
        <f aca="false">R404*(1+H404)</f>
        <v>230756.939578448</v>
      </c>
      <c r="AC404" s="6" t="n">
        <f aca="false">S404*(1+I404)</f>
        <v>186148.117506246</v>
      </c>
      <c r="AD404" s="6" t="n">
        <f aca="false">T404*(1+J404)</f>
        <v>137665.119782806</v>
      </c>
      <c r="AE404" s="6" t="n">
        <f aca="false">U404*(1+K404)</f>
        <v>91120.3663961773</v>
      </c>
      <c r="AF404" s="6" t="n">
        <f aca="false">V404*(1+L404)</f>
        <v>42012.1899666167</v>
      </c>
      <c r="AG404" s="6" t="n">
        <f aca="false">MIN(M404:V404)</f>
        <v>41120.3663961773</v>
      </c>
      <c r="AH404" s="19" t="n">
        <f aca="false">IF(AG404&gt;=0,1,0)</f>
        <v>1</v>
      </c>
    </row>
    <row r="405" customFormat="false" ht="15" hidden="false" customHeight="false" outlineLevel="0" collapsed="false">
      <c r="A405" s="0" t="n">
        <f aca="false">ROW()-1</f>
        <v>404</v>
      </c>
      <c r="B405" s="6" t="n">
        <f aca="false">Assumptions!$B$35</f>
        <v>441263.996662504</v>
      </c>
      <c r="C405" s="8" t="n">
        <f aca="true">NORMINV(RAND(),Assumptions!$B$14,Assumptions!$B$15)</f>
        <v>0.00674939540042457</v>
      </c>
      <c r="D405" s="8" t="n">
        <f aca="true">NORMINV(RAND(),Assumptions!$B$14,Assumptions!$B$15)</f>
        <v>0.00826085871656768</v>
      </c>
      <c r="E405" s="8" t="n">
        <f aca="true">NORMINV(RAND(),Assumptions!$B$14,Assumptions!$B$15)</f>
        <v>0.0568207239304969</v>
      </c>
      <c r="F405" s="8" t="n">
        <f aca="true">NORMINV(RAND(),Assumptions!$B$14,Assumptions!$B$15)</f>
        <v>0.0477983847023989</v>
      </c>
      <c r="G405" s="8" t="n">
        <f aca="true">NORMINV(RAND(),Assumptions!$B$14,Assumptions!$B$15)</f>
        <v>0.0466862708500776</v>
      </c>
      <c r="H405" s="8" t="n">
        <f aca="true">NORMINV(RAND(),Assumptions!$B$14,Assumptions!$B$15)</f>
        <v>0.00541038150161438</v>
      </c>
      <c r="I405" s="8" t="n">
        <f aca="true">NORMINV(RAND(),Assumptions!$B$14,Assumptions!$B$15)</f>
        <v>0.0374834888928061</v>
      </c>
      <c r="J405" s="8" t="n">
        <f aca="true">NORMINV(RAND(),Assumptions!$B$14,Assumptions!$B$15)</f>
        <v>0.115537528646503</v>
      </c>
      <c r="K405" s="8" t="n">
        <f aca="true">NORMINV(RAND(),Assumptions!$B$14,Assumptions!$B$15)</f>
        <v>0.0574570957090696</v>
      </c>
      <c r="L405" s="8" t="n">
        <f aca="true">NORMINV(RAND(),Assumptions!$B$14,Assumptions!$B$15)</f>
        <v>0.105181275243074</v>
      </c>
      <c r="M405" s="6" t="n">
        <f aca="false">B405-Assumptions!$B$29</f>
        <v>391263.996662504</v>
      </c>
      <c r="N405" s="6" t="n">
        <f aca="false">W405-Assumptions!$B$29</f>
        <v>343904.792081929</v>
      </c>
      <c r="O405" s="6" t="n">
        <f aca="false">X405-Assumptions!$B$29</f>
        <v>296745.740981269</v>
      </c>
      <c r="P405" s="6" t="n">
        <f aca="false">Y405-Assumptions!$B$29</f>
        <v>263607.048807116</v>
      </c>
      <c r="Q405" s="6" t="n">
        <f aca="false">Z405-Assumptions!$B$29</f>
        <v>226207.039936262</v>
      </c>
      <c r="R405" s="6" t="n">
        <f aca="false">AA405-Assumptions!$B$29</f>
        <v>186767.803070921</v>
      </c>
      <c r="S405" s="6" t="n">
        <f aca="false">AB405-Assumptions!$B$29</f>
        <v>137778.288137753</v>
      </c>
      <c r="T405" s="6" t="n">
        <f aca="false">AC405-Assumptions!$B$29</f>
        <v>92942.6990708345</v>
      </c>
      <c r="U405" s="6" t="n">
        <f aca="false">AD405-Assumptions!$B$29</f>
        <v>53681.0688272144</v>
      </c>
      <c r="V405" s="6" t="n">
        <f aca="false">AE405-Assumptions!$B$29</f>
        <v>6765.42713658483</v>
      </c>
      <c r="W405" s="6" t="n">
        <f aca="false">M405*(1+C405)</f>
        <v>393904.792081929</v>
      </c>
      <c r="X405" s="6" t="n">
        <f aca="false">N405*(1+D405)</f>
        <v>346745.740981269</v>
      </c>
      <c r="Y405" s="6" t="n">
        <f aca="false">O405*(1+E405)</f>
        <v>313607.048807116</v>
      </c>
      <c r="Z405" s="6" t="n">
        <f aca="false">P405*(1+F405)</f>
        <v>276207.039936263</v>
      </c>
      <c r="AA405" s="6" t="n">
        <f aca="false">Q405*(1+G405)</f>
        <v>236767.803070921</v>
      </c>
      <c r="AB405" s="6" t="n">
        <f aca="false">R405*(1+H405)</f>
        <v>187778.288137753</v>
      </c>
      <c r="AC405" s="6" t="n">
        <f aca="false">S405*(1+I405)</f>
        <v>142942.699070835</v>
      </c>
      <c r="AD405" s="6" t="n">
        <f aca="false">T405*(1+J405)</f>
        <v>103681.068827214</v>
      </c>
      <c r="AE405" s="6" t="n">
        <f aca="false">U405*(1+K405)</f>
        <v>56765.4271365848</v>
      </c>
      <c r="AF405" s="6" t="n">
        <f aca="false">V405*(1+L405)</f>
        <v>7477.02339037492</v>
      </c>
      <c r="AG405" s="6" t="n">
        <f aca="false">MIN(M405:V405)</f>
        <v>6765.42713658483</v>
      </c>
      <c r="AH405" s="19" t="n">
        <f aca="false">IF(AG405&gt;=0,1,0)</f>
        <v>1</v>
      </c>
    </row>
    <row r="406" customFormat="false" ht="15" hidden="false" customHeight="false" outlineLevel="0" collapsed="false">
      <c r="A406" s="0" t="n">
        <f aca="false">ROW()-1</f>
        <v>405</v>
      </c>
      <c r="B406" s="6" t="n">
        <f aca="false">Assumptions!$B$35</f>
        <v>441263.996662504</v>
      </c>
      <c r="C406" s="8" t="n">
        <f aca="true">NORMINV(RAND(),Assumptions!$B$14,Assumptions!$B$15)</f>
        <v>0.0546884874611459</v>
      </c>
      <c r="D406" s="8" t="n">
        <f aca="true">NORMINV(RAND(),Assumptions!$B$14,Assumptions!$B$15)</f>
        <v>0.0583000275731942</v>
      </c>
      <c r="E406" s="8" t="n">
        <f aca="true">NORMINV(RAND(),Assumptions!$B$14,Assumptions!$B$15)</f>
        <v>0.0854350461196312</v>
      </c>
      <c r="F406" s="8" t="n">
        <f aca="true">NORMINV(RAND(),Assumptions!$B$14,Assumptions!$B$15)</f>
        <v>-0.000800385336500842</v>
      </c>
      <c r="G406" s="8" t="n">
        <f aca="true">NORMINV(RAND(),Assumptions!$B$14,Assumptions!$B$15)</f>
        <v>0.0362230301957057</v>
      </c>
      <c r="H406" s="8" t="n">
        <f aca="true">NORMINV(RAND(),Assumptions!$B$14,Assumptions!$B$15)</f>
        <v>0.0638041613690085</v>
      </c>
      <c r="I406" s="8" t="n">
        <f aca="true">NORMINV(RAND(),Assumptions!$B$14,Assumptions!$B$15)</f>
        <v>0.040134381494983</v>
      </c>
      <c r="J406" s="8" t="n">
        <f aca="true">NORMINV(RAND(),Assumptions!$B$14,Assumptions!$B$15)</f>
        <v>0.064799796022174</v>
      </c>
      <c r="K406" s="8" t="n">
        <f aca="true">NORMINV(RAND(),Assumptions!$B$14,Assumptions!$B$15)</f>
        <v>0.0819246222497217</v>
      </c>
      <c r="L406" s="8" t="n">
        <f aca="true">NORMINV(RAND(),Assumptions!$B$14,Assumptions!$B$15)</f>
        <v>0.100957068651741</v>
      </c>
      <c r="M406" s="6" t="n">
        <f aca="false">B406-Assumptions!$B$29</f>
        <v>391263.996662504</v>
      </c>
      <c r="N406" s="6" t="n">
        <f aca="false">W406-Assumptions!$B$29</f>
        <v>362661.632837979</v>
      </c>
      <c r="O406" s="6" t="n">
        <f aca="false">X406-Assumptions!$B$29</f>
        <v>333804.816032173</v>
      </c>
      <c r="P406" s="6" t="n">
        <f aca="false">Y406-Assumptions!$B$29</f>
        <v>312323.445884836</v>
      </c>
      <c r="Q406" s="6" t="n">
        <f aca="false">Z406-Assumptions!$B$29</f>
        <v>262073.466778505</v>
      </c>
      <c r="R406" s="6" t="n">
        <f aca="false">AA406-Assumptions!$B$29</f>
        <v>221566.561879116</v>
      </c>
      <c r="S406" s="6" t="n">
        <f aca="false">AB406-Assumptions!$B$29</f>
        <v>185703.430547227</v>
      </c>
      <c r="T406" s="6" t="n">
        <f aca="false">AC406-Assumptions!$B$29</f>
        <v>143156.522873737</v>
      </c>
      <c r="U406" s="6" t="n">
        <f aca="false">AD406-Assumptions!$B$29</f>
        <v>102433.036355198</v>
      </c>
      <c r="V406" s="6" t="n">
        <f aca="false">AE406-Assumptions!$B$29</f>
        <v>60824.8241644901</v>
      </c>
      <c r="W406" s="6" t="n">
        <f aca="false">M406*(1+C406)</f>
        <v>412661.632837979</v>
      </c>
      <c r="X406" s="6" t="n">
        <f aca="false">N406*(1+D406)</f>
        <v>383804.816032173</v>
      </c>
      <c r="Y406" s="6" t="n">
        <f aca="false">O406*(1+E406)</f>
        <v>362323.445884836</v>
      </c>
      <c r="Z406" s="6" t="n">
        <f aca="false">P406*(1+F406)</f>
        <v>312073.466778505</v>
      </c>
      <c r="AA406" s="6" t="n">
        <f aca="false">Q406*(1+G406)</f>
        <v>271566.561879116</v>
      </c>
      <c r="AB406" s="6" t="n">
        <f aca="false">R406*(1+H406)</f>
        <v>235703.430547227</v>
      </c>
      <c r="AC406" s="6" t="n">
        <f aca="false">S406*(1+I406)</f>
        <v>193156.522873737</v>
      </c>
      <c r="AD406" s="6" t="n">
        <f aca="false">T406*(1+J406)</f>
        <v>152433.036355198</v>
      </c>
      <c r="AE406" s="6" t="n">
        <f aca="false">U406*(1+K406)</f>
        <v>110824.82416449</v>
      </c>
      <c r="AF406" s="6" t="n">
        <f aca="false">V406*(1+L406)</f>
        <v>66965.5201133945</v>
      </c>
      <c r="AG406" s="6" t="n">
        <f aca="false">MIN(M406:V406)</f>
        <v>60824.8241644901</v>
      </c>
      <c r="AH406" s="19" t="n">
        <f aca="false">IF(AG406&gt;=0,1,0)</f>
        <v>1</v>
      </c>
    </row>
    <row r="407" customFormat="false" ht="15" hidden="false" customHeight="false" outlineLevel="0" collapsed="false">
      <c r="A407" s="0" t="n">
        <f aca="false">ROW()-1</f>
        <v>406</v>
      </c>
      <c r="B407" s="6" t="n">
        <f aca="false">Assumptions!$B$35</f>
        <v>441263.996662504</v>
      </c>
      <c r="C407" s="8" t="n">
        <f aca="true">NORMINV(RAND(),Assumptions!$B$14,Assumptions!$B$15)</f>
        <v>0.0713110602530612</v>
      </c>
      <c r="D407" s="8" t="n">
        <f aca="true">NORMINV(RAND(),Assumptions!$B$14,Assumptions!$B$15)</f>
        <v>0.0328922902551949</v>
      </c>
      <c r="E407" s="8" t="n">
        <f aca="true">NORMINV(RAND(),Assumptions!$B$14,Assumptions!$B$15)</f>
        <v>0.0419436493073979</v>
      </c>
      <c r="F407" s="8" t="n">
        <f aca="true">NORMINV(RAND(),Assumptions!$B$14,Assumptions!$B$15)</f>
        <v>0.0663657150728135</v>
      </c>
      <c r="G407" s="8" t="n">
        <f aca="true">NORMINV(RAND(),Assumptions!$B$14,Assumptions!$B$15)</f>
        <v>0.0421362713136597</v>
      </c>
      <c r="H407" s="8" t="n">
        <f aca="true">NORMINV(RAND(),Assumptions!$B$14,Assumptions!$B$15)</f>
        <v>0.0470882652163765</v>
      </c>
      <c r="I407" s="8" t="n">
        <f aca="true">NORMINV(RAND(),Assumptions!$B$14,Assumptions!$B$15)</f>
        <v>0.0192957887135782</v>
      </c>
      <c r="J407" s="8" t="n">
        <f aca="true">NORMINV(RAND(),Assumptions!$B$14,Assumptions!$B$15)</f>
        <v>0.00954573428501505</v>
      </c>
      <c r="K407" s="8" t="n">
        <f aca="true">NORMINV(RAND(),Assumptions!$B$14,Assumptions!$B$15)</f>
        <v>0.0496668172154054</v>
      </c>
      <c r="L407" s="8" t="n">
        <f aca="true">NORMINV(RAND(),Assumptions!$B$14,Assumptions!$B$15)</f>
        <v>0.0844415960891141</v>
      </c>
      <c r="M407" s="6" t="n">
        <f aca="false">B407-Assumptions!$B$29</f>
        <v>391263.996662504</v>
      </c>
      <c r="N407" s="6" t="n">
        <f aca="false">W407-Assumptions!$B$29</f>
        <v>369165.447103357</v>
      </c>
      <c r="O407" s="6" t="n">
        <f aca="false">X407-Assumptions!$B$29</f>
        <v>331308.144141669</v>
      </c>
      <c r="P407" s="6" t="n">
        <f aca="false">Y407-Assumptions!$B$29</f>
        <v>295204.416752232</v>
      </c>
      <c r="Q407" s="6" t="n">
        <f aca="false">Z407-Assumptions!$B$29</f>
        <v>264795.868962647</v>
      </c>
      <c r="R407" s="6" t="n">
        <f aca="false">AA407-Assumptions!$B$29</f>
        <v>225953.379539993</v>
      </c>
      <c r="S407" s="6" t="n">
        <f aca="false">AB407-Assumptions!$B$29</f>
        <v>186593.132202309</v>
      </c>
      <c r="T407" s="6" t="n">
        <f aca="false">AC407-Assumptions!$B$29</f>
        <v>140193.59385669</v>
      </c>
      <c r="U407" s="6" t="n">
        <f aca="false">AD407-Assumptions!$B$29</f>
        <v>91531.8446521069</v>
      </c>
      <c r="V407" s="6" t="n">
        <f aca="false">AE407-Assumptions!$B$29</f>
        <v>46077.940049832</v>
      </c>
      <c r="W407" s="6" t="n">
        <f aca="false">M407*(1+C407)</f>
        <v>419165.447103357</v>
      </c>
      <c r="X407" s="6" t="n">
        <f aca="false">N407*(1+D407)</f>
        <v>381308.144141669</v>
      </c>
      <c r="Y407" s="6" t="n">
        <f aca="false">O407*(1+E407)</f>
        <v>345204.416752232</v>
      </c>
      <c r="Z407" s="6" t="n">
        <f aca="false">P407*(1+F407)</f>
        <v>314795.868962647</v>
      </c>
      <c r="AA407" s="6" t="n">
        <f aca="false">Q407*(1+G407)</f>
        <v>275953.379539993</v>
      </c>
      <c r="AB407" s="6" t="n">
        <f aca="false">R407*(1+H407)</f>
        <v>236593.132202309</v>
      </c>
      <c r="AC407" s="6" t="n">
        <f aca="false">S407*(1+I407)</f>
        <v>190193.59385669</v>
      </c>
      <c r="AD407" s="6" t="n">
        <f aca="false">T407*(1+J407)</f>
        <v>141531.844652107</v>
      </c>
      <c r="AE407" s="6" t="n">
        <f aca="false">U407*(1+K407)</f>
        <v>96077.940049832</v>
      </c>
      <c r="AF407" s="6" t="n">
        <f aca="false">V407*(1+L407)</f>
        <v>49968.8348521383</v>
      </c>
      <c r="AG407" s="6" t="n">
        <f aca="false">MIN(M407:V407)</f>
        <v>46077.940049832</v>
      </c>
      <c r="AH407" s="19" t="n">
        <f aca="false">IF(AG407&gt;=0,1,0)</f>
        <v>1</v>
      </c>
    </row>
    <row r="408" customFormat="false" ht="15" hidden="false" customHeight="false" outlineLevel="0" collapsed="false">
      <c r="A408" s="0" t="n">
        <f aca="false">ROW()-1</f>
        <v>407</v>
      </c>
      <c r="B408" s="6" t="n">
        <f aca="false">Assumptions!$B$35</f>
        <v>441263.996662504</v>
      </c>
      <c r="C408" s="8" t="n">
        <f aca="true">NORMINV(RAND(),Assumptions!$B$14,Assumptions!$B$15)</f>
        <v>0.027755888748288</v>
      </c>
      <c r="D408" s="8" t="n">
        <f aca="true">NORMINV(RAND(),Assumptions!$B$14,Assumptions!$B$15)</f>
        <v>0.0830805212336423</v>
      </c>
      <c r="E408" s="8" t="n">
        <f aca="true">NORMINV(RAND(),Assumptions!$B$14,Assumptions!$B$15)</f>
        <v>0.0954688169661428</v>
      </c>
      <c r="F408" s="8" t="n">
        <f aca="true">NORMINV(RAND(),Assumptions!$B$14,Assumptions!$B$15)</f>
        <v>0.0656161236446492</v>
      </c>
      <c r="G408" s="8" t="n">
        <f aca="true">NORMINV(RAND(),Assumptions!$B$14,Assumptions!$B$15)</f>
        <v>0.104148775440922</v>
      </c>
      <c r="H408" s="8" t="n">
        <f aca="true">NORMINV(RAND(),Assumptions!$B$14,Assumptions!$B$15)</f>
        <v>0.0172356438284683</v>
      </c>
      <c r="I408" s="8" t="n">
        <f aca="true">NORMINV(RAND(),Assumptions!$B$14,Assumptions!$B$15)</f>
        <v>0.0316560458491925</v>
      </c>
      <c r="J408" s="8" t="n">
        <f aca="true">NORMINV(RAND(),Assumptions!$B$14,Assumptions!$B$15)</f>
        <v>0.0811696943962049</v>
      </c>
      <c r="K408" s="8" t="n">
        <f aca="true">NORMINV(RAND(),Assumptions!$B$14,Assumptions!$B$15)</f>
        <v>0.0297621332263528</v>
      </c>
      <c r="L408" s="8" t="n">
        <f aca="true">NORMINV(RAND(),Assumptions!$B$14,Assumptions!$B$15)</f>
        <v>0.0394585528586336</v>
      </c>
      <c r="M408" s="6" t="n">
        <f aca="false">B408-Assumptions!$B$29</f>
        <v>391263.996662504</v>
      </c>
      <c r="N408" s="6" t="n">
        <f aca="false">W408-Assumptions!$B$29</f>
        <v>352123.876625079</v>
      </c>
      <c r="O408" s="6" t="n">
        <f aca="false">X408-Assumptions!$B$29</f>
        <v>331378.511833901</v>
      </c>
      <c r="P408" s="6" t="n">
        <f aca="false">Y408-Assumptions!$B$29</f>
        <v>313014.826326684</v>
      </c>
      <c r="Q408" s="6" t="n">
        <f aca="false">Z408-Assumptions!$B$29</f>
        <v>283553.645873544</v>
      </c>
      <c r="R408" s="6" t="n">
        <f aca="false">AA408-Assumptions!$B$29</f>
        <v>263085.410863083</v>
      </c>
      <c r="S408" s="6" t="n">
        <f aca="false">AB408-Assumptions!$B$29</f>
        <v>217619.857301185</v>
      </c>
      <c r="T408" s="6" t="n">
        <f aca="false">AC408-Assumptions!$B$29</f>
        <v>174508.841481606</v>
      </c>
      <c r="U408" s="6" t="n">
        <f aca="false">AD408-Assumptions!$B$29</f>
        <v>138673.670814104</v>
      </c>
      <c r="V408" s="6" t="n">
        <f aca="false">AE408-Assumptions!$B$29</f>
        <v>92800.8950798607</v>
      </c>
      <c r="W408" s="6" t="n">
        <f aca="false">M408*(1+C408)</f>
        <v>402123.876625079</v>
      </c>
      <c r="X408" s="6" t="n">
        <f aca="false">N408*(1+D408)</f>
        <v>381378.511833901</v>
      </c>
      <c r="Y408" s="6" t="n">
        <f aca="false">O408*(1+E408)</f>
        <v>363014.826326684</v>
      </c>
      <c r="Z408" s="6" t="n">
        <f aca="false">P408*(1+F408)</f>
        <v>333553.645873544</v>
      </c>
      <c r="AA408" s="6" t="n">
        <f aca="false">Q408*(1+G408)</f>
        <v>313085.410863083</v>
      </c>
      <c r="AB408" s="6" t="n">
        <f aca="false">R408*(1+H408)</f>
        <v>267619.857301185</v>
      </c>
      <c r="AC408" s="6" t="n">
        <f aca="false">S408*(1+I408)</f>
        <v>224508.841481606</v>
      </c>
      <c r="AD408" s="6" t="n">
        <f aca="false">T408*(1+J408)</f>
        <v>188673.670814104</v>
      </c>
      <c r="AE408" s="6" t="n">
        <f aca="false">U408*(1+K408)</f>
        <v>142800.895079861</v>
      </c>
      <c r="AF408" s="6" t="n">
        <f aca="false">V408*(1+L408)</f>
        <v>96462.6841036979</v>
      </c>
      <c r="AG408" s="6" t="n">
        <f aca="false">MIN(M408:V408)</f>
        <v>92800.8950798607</v>
      </c>
      <c r="AH408" s="19" t="n">
        <f aca="false">IF(AG408&gt;=0,1,0)</f>
        <v>1</v>
      </c>
    </row>
    <row r="409" customFormat="false" ht="15" hidden="false" customHeight="false" outlineLevel="0" collapsed="false">
      <c r="A409" s="0" t="n">
        <f aca="false">ROW()-1</f>
        <v>408</v>
      </c>
      <c r="B409" s="6" t="n">
        <f aca="false">Assumptions!$B$35</f>
        <v>441263.996662504</v>
      </c>
      <c r="C409" s="8" t="n">
        <f aca="true">NORMINV(RAND(),Assumptions!$B$14,Assumptions!$B$15)</f>
        <v>0.0742523149903016</v>
      </c>
      <c r="D409" s="8" t="n">
        <f aca="true">NORMINV(RAND(),Assumptions!$B$14,Assumptions!$B$15)</f>
        <v>0.00680731492827637</v>
      </c>
      <c r="E409" s="8" t="n">
        <f aca="true">NORMINV(RAND(),Assumptions!$B$14,Assumptions!$B$15)</f>
        <v>0.0630411318835293</v>
      </c>
      <c r="F409" s="8" t="n">
        <f aca="true">NORMINV(RAND(),Assumptions!$B$14,Assumptions!$B$15)</f>
        <v>0.0572387387479149</v>
      </c>
      <c r="G409" s="8" t="n">
        <f aca="true">NORMINV(RAND(),Assumptions!$B$14,Assumptions!$B$15)</f>
        <v>0.0201768415246779</v>
      </c>
      <c r="H409" s="8" t="n">
        <f aca="true">NORMINV(RAND(),Assumptions!$B$14,Assumptions!$B$15)</f>
        <v>0.0326155960113697</v>
      </c>
      <c r="I409" s="8" t="n">
        <f aca="true">NORMINV(RAND(),Assumptions!$B$14,Assumptions!$B$15)</f>
        <v>0.0833239305147052</v>
      </c>
      <c r="J409" s="8" t="n">
        <f aca="true">NORMINV(RAND(),Assumptions!$B$14,Assumptions!$B$15)</f>
        <v>0.0061378462999969</v>
      </c>
      <c r="K409" s="8" t="n">
        <f aca="true">NORMINV(RAND(),Assumptions!$B$14,Assumptions!$B$15)</f>
        <v>0.0855524196912948</v>
      </c>
      <c r="L409" s="8" t="n">
        <f aca="true">NORMINV(RAND(),Assumptions!$B$14,Assumptions!$B$15)</f>
        <v>0.0753137880936709</v>
      </c>
      <c r="M409" s="6" t="n">
        <f aca="false">B409-Assumptions!$B$29</f>
        <v>391263.996662504</v>
      </c>
      <c r="N409" s="6" t="n">
        <f aca="false">W409-Assumptions!$B$29</f>
        <v>370316.254187052</v>
      </c>
      <c r="O409" s="6" t="n">
        <f aca="false">X409-Assumptions!$B$29</f>
        <v>322837.113552363</v>
      </c>
      <c r="P409" s="6" t="n">
        <f aca="false">Y409-Assumptions!$B$29</f>
        <v>293189.130604715</v>
      </c>
      <c r="Q409" s="6" t="n">
        <f aca="false">Z409-Assumptions!$B$29</f>
        <v>259970.906655127</v>
      </c>
      <c r="R409" s="6" t="n">
        <f aca="false">AA409-Assumptions!$B$29</f>
        <v>215216.298439734</v>
      </c>
      <c r="S409" s="6" t="n">
        <f aca="false">AB409-Assumptions!$B$29</f>
        <v>172235.706284707</v>
      </c>
      <c r="T409" s="6" t="n">
        <f aca="false">AC409-Assumptions!$B$29</f>
        <v>136587.062307325</v>
      </c>
      <c r="U409" s="6" t="n">
        <f aca="false">AD409-Assumptions!$B$29</f>
        <v>87425.4127023356</v>
      </c>
      <c r="V409" s="6" t="n">
        <f aca="false">AE409-Assumptions!$B$29</f>
        <v>44904.8683015305</v>
      </c>
      <c r="W409" s="6" t="n">
        <f aca="false">M409*(1+C409)</f>
        <v>420316.254187052</v>
      </c>
      <c r="X409" s="6" t="n">
        <f aca="false">N409*(1+D409)</f>
        <v>372837.113552363</v>
      </c>
      <c r="Y409" s="6" t="n">
        <f aca="false">O409*(1+E409)</f>
        <v>343189.130604715</v>
      </c>
      <c r="Z409" s="6" t="n">
        <f aca="false">P409*(1+F409)</f>
        <v>309970.906655127</v>
      </c>
      <c r="AA409" s="6" t="n">
        <f aca="false">Q409*(1+G409)</f>
        <v>265216.298439734</v>
      </c>
      <c r="AB409" s="6" t="n">
        <f aca="false">R409*(1+H409)</f>
        <v>222235.706284707</v>
      </c>
      <c r="AC409" s="6" t="n">
        <f aca="false">S409*(1+I409)</f>
        <v>186587.062307325</v>
      </c>
      <c r="AD409" s="6" t="n">
        <f aca="false">T409*(1+J409)</f>
        <v>137425.412702336</v>
      </c>
      <c r="AE409" s="6" t="n">
        <f aca="false">U409*(1+K409)</f>
        <v>94904.8683015305</v>
      </c>
      <c r="AF409" s="6" t="n">
        <f aca="false">V409*(1+L409)</f>
        <v>48286.8240371661</v>
      </c>
      <c r="AG409" s="6" t="n">
        <f aca="false">MIN(M409:V409)</f>
        <v>44904.8683015305</v>
      </c>
      <c r="AH409" s="19" t="n">
        <f aca="false">IF(AG409&gt;=0,1,0)</f>
        <v>1</v>
      </c>
    </row>
    <row r="410" customFormat="false" ht="15" hidden="false" customHeight="false" outlineLevel="0" collapsed="false">
      <c r="A410" s="0" t="n">
        <f aca="false">ROW()-1</f>
        <v>409</v>
      </c>
      <c r="B410" s="6" t="n">
        <f aca="false">Assumptions!$B$35</f>
        <v>441263.996662504</v>
      </c>
      <c r="C410" s="8" t="n">
        <f aca="true">NORMINV(RAND(),Assumptions!$B$14,Assumptions!$B$15)</f>
        <v>-0.0097390115828874</v>
      </c>
      <c r="D410" s="8" t="n">
        <f aca="true">NORMINV(RAND(),Assumptions!$B$14,Assumptions!$B$15)</f>
        <v>0.0335334276226786</v>
      </c>
      <c r="E410" s="8" t="n">
        <f aca="true">NORMINV(RAND(),Assumptions!$B$14,Assumptions!$B$15)</f>
        <v>0.118253767989346</v>
      </c>
      <c r="F410" s="8" t="n">
        <f aca="true">NORMINV(RAND(),Assumptions!$B$14,Assumptions!$B$15)</f>
        <v>0.0132566445241888</v>
      </c>
      <c r="G410" s="8" t="n">
        <f aca="true">NORMINV(RAND(),Assumptions!$B$14,Assumptions!$B$15)</f>
        <v>0.0768670731982127</v>
      </c>
      <c r="H410" s="8" t="n">
        <f aca="true">NORMINV(RAND(),Assumptions!$B$14,Assumptions!$B$15)</f>
        <v>0.0381700540419461</v>
      </c>
      <c r="I410" s="8" t="n">
        <f aca="true">NORMINV(RAND(),Assumptions!$B$14,Assumptions!$B$15)</f>
        <v>0.0741756678591019</v>
      </c>
      <c r="J410" s="8" t="n">
        <f aca="true">NORMINV(RAND(),Assumptions!$B$14,Assumptions!$B$15)</f>
        <v>0.0827289017047189</v>
      </c>
      <c r="K410" s="8" t="n">
        <f aca="true">NORMINV(RAND(),Assumptions!$B$14,Assumptions!$B$15)</f>
        <v>0.0566674737957241</v>
      </c>
      <c r="L410" s="8" t="n">
        <f aca="true">NORMINV(RAND(),Assumptions!$B$14,Assumptions!$B$15)</f>
        <v>0.045918852170936</v>
      </c>
      <c r="M410" s="6" t="n">
        <f aca="false">B410-Assumptions!$B$29</f>
        <v>391263.996662504</v>
      </c>
      <c r="N410" s="6" t="n">
        <f aca="false">W410-Assumptions!$B$29</f>
        <v>337453.472067041</v>
      </c>
      <c r="O410" s="6" t="n">
        <f aca="false">X410-Assumptions!$B$29</f>
        <v>298769.443648622</v>
      </c>
      <c r="P410" s="6" t="n">
        <f aca="false">Y410-Assumptions!$B$29</f>
        <v>284100.056120152</v>
      </c>
      <c r="Q410" s="6" t="n">
        <f aca="false">Z410-Assumptions!$B$29</f>
        <v>237866.269573439</v>
      </c>
      <c r="R410" s="6" t="n">
        <f aca="false">AA410-Assumptions!$B$29</f>
        <v>206150.353528127</v>
      </c>
      <c r="S410" s="6" t="n">
        <f aca="false">AB410-Assumptions!$B$29</f>
        <v>164019.123663062</v>
      </c>
      <c r="T410" s="6" t="n">
        <f aca="false">AC410-Assumptions!$B$29</f>
        <v>126185.351702434</v>
      </c>
      <c r="U410" s="6" t="n">
        <f aca="false">AD410-Assumptions!$B$29</f>
        <v>86624.5272599999</v>
      </c>
      <c r="V410" s="6" t="n">
        <f aca="false">AE410-Assumptions!$B$29</f>
        <v>41533.3203885729</v>
      </c>
      <c r="W410" s="6" t="n">
        <f aca="false">M410*(1+C410)</f>
        <v>387453.472067041</v>
      </c>
      <c r="X410" s="6" t="n">
        <f aca="false">N410*(1+D410)</f>
        <v>348769.443648622</v>
      </c>
      <c r="Y410" s="6" t="n">
        <f aca="false">O410*(1+E410)</f>
        <v>334100.056120152</v>
      </c>
      <c r="Z410" s="6" t="n">
        <f aca="false">P410*(1+F410)</f>
        <v>287866.269573439</v>
      </c>
      <c r="AA410" s="6" t="n">
        <f aca="false">Q410*(1+G410)</f>
        <v>256150.353528127</v>
      </c>
      <c r="AB410" s="6" t="n">
        <f aca="false">R410*(1+H410)</f>
        <v>214019.123663062</v>
      </c>
      <c r="AC410" s="6" t="n">
        <f aca="false">S410*(1+I410)</f>
        <v>176185.351702434</v>
      </c>
      <c r="AD410" s="6" t="n">
        <f aca="false">T410*(1+J410)</f>
        <v>136624.52726</v>
      </c>
      <c r="AE410" s="6" t="n">
        <f aca="false">U410*(1+K410)</f>
        <v>91533.3203885729</v>
      </c>
      <c r="AF410" s="6" t="n">
        <f aca="false">V410*(1+L410)</f>
        <v>43440.4827876639</v>
      </c>
      <c r="AG410" s="6" t="n">
        <f aca="false">MIN(M410:V410)</f>
        <v>41533.3203885729</v>
      </c>
      <c r="AH410" s="19" t="n">
        <f aca="false">IF(AG410&gt;=0,1,0)</f>
        <v>1</v>
      </c>
    </row>
    <row r="411" customFormat="false" ht="15" hidden="false" customHeight="false" outlineLevel="0" collapsed="false">
      <c r="A411" s="0" t="n">
        <f aca="false">ROW()-1</f>
        <v>410</v>
      </c>
      <c r="B411" s="6" t="n">
        <f aca="false">Assumptions!$B$35</f>
        <v>441263.996662504</v>
      </c>
      <c r="C411" s="8" t="n">
        <f aca="true">NORMINV(RAND(),Assumptions!$B$14,Assumptions!$B$15)</f>
        <v>0.0607830071905537</v>
      </c>
      <c r="D411" s="8" t="n">
        <f aca="true">NORMINV(RAND(),Assumptions!$B$14,Assumptions!$B$15)</f>
        <v>0.0920439651992196</v>
      </c>
      <c r="E411" s="8" t="n">
        <f aca="true">NORMINV(RAND(),Assumptions!$B$14,Assumptions!$B$15)</f>
        <v>0.0282081599642811</v>
      </c>
      <c r="F411" s="8" t="n">
        <f aca="true">NORMINV(RAND(),Assumptions!$B$14,Assumptions!$B$15)</f>
        <v>0.0577429614319268</v>
      </c>
      <c r="G411" s="8" t="n">
        <f aca="true">NORMINV(RAND(),Assumptions!$B$14,Assumptions!$B$15)</f>
        <v>0.0542240700452842</v>
      </c>
      <c r="H411" s="8" t="n">
        <f aca="true">NORMINV(RAND(),Assumptions!$B$14,Assumptions!$B$15)</f>
        <v>0.0978331884769701</v>
      </c>
      <c r="I411" s="8" t="n">
        <f aca="true">NORMINV(RAND(),Assumptions!$B$14,Assumptions!$B$15)</f>
        <v>0.0637576992467173</v>
      </c>
      <c r="J411" s="8" t="n">
        <f aca="true">NORMINV(RAND(),Assumptions!$B$14,Assumptions!$B$15)</f>
        <v>0.0446117401169908</v>
      </c>
      <c r="K411" s="8" t="n">
        <f aca="true">NORMINV(RAND(),Assumptions!$B$14,Assumptions!$B$15)</f>
        <v>0.0192532489998918</v>
      </c>
      <c r="L411" s="8" t="n">
        <f aca="true">NORMINV(RAND(),Assumptions!$B$14,Assumptions!$B$15)</f>
        <v>0.0436729453512473</v>
      </c>
      <c r="M411" s="6" t="n">
        <f aca="false">B411-Assumptions!$B$29</f>
        <v>391263.996662504</v>
      </c>
      <c r="N411" s="6" t="n">
        <f aca="false">W411-Assumptions!$B$29</f>
        <v>365046.198985045</v>
      </c>
      <c r="O411" s="6" t="n">
        <f aca="false">X411-Assumptions!$B$29</f>
        <v>348646.498620532</v>
      </c>
      <c r="P411" s="6" t="n">
        <f aca="false">Y411-Assumptions!$B$29</f>
        <v>308481.174824607</v>
      </c>
      <c r="Q411" s="6" t="n">
        <f aca="false">Z411-Assumptions!$B$29</f>
        <v>276293.791404979</v>
      </c>
      <c r="R411" s="6" t="n">
        <f aca="false">AA411-Assumptions!$B$29</f>
        <v>241275.5653032</v>
      </c>
      <c r="S411" s="6" t="n">
        <f aca="false">AB411-Assumptions!$B$29</f>
        <v>214880.323158396</v>
      </c>
      <c r="T411" s="6" t="n">
        <f aca="false">AC411-Assumptions!$B$29</f>
        <v>178580.598176366</v>
      </c>
      <c r="U411" s="6" t="n">
        <f aca="false">AD411-Assumptions!$B$29</f>
        <v>136547.389412147</v>
      </c>
      <c r="V411" s="6" t="n">
        <f aca="false">AE411-Assumptions!$B$29</f>
        <v>89176.3703007842</v>
      </c>
      <c r="W411" s="6" t="n">
        <f aca="false">M411*(1+C411)</f>
        <v>415046.198985045</v>
      </c>
      <c r="X411" s="6" t="n">
        <f aca="false">N411*(1+D411)</f>
        <v>398646.498620532</v>
      </c>
      <c r="Y411" s="6" t="n">
        <f aca="false">O411*(1+E411)</f>
        <v>358481.174824607</v>
      </c>
      <c r="Z411" s="6" t="n">
        <f aca="false">P411*(1+F411)</f>
        <v>326293.791404979</v>
      </c>
      <c r="AA411" s="6" t="n">
        <f aca="false">Q411*(1+G411)</f>
        <v>291275.5653032</v>
      </c>
      <c r="AB411" s="6" t="n">
        <f aca="false">R411*(1+H411)</f>
        <v>264880.323158396</v>
      </c>
      <c r="AC411" s="6" t="n">
        <f aca="false">S411*(1+I411)</f>
        <v>228580.598176366</v>
      </c>
      <c r="AD411" s="6" t="n">
        <f aca="false">T411*(1+J411)</f>
        <v>186547.389412147</v>
      </c>
      <c r="AE411" s="6" t="n">
        <f aca="false">U411*(1+K411)</f>
        <v>139176.370300784</v>
      </c>
      <c r="AF411" s="6" t="n">
        <f aca="false">V411*(1+L411)</f>
        <v>93070.9650475529</v>
      </c>
      <c r="AG411" s="6" t="n">
        <f aca="false">MIN(M411:V411)</f>
        <v>89176.3703007842</v>
      </c>
      <c r="AH411" s="19" t="n">
        <f aca="false">IF(AG411&gt;=0,1,0)</f>
        <v>1</v>
      </c>
    </row>
    <row r="412" customFormat="false" ht="15" hidden="false" customHeight="false" outlineLevel="0" collapsed="false">
      <c r="A412" s="0" t="n">
        <f aca="false">ROW()-1</f>
        <v>411</v>
      </c>
      <c r="B412" s="6" t="n">
        <f aca="false">Assumptions!$B$35</f>
        <v>441263.996662504</v>
      </c>
      <c r="C412" s="8" t="n">
        <f aca="true">NORMINV(RAND(),Assumptions!$B$14,Assumptions!$B$15)</f>
        <v>0.0670670125924267</v>
      </c>
      <c r="D412" s="8" t="n">
        <f aca="true">NORMINV(RAND(),Assumptions!$B$14,Assumptions!$B$15)</f>
        <v>0.0662323983868389</v>
      </c>
      <c r="E412" s="8" t="n">
        <f aca="true">NORMINV(RAND(),Assumptions!$B$14,Assumptions!$B$15)</f>
        <v>0.0597069663209161</v>
      </c>
      <c r="F412" s="8" t="n">
        <f aca="true">NORMINV(RAND(),Assumptions!$B$14,Assumptions!$B$15)</f>
        <v>0.0669489360557321</v>
      </c>
      <c r="G412" s="8" t="n">
        <f aca="true">NORMINV(RAND(),Assumptions!$B$14,Assumptions!$B$15)</f>
        <v>0.0277021169166064</v>
      </c>
      <c r="H412" s="8" t="n">
        <f aca="true">NORMINV(RAND(),Assumptions!$B$14,Assumptions!$B$15)</f>
        <v>0.0162384051417632</v>
      </c>
      <c r="I412" s="8" t="n">
        <f aca="true">NORMINV(RAND(),Assumptions!$B$14,Assumptions!$B$15)</f>
        <v>0.0693465322228806</v>
      </c>
      <c r="J412" s="8" t="n">
        <f aca="true">NORMINV(RAND(),Assumptions!$B$14,Assumptions!$B$15)</f>
        <v>0.0415350872541202</v>
      </c>
      <c r="K412" s="8" t="n">
        <f aca="true">NORMINV(RAND(),Assumptions!$B$14,Assumptions!$B$15)</f>
        <v>0.0507117607762386</v>
      </c>
      <c r="L412" s="8" t="n">
        <f aca="true">NORMINV(RAND(),Assumptions!$B$14,Assumptions!$B$15)</f>
        <v>0.0721445104718228</v>
      </c>
      <c r="M412" s="6" t="n">
        <f aca="false">B412-Assumptions!$B$29</f>
        <v>391263.996662504</v>
      </c>
      <c r="N412" s="6" t="n">
        <f aca="false">W412-Assumptions!$B$29</f>
        <v>367504.904053631</v>
      </c>
      <c r="O412" s="6" t="n">
        <f aca="false">X412-Assumptions!$B$29</f>
        <v>341845.635268028</v>
      </c>
      <c r="P412" s="6" t="n">
        <f aca="false">Y412-Assumptions!$B$29</f>
        <v>312256.201099928</v>
      </c>
      <c r="Q412" s="6" t="n">
        <f aca="false">Z412-Assumptions!$B$29</f>
        <v>283161.421540373</v>
      </c>
      <c r="R412" s="6" t="n">
        <f aca="false">AA412-Assumptions!$B$29</f>
        <v>241005.592346157</v>
      </c>
      <c r="S412" s="6" t="n">
        <f aca="false">AB412-Assumptions!$B$29</f>
        <v>194919.138796104</v>
      </c>
      <c r="T412" s="6" t="n">
        <f aca="false">AC412-Assumptions!$B$29</f>
        <v>158436.105135485</v>
      </c>
      <c r="U412" s="6" t="n">
        <f aca="false">AD412-Assumptions!$B$29</f>
        <v>115016.76258649</v>
      </c>
      <c r="V412" s="6" t="n">
        <f aca="false">AE412-Assumptions!$B$29</f>
        <v>70849.4651360334</v>
      </c>
      <c r="W412" s="6" t="n">
        <f aca="false">M412*(1+C412)</f>
        <v>417504.904053631</v>
      </c>
      <c r="X412" s="6" t="n">
        <f aca="false">N412*(1+D412)</f>
        <v>391845.635268028</v>
      </c>
      <c r="Y412" s="6" t="n">
        <f aca="false">O412*(1+E412)</f>
        <v>362256.201099928</v>
      </c>
      <c r="Z412" s="6" t="n">
        <f aca="false">P412*(1+F412)</f>
        <v>333161.421540373</v>
      </c>
      <c r="AA412" s="6" t="n">
        <f aca="false">Q412*(1+G412)</f>
        <v>291005.592346157</v>
      </c>
      <c r="AB412" s="6" t="n">
        <f aca="false">R412*(1+H412)</f>
        <v>244919.138796104</v>
      </c>
      <c r="AC412" s="6" t="n">
        <f aca="false">S412*(1+I412)</f>
        <v>208436.105135485</v>
      </c>
      <c r="AD412" s="6" t="n">
        <f aca="false">T412*(1+J412)</f>
        <v>165016.76258649</v>
      </c>
      <c r="AE412" s="6" t="n">
        <f aca="false">U412*(1+K412)</f>
        <v>120849.465136033</v>
      </c>
      <c r="AF412" s="6" t="n">
        <f aca="false">V412*(1+L412)</f>
        <v>75960.8651154631</v>
      </c>
      <c r="AG412" s="6" t="n">
        <f aca="false">MIN(M412:V412)</f>
        <v>70849.4651360334</v>
      </c>
      <c r="AH412" s="19" t="n">
        <f aca="false">IF(AG412&gt;=0,1,0)</f>
        <v>1</v>
      </c>
    </row>
    <row r="413" customFormat="false" ht="15" hidden="false" customHeight="false" outlineLevel="0" collapsed="false">
      <c r="A413" s="0" t="n">
        <f aca="false">ROW()-1</f>
        <v>412</v>
      </c>
      <c r="B413" s="6" t="n">
        <f aca="false">Assumptions!$B$35</f>
        <v>441263.996662504</v>
      </c>
      <c r="C413" s="8" t="n">
        <f aca="true">NORMINV(RAND(),Assumptions!$B$14,Assumptions!$B$15)</f>
        <v>-0.00369642866650791</v>
      </c>
      <c r="D413" s="8" t="n">
        <f aca="true">NORMINV(RAND(),Assumptions!$B$14,Assumptions!$B$15)</f>
        <v>0.00940674477342065</v>
      </c>
      <c r="E413" s="8" t="n">
        <f aca="true">NORMINV(RAND(),Assumptions!$B$14,Assumptions!$B$15)</f>
        <v>0.0218151751929575</v>
      </c>
      <c r="F413" s="8" t="n">
        <f aca="true">NORMINV(RAND(),Assumptions!$B$14,Assumptions!$B$15)</f>
        <v>-0.00160809812752418</v>
      </c>
      <c r="G413" s="8" t="n">
        <f aca="true">NORMINV(RAND(),Assumptions!$B$14,Assumptions!$B$15)</f>
        <v>0.120937162890233</v>
      </c>
      <c r="H413" s="8" t="n">
        <f aca="true">NORMINV(RAND(),Assumptions!$B$14,Assumptions!$B$15)</f>
        <v>0.0318591808800639</v>
      </c>
      <c r="I413" s="8" t="n">
        <f aca="true">NORMINV(RAND(),Assumptions!$B$14,Assumptions!$B$15)</f>
        <v>0.0695450148324837</v>
      </c>
      <c r="J413" s="8" t="n">
        <f aca="true">NORMINV(RAND(),Assumptions!$B$14,Assumptions!$B$15)</f>
        <v>0.0606904854556952</v>
      </c>
      <c r="K413" s="8" t="n">
        <f aca="true">NORMINV(RAND(),Assumptions!$B$14,Assumptions!$B$15)</f>
        <v>0.0417358065316724</v>
      </c>
      <c r="L413" s="8" t="n">
        <f aca="true">NORMINV(RAND(),Assumptions!$B$14,Assumptions!$B$15)</f>
        <v>0.0407596258002384</v>
      </c>
      <c r="M413" s="6" t="n">
        <f aca="false">B413-Assumptions!$B$29</f>
        <v>391263.996662504</v>
      </c>
      <c r="N413" s="6" t="n">
        <f aca="false">W413-Assumptions!$B$29</f>
        <v>339817.717209068</v>
      </c>
      <c r="O413" s="6" t="n">
        <f aca="false">X413-Assumptions!$B$29</f>
        <v>293014.29574434</v>
      </c>
      <c r="P413" s="6" t="n">
        <f aca="false">Y413-Assumptions!$B$29</f>
        <v>249406.453940044</v>
      </c>
      <c r="Q413" s="6" t="n">
        <f aca="false">Z413-Assumptions!$B$29</f>
        <v>199005.38388847</v>
      </c>
      <c r="R413" s="6" t="n">
        <f aca="false">AA413-Assumptions!$B$29</f>
        <v>173072.530415824</v>
      </c>
      <c r="S413" s="6" t="n">
        <f aca="false">AB413-Assumptions!$B$29</f>
        <v>128586.479467712</v>
      </c>
      <c r="T413" s="6" t="n">
        <f aca="false">AC413-Assumptions!$B$29</f>
        <v>87529.0280895506</v>
      </c>
      <c r="U413" s="6" t="n">
        <f aca="false">AD413-Assumptions!$B$29</f>
        <v>42841.2072957706</v>
      </c>
      <c r="V413" s="6" t="n">
        <f aca="false">AE413-Assumptions!$B$29</f>
        <v>-5370.78036494987</v>
      </c>
      <c r="W413" s="6" t="n">
        <f aca="false">M413*(1+C413)</f>
        <v>389817.717209068</v>
      </c>
      <c r="X413" s="6" t="n">
        <f aca="false">N413*(1+D413)</f>
        <v>343014.29574434</v>
      </c>
      <c r="Y413" s="6" t="n">
        <f aca="false">O413*(1+E413)</f>
        <v>299406.453940044</v>
      </c>
      <c r="Z413" s="6" t="n">
        <f aca="false">P413*(1+F413)</f>
        <v>249005.38388847</v>
      </c>
      <c r="AA413" s="6" t="n">
        <f aca="false">Q413*(1+G413)</f>
        <v>223072.530415824</v>
      </c>
      <c r="AB413" s="6" t="n">
        <f aca="false">R413*(1+H413)</f>
        <v>178586.479467712</v>
      </c>
      <c r="AC413" s="6" t="n">
        <f aca="false">S413*(1+I413)</f>
        <v>137529.028089551</v>
      </c>
      <c r="AD413" s="6" t="n">
        <f aca="false">T413*(1+J413)</f>
        <v>92841.2072957706</v>
      </c>
      <c r="AE413" s="6" t="n">
        <f aca="false">U413*(1+K413)</f>
        <v>44629.2196350501</v>
      </c>
      <c r="AF413" s="6" t="n">
        <f aca="false">V413*(1+L413)</f>
        <v>-5589.69136288049</v>
      </c>
      <c r="AG413" s="6" t="n">
        <f aca="false">MIN(M413:V413)</f>
        <v>-5370.78036494987</v>
      </c>
      <c r="AH413" s="19" t="n">
        <f aca="false">IF(AG413&gt;=0,1,0)</f>
        <v>0</v>
      </c>
    </row>
    <row r="414" customFormat="false" ht="15" hidden="false" customHeight="false" outlineLevel="0" collapsed="false">
      <c r="A414" s="0" t="n">
        <f aca="false">ROW()-1</f>
        <v>413</v>
      </c>
      <c r="B414" s="6" t="n">
        <f aca="false">Assumptions!$B$35</f>
        <v>441263.996662504</v>
      </c>
      <c r="C414" s="8" t="n">
        <f aca="true">NORMINV(RAND(),Assumptions!$B$14,Assumptions!$B$15)</f>
        <v>0.060192260088695</v>
      </c>
      <c r="D414" s="8" t="n">
        <f aca="true">NORMINV(RAND(),Assumptions!$B$14,Assumptions!$B$15)</f>
        <v>0.0212558225881161</v>
      </c>
      <c r="E414" s="8" t="n">
        <f aca="true">NORMINV(RAND(),Assumptions!$B$14,Assumptions!$B$15)</f>
        <v>0.085940929645811</v>
      </c>
      <c r="F414" s="8" t="n">
        <f aca="true">NORMINV(RAND(),Assumptions!$B$14,Assumptions!$B$15)</f>
        <v>0.0488112748075967</v>
      </c>
      <c r="G414" s="8" t="n">
        <f aca="true">NORMINV(RAND(),Assumptions!$B$14,Assumptions!$B$15)</f>
        <v>0.0896331984705084</v>
      </c>
      <c r="H414" s="8" t="n">
        <f aca="true">NORMINV(RAND(),Assumptions!$B$14,Assumptions!$B$15)</f>
        <v>0.046991392256789</v>
      </c>
      <c r="I414" s="8" t="n">
        <f aca="true">NORMINV(RAND(),Assumptions!$B$14,Assumptions!$B$15)</f>
        <v>0.0609947719602226</v>
      </c>
      <c r="J414" s="8" t="n">
        <f aca="true">NORMINV(RAND(),Assumptions!$B$14,Assumptions!$B$15)</f>
        <v>0.0592475038580352</v>
      </c>
      <c r="K414" s="8" t="n">
        <f aca="true">NORMINV(RAND(),Assumptions!$B$14,Assumptions!$B$15)</f>
        <v>0.0552146726091177</v>
      </c>
      <c r="L414" s="8" t="n">
        <f aca="true">NORMINV(RAND(),Assumptions!$B$14,Assumptions!$B$15)</f>
        <v>0.0118270140955882</v>
      </c>
      <c r="M414" s="6" t="n">
        <f aca="false">B414-Assumptions!$B$29</f>
        <v>391263.996662504</v>
      </c>
      <c r="N414" s="6" t="n">
        <f aca="false">W414-Assumptions!$B$29</f>
        <v>364815.060912955</v>
      </c>
      <c r="O414" s="6" t="n">
        <f aca="false">X414-Assumptions!$B$29</f>
        <v>322569.505125194</v>
      </c>
      <c r="P414" s="6" t="n">
        <f aca="false">Y414-Assumptions!$B$29</f>
        <v>300291.428271042</v>
      </c>
      <c r="Q414" s="6" t="n">
        <f aca="false">Z414-Assumptions!$B$29</f>
        <v>264949.035698746</v>
      </c>
      <c r="R414" s="6" t="n">
        <f aca="false">AA414-Assumptions!$B$29</f>
        <v>238697.265200101</v>
      </c>
      <c r="S414" s="6" t="n">
        <f aca="false">AB414-Assumptions!$B$29</f>
        <v>199913.982019742</v>
      </c>
      <c r="T414" s="6" t="n">
        <f aca="false">AC414-Assumptions!$B$29</f>
        <v>162107.689764696</v>
      </c>
      <c r="U414" s="6" t="n">
        <f aca="false">AD414-Assumptions!$B$29</f>
        <v>121712.165739447</v>
      </c>
      <c r="V414" s="6" t="n">
        <f aca="false">AE414-Assumptions!$B$29</f>
        <v>78432.4631232974</v>
      </c>
      <c r="W414" s="6" t="n">
        <f aca="false">M414*(1+C414)</f>
        <v>414815.060912955</v>
      </c>
      <c r="X414" s="6" t="n">
        <f aca="false">N414*(1+D414)</f>
        <v>372569.505125194</v>
      </c>
      <c r="Y414" s="6" t="n">
        <f aca="false">O414*(1+E414)</f>
        <v>350291.428271042</v>
      </c>
      <c r="Z414" s="6" t="n">
        <f aca="false">P414*(1+F414)</f>
        <v>314949.035698746</v>
      </c>
      <c r="AA414" s="6" t="n">
        <f aca="false">Q414*(1+G414)</f>
        <v>288697.265200101</v>
      </c>
      <c r="AB414" s="6" t="n">
        <f aca="false">R414*(1+H414)</f>
        <v>249913.982019742</v>
      </c>
      <c r="AC414" s="6" t="n">
        <f aca="false">S414*(1+I414)</f>
        <v>212107.689764696</v>
      </c>
      <c r="AD414" s="6" t="n">
        <f aca="false">T414*(1+J414)</f>
        <v>171712.165739447</v>
      </c>
      <c r="AE414" s="6" t="n">
        <f aca="false">U414*(1+K414)</f>
        <v>128432.463123297</v>
      </c>
      <c r="AF414" s="6" t="n">
        <f aca="false">V414*(1+L414)</f>
        <v>79360.0849702083</v>
      </c>
      <c r="AG414" s="6" t="n">
        <f aca="false">MIN(M414:V414)</f>
        <v>78432.4631232974</v>
      </c>
      <c r="AH414" s="19" t="n">
        <f aca="false">IF(AG414&gt;=0,1,0)</f>
        <v>1</v>
      </c>
    </row>
    <row r="415" customFormat="false" ht="15" hidden="false" customHeight="false" outlineLevel="0" collapsed="false">
      <c r="A415" s="0" t="n">
        <f aca="false">ROW()-1</f>
        <v>414</v>
      </c>
      <c r="B415" s="6" t="n">
        <f aca="false">Assumptions!$B$35</f>
        <v>441263.996662504</v>
      </c>
      <c r="C415" s="8" t="n">
        <f aca="true">NORMINV(RAND(),Assumptions!$B$14,Assumptions!$B$15)</f>
        <v>0.0338572441226602</v>
      </c>
      <c r="D415" s="8" t="n">
        <f aca="true">NORMINV(RAND(),Assumptions!$B$14,Assumptions!$B$15)</f>
        <v>0.0228994134820577</v>
      </c>
      <c r="E415" s="8" t="n">
        <f aca="true">NORMINV(RAND(),Assumptions!$B$14,Assumptions!$B$15)</f>
        <v>0.00477276371872071</v>
      </c>
      <c r="F415" s="8" t="n">
        <f aca="true">NORMINV(RAND(),Assumptions!$B$14,Assumptions!$B$15)</f>
        <v>0.0854452648847694</v>
      </c>
      <c r="G415" s="8" t="n">
        <f aca="true">NORMINV(RAND(),Assumptions!$B$14,Assumptions!$B$15)</f>
        <v>0.0412026672540354</v>
      </c>
      <c r="H415" s="8" t="n">
        <f aca="true">NORMINV(RAND(),Assumptions!$B$14,Assumptions!$B$15)</f>
        <v>0.0599675145312532</v>
      </c>
      <c r="I415" s="8" t="n">
        <f aca="true">NORMINV(RAND(),Assumptions!$B$14,Assumptions!$B$15)</f>
        <v>0.0636329616939482</v>
      </c>
      <c r="J415" s="8" t="n">
        <f aca="true">NORMINV(RAND(),Assumptions!$B$14,Assumptions!$B$15)</f>
        <v>0.0604148497943464</v>
      </c>
      <c r="K415" s="8" t="n">
        <f aca="true">NORMINV(RAND(),Assumptions!$B$14,Assumptions!$B$15)</f>
        <v>0.0333299562726675</v>
      </c>
      <c r="L415" s="8" t="n">
        <f aca="true">NORMINV(RAND(),Assumptions!$B$14,Assumptions!$B$15)</f>
        <v>0.074484155663136</v>
      </c>
      <c r="M415" s="6" t="n">
        <f aca="false">B415-Assumptions!$B$29</f>
        <v>391263.996662504</v>
      </c>
      <c r="N415" s="6" t="n">
        <f aca="false">W415-Assumptions!$B$29</f>
        <v>354511.117313914</v>
      </c>
      <c r="O415" s="6" t="n">
        <f aca="false">X415-Assumptions!$B$29</f>
        <v>312629.213973271</v>
      </c>
      <c r="P415" s="6" t="n">
        <f aca="false">Y415-Assumptions!$B$29</f>
        <v>264121.319343135</v>
      </c>
      <c r="Q415" s="6" t="n">
        <f aca="false">Z415-Assumptions!$B$29</f>
        <v>236689.235436124</v>
      </c>
      <c r="R415" s="6" t="n">
        <f aca="false">AA415-Assumptions!$B$29</f>
        <v>196441.463246411</v>
      </c>
      <c r="S415" s="6" t="n">
        <f aca="false">AB415-Assumptions!$B$29</f>
        <v>158221.56954818</v>
      </c>
      <c r="T415" s="6" t="n">
        <f aca="false">AC415-Assumptions!$B$29</f>
        <v>118289.676622396</v>
      </c>
      <c r="U415" s="6" t="n">
        <f aca="false">AD415-Assumptions!$B$29</f>
        <v>75436.12966776</v>
      </c>
      <c r="V415" s="6" t="n">
        <f aca="false">AE415-Assumptions!$B$29</f>
        <v>27950.4125709657</v>
      </c>
      <c r="W415" s="6" t="n">
        <f aca="false">M415*(1+C415)</f>
        <v>404511.117313914</v>
      </c>
      <c r="X415" s="6" t="n">
        <f aca="false">N415*(1+D415)</f>
        <v>362629.213973271</v>
      </c>
      <c r="Y415" s="6" t="n">
        <f aca="false">O415*(1+E415)</f>
        <v>314121.319343135</v>
      </c>
      <c r="Z415" s="6" t="n">
        <f aca="false">P415*(1+F415)</f>
        <v>286689.235436124</v>
      </c>
      <c r="AA415" s="6" t="n">
        <f aca="false">Q415*(1+G415)</f>
        <v>246441.463246411</v>
      </c>
      <c r="AB415" s="6" t="n">
        <f aca="false">R415*(1+H415)</f>
        <v>208221.56954818</v>
      </c>
      <c r="AC415" s="6" t="n">
        <f aca="false">S415*(1+I415)</f>
        <v>168289.676622396</v>
      </c>
      <c r="AD415" s="6" t="n">
        <f aca="false">T415*(1+J415)</f>
        <v>125436.12966776</v>
      </c>
      <c r="AE415" s="6" t="n">
        <f aca="false">U415*(1+K415)</f>
        <v>77950.4125709657</v>
      </c>
      <c r="AF415" s="6" t="n">
        <f aca="false">V415*(1+L415)</f>
        <v>30032.2754517504</v>
      </c>
      <c r="AG415" s="6" t="n">
        <f aca="false">MIN(M415:V415)</f>
        <v>27950.4125709657</v>
      </c>
      <c r="AH415" s="19" t="n">
        <f aca="false">IF(AG415&gt;=0,1,0)</f>
        <v>1</v>
      </c>
    </row>
    <row r="416" customFormat="false" ht="15" hidden="false" customHeight="false" outlineLevel="0" collapsed="false">
      <c r="A416" s="0" t="n">
        <f aca="false">ROW()-1</f>
        <v>415</v>
      </c>
      <c r="B416" s="6" t="n">
        <f aca="false">Assumptions!$B$35</f>
        <v>441263.996662504</v>
      </c>
      <c r="C416" s="8" t="n">
        <f aca="true">NORMINV(RAND(),Assumptions!$B$14,Assumptions!$B$15)</f>
        <v>0.0648209450948503</v>
      </c>
      <c r="D416" s="8" t="n">
        <f aca="true">NORMINV(RAND(),Assumptions!$B$14,Assumptions!$B$15)</f>
        <v>0.101425499724811</v>
      </c>
      <c r="E416" s="8" t="n">
        <f aca="true">NORMINV(RAND(),Assumptions!$B$14,Assumptions!$B$15)</f>
        <v>0.0318552485627875</v>
      </c>
      <c r="F416" s="8" t="n">
        <f aca="true">NORMINV(RAND(),Assumptions!$B$14,Assumptions!$B$15)</f>
        <v>0.0267914571905592</v>
      </c>
      <c r="G416" s="8" t="n">
        <f aca="true">NORMINV(RAND(),Assumptions!$B$14,Assumptions!$B$15)</f>
        <v>0.0324186584313557</v>
      </c>
      <c r="H416" s="8" t="n">
        <f aca="true">NORMINV(RAND(),Assumptions!$B$14,Assumptions!$B$15)</f>
        <v>0.081953665729914</v>
      </c>
      <c r="I416" s="8" t="n">
        <f aca="true">NORMINV(RAND(),Assumptions!$B$14,Assumptions!$B$15)</f>
        <v>0.0496257992140459</v>
      </c>
      <c r="J416" s="8" t="n">
        <f aca="true">NORMINV(RAND(),Assumptions!$B$14,Assumptions!$B$15)</f>
        <v>0.0457692615090508</v>
      </c>
      <c r="K416" s="8" t="n">
        <f aca="true">NORMINV(RAND(),Assumptions!$B$14,Assumptions!$B$15)</f>
        <v>0.0302939631486665</v>
      </c>
      <c r="L416" s="8" t="n">
        <f aca="true">NORMINV(RAND(),Assumptions!$B$14,Assumptions!$B$15)</f>
        <v>0.0358663918800321</v>
      </c>
      <c r="M416" s="6" t="n">
        <f aca="false">B416-Assumptions!$B$29</f>
        <v>391263.996662504</v>
      </c>
      <c r="N416" s="6" t="n">
        <f aca="false">W416-Assumptions!$B$29</f>
        <v>366626.098707755</v>
      </c>
      <c r="O416" s="6" t="n">
        <f aca="false">X416-Assumptions!$B$29</f>
        <v>353811.333981347</v>
      </c>
      <c r="P416" s="6" t="n">
        <f aca="false">Y416-Assumptions!$B$29</f>
        <v>315082.081969654</v>
      </c>
      <c r="Q416" s="6" t="n">
        <f aca="false">Z416-Assumptions!$B$29</f>
        <v>273523.590080257</v>
      </c>
      <c r="R416" s="6" t="n">
        <f aca="false">AA416-Assumptions!$B$29</f>
        <v>232390.857919987</v>
      </c>
      <c r="S416" s="6" t="n">
        <f aca="false">AB416-Assumptions!$B$29</f>
        <v>201436.140608649</v>
      </c>
      <c r="T416" s="6" t="n">
        <f aca="false">AC416-Assumptions!$B$29</f>
        <v>161432.570076946</v>
      </c>
      <c r="U416" s="6" t="n">
        <f aca="false">AD416-Assumptions!$B$29</f>
        <v>118821.219592876</v>
      </c>
      <c r="V416" s="6" t="n">
        <f aca="false">AE416-Assumptions!$B$29</f>
        <v>72420.7852405025</v>
      </c>
      <c r="W416" s="6" t="n">
        <f aca="false">M416*(1+C416)</f>
        <v>416626.098707755</v>
      </c>
      <c r="X416" s="6" t="n">
        <f aca="false">N416*(1+D416)</f>
        <v>403811.333981347</v>
      </c>
      <c r="Y416" s="6" t="n">
        <f aca="false">O416*(1+E416)</f>
        <v>365082.081969654</v>
      </c>
      <c r="Z416" s="6" t="n">
        <f aca="false">P416*(1+F416)</f>
        <v>323523.590080257</v>
      </c>
      <c r="AA416" s="6" t="n">
        <f aca="false">Q416*(1+G416)</f>
        <v>282390.857919987</v>
      </c>
      <c r="AB416" s="6" t="n">
        <f aca="false">R416*(1+H416)</f>
        <v>251436.140608649</v>
      </c>
      <c r="AC416" s="6" t="n">
        <f aca="false">S416*(1+I416)</f>
        <v>211432.570076946</v>
      </c>
      <c r="AD416" s="6" t="n">
        <f aca="false">T416*(1+J416)</f>
        <v>168821.219592876</v>
      </c>
      <c r="AE416" s="6" t="n">
        <f aca="false">U416*(1+K416)</f>
        <v>122420.785240503</v>
      </c>
      <c r="AF416" s="6" t="n">
        <f aca="false">V416*(1+L416)</f>
        <v>75018.257504198</v>
      </c>
      <c r="AG416" s="6" t="n">
        <f aca="false">MIN(M416:V416)</f>
        <v>72420.7852405025</v>
      </c>
      <c r="AH416" s="19" t="n">
        <f aca="false">IF(AG416&gt;=0,1,0)</f>
        <v>1</v>
      </c>
    </row>
    <row r="417" customFormat="false" ht="15" hidden="false" customHeight="false" outlineLevel="0" collapsed="false">
      <c r="A417" s="0" t="n">
        <f aca="false">ROW()-1</f>
        <v>416</v>
      </c>
      <c r="B417" s="6" t="n">
        <f aca="false">Assumptions!$B$35</f>
        <v>441263.996662504</v>
      </c>
      <c r="C417" s="8" t="n">
        <f aca="true">NORMINV(RAND(),Assumptions!$B$14,Assumptions!$B$15)</f>
        <v>0.0629700550819849</v>
      </c>
      <c r="D417" s="8" t="n">
        <f aca="true">NORMINV(RAND(),Assumptions!$B$14,Assumptions!$B$15)</f>
        <v>0.00114491854478879</v>
      </c>
      <c r="E417" s="8" t="n">
        <f aca="true">NORMINV(RAND(),Assumptions!$B$14,Assumptions!$B$15)</f>
        <v>0.0956335096305022</v>
      </c>
      <c r="F417" s="8" t="n">
        <f aca="true">NORMINV(RAND(),Assumptions!$B$14,Assumptions!$B$15)</f>
        <v>0.0342499988886049</v>
      </c>
      <c r="G417" s="8" t="n">
        <f aca="true">NORMINV(RAND(),Assumptions!$B$14,Assumptions!$B$15)</f>
        <v>-0.0298247437707069</v>
      </c>
      <c r="H417" s="8" t="n">
        <f aca="true">NORMINV(RAND(),Assumptions!$B$14,Assumptions!$B$15)</f>
        <v>-0.00437249761799681</v>
      </c>
      <c r="I417" s="8" t="n">
        <f aca="true">NORMINV(RAND(),Assumptions!$B$14,Assumptions!$B$15)</f>
        <v>0.0081345845433274</v>
      </c>
      <c r="J417" s="8" t="n">
        <f aca="true">NORMINV(RAND(),Assumptions!$B$14,Assumptions!$B$15)</f>
        <v>0.0269272886505011</v>
      </c>
      <c r="K417" s="8" t="n">
        <f aca="true">NORMINV(RAND(),Assumptions!$B$14,Assumptions!$B$15)</f>
        <v>0.0309560018606269</v>
      </c>
      <c r="L417" s="8" t="n">
        <f aca="true">NORMINV(RAND(),Assumptions!$B$14,Assumptions!$B$15)</f>
        <v>0.0904037121444896</v>
      </c>
      <c r="M417" s="6" t="n">
        <f aca="false">B417-Assumptions!$B$29</f>
        <v>391263.996662504</v>
      </c>
      <c r="N417" s="6" t="n">
        <f aca="false">W417-Assumptions!$B$29</f>
        <v>365901.912083939</v>
      </c>
      <c r="O417" s="6" t="n">
        <f aca="false">X417-Assumptions!$B$29</f>
        <v>316320.839968658</v>
      </c>
      <c r="P417" s="6" t="n">
        <f aca="false">Y417-Assumptions!$B$29</f>
        <v>296571.712064129</v>
      </c>
      <c r="Q417" s="6" t="n">
        <f aca="false">Z417-Assumptions!$B$29</f>
        <v>256729.292872717</v>
      </c>
      <c r="R417" s="6" t="n">
        <f aca="false">AA417-Assumptions!$B$29</f>
        <v>199072.407494353</v>
      </c>
      <c r="S417" s="6" t="n">
        <f aca="false">AB417-Assumptions!$B$29</f>
        <v>148201.963866775</v>
      </c>
      <c r="T417" s="6" t="n">
        <f aca="false">AC417-Assumptions!$B$29</f>
        <v>99407.5252713367</v>
      </c>
      <c r="U417" s="6" t="n">
        <f aca="false">AD417-Assumptions!$B$29</f>
        <v>52084.3003983499</v>
      </c>
      <c r="V417" s="6" t="n">
        <f aca="false">AE417-Assumptions!$B$29</f>
        <v>3696.62209839071</v>
      </c>
      <c r="W417" s="6" t="n">
        <f aca="false">M417*(1+C417)</f>
        <v>415901.912083939</v>
      </c>
      <c r="X417" s="6" t="n">
        <f aca="false">N417*(1+D417)</f>
        <v>366320.839968658</v>
      </c>
      <c r="Y417" s="6" t="n">
        <f aca="false">O417*(1+E417)</f>
        <v>346571.712064129</v>
      </c>
      <c r="Z417" s="6" t="n">
        <f aca="false">P417*(1+F417)</f>
        <v>306729.292872717</v>
      </c>
      <c r="AA417" s="6" t="n">
        <f aca="false">Q417*(1+G417)</f>
        <v>249072.407494353</v>
      </c>
      <c r="AB417" s="6" t="n">
        <f aca="false">R417*(1+H417)</f>
        <v>198201.963866775</v>
      </c>
      <c r="AC417" s="6" t="n">
        <f aca="false">S417*(1+I417)</f>
        <v>149407.525271337</v>
      </c>
      <c r="AD417" s="6" t="n">
        <f aca="false">T417*(1+J417)</f>
        <v>102084.30039835</v>
      </c>
      <c r="AE417" s="6" t="n">
        <f aca="false">U417*(1+K417)</f>
        <v>53696.6220983907</v>
      </c>
      <c r="AF417" s="6" t="n">
        <f aca="false">V417*(1+L417)</f>
        <v>4030.81045848058</v>
      </c>
      <c r="AG417" s="6" t="n">
        <f aca="false">MIN(M417:V417)</f>
        <v>3696.62209839071</v>
      </c>
      <c r="AH417" s="19" t="n">
        <f aca="false">IF(AG417&gt;=0,1,0)</f>
        <v>1</v>
      </c>
    </row>
    <row r="418" customFormat="false" ht="15" hidden="false" customHeight="false" outlineLevel="0" collapsed="false">
      <c r="A418" s="0" t="n">
        <f aca="false">ROW()-1</f>
        <v>417</v>
      </c>
      <c r="B418" s="6" t="n">
        <f aca="false">Assumptions!$B$35</f>
        <v>441263.996662504</v>
      </c>
      <c r="C418" s="8" t="n">
        <f aca="true">NORMINV(RAND(),Assumptions!$B$14,Assumptions!$B$15)</f>
        <v>0.0408578430721094</v>
      </c>
      <c r="D418" s="8" t="n">
        <f aca="true">NORMINV(RAND(),Assumptions!$B$14,Assumptions!$B$15)</f>
        <v>0.0987060210946147</v>
      </c>
      <c r="E418" s="8" t="n">
        <f aca="true">NORMINV(RAND(),Assumptions!$B$14,Assumptions!$B$15)</f>
        <v>0.0476016091607919</v>
      </c>
      <c r="F418" s="8" t="n">
        <f aca="true">NORMINV(RAND(),Assumptions!$B$14,Assumptions!$B$15)</f>
        <v>0.040103750303236</v>
      </c>
      <c r="G418" s="8" t="n">
        <f aca="true">NORMINV(RAND(),Assumptions!$B$14,Assumptions!$B$15)</f>
        <v>0.0287056590251982</v>
      </c>
      <c r="H418" s="8" t="n">
        <f aca="true">NORMINV(RAND(),Assumptions!$B$14,Assumptions!$B$15)</f>
        <v>0.00981295413635829</v>
      </c>
      <c r="I418" s="8" t="n">
        <f aca="true">NORMINV(RAND(),Assumptions!$B$14,Assumptions!$B$15)</f>
        <v>0.0559111915977448</v>
      </c>
      <c r="J418" s="8" t="n">
        <f aca="true">NORMINV(RAND(),Assumptions!$B$14,Assumptions!$B$15)</f>
        <v>0.0575935956606174</v>
      </c>
      <c r="K418" s="8" t="n">
        <f aca="true">NORMINV(RAND(),Assumptions!$B$14,Assumptions!$B$15)</f>
        <v>0.0734057937806111</v>
      </c>
      <c r="L418" s="8" t="n">
        <f aca="true">NORMINV(RAND(),Assumptions!$B$14,Assumptions!$B$15)</f>
        <v>0.0381091757218334</v>
      </c>
      <c r="M418" s="6" t="n">
        <f aca="false">B418-Assumptions!$B$29</f>
        <v>391263.996662504</v>
      </c>
      <c r="N418" s="6" t="n">
        <f aca="false">W418-Assumptions!$B$29</f>
        <v>357250.199637906</v>
      </c>
      <c r="O418" s="6" t="n">
        <f aca="false">X418-Assumptions!$B$29</f>
        <v>342512.945379421</v>
      </c>
      <c r="P418" s="6" t="n">
        <f aca="false">Y418-Assumptions!$B$29</f>
        <v>308817.112737884</v>
      </c>
      <c r="Q418" s="6" t="n">
        <f aca="false">Z418-Assumptions!$B$29</f>
        <v>271201.83711649</v>
      </c>
      <c r="R418" s="6" t="n">
        <f aca="false">AA418-Assumptions!$B$29</f>
        <v>228986.864579763</v>
      </c>
      <c r="S418" s="6" t="n">
        <f aca="false">AB418-Assumptions!$B$29</f>
        <v>181233.902179713</v>
      </c>
      <c r="T418" s="6" t="n">
        <f aca="false">AC418-Assumptions!$B$29</f>
        <v>141366.90560849</v>
      </c>
      <c r="U418" s="6" t="n">
        <f aca="false">AD418-Assumptions!$B$29</f>
        <v>99508.734009898</v>
      </c>
      <c r="V418" s="6" t="n">
        <f aca="false">AE418-Assumptions!$B$29</f>
        <v>56813.2516179983</v>
      </c>
      <c r="W418" s="6" t="n">
        <f aca="false">M418*(1+C418)</f>
        <v>407250.199637906</v>
      </c>
      <c r="X418" s="6" t="n">
        <f aca="false">N418*(1+D418)</f>
        <v>392512.945379421</v>
      </c>
      <c r="Y418" s="6" t="n">
        <f aca="false">O418*(1+E418)</f>
        <v>358817.112737884</v>
      </c>
      <c r="Z418" s="6" t="n">
        <f aca="false">P418*(1+F418)</f>
        <v>321201.83711649</v>
      </c>
      <c r="AA418" s="6" t="n">
        <f aca="false">Q418*(1+G418)</f>
        <v>278986.864579763</v>
      </c>
      <c r="AB418" s="6" t="n">
        <f aca="false">R418*(1+H418)</f>
        <v>231233.902179713</v>
      </c>
      <c r="AC418" s="6" t="n">
        <f aca="false">S418*(1+I418)</f>
        <v>191366.90560849</v>
      </c>
      <c r="AD418" s="6" t="n">
        <f aca="false">T418*(1+J418)</f>
        <v>149508.734009898</v>
      </c>
      <c r="AE418" s="6" t="n">
        <f aca="false">U418*(1+K418)</f>
        <v>106813.251617998</v>
      </c>
      <c r="AF418" s="6" t="n">
        <f aca="false">V418*(1+L418)</f>
        <v>58978.3578072373</v>
      </c>
      <c r="AG418" s="6" t="n">
        <f aca="false">MIN(M418:V418)</f>
        <v>56813.2516179983</v>
      </c>
      <c r="AH418" s="19" t="n">
        <f aca="false">IF(AG418&gt;=0,1,0)</f>
        <v>1</v>
      </c>
    </row>
    <row r="419" customFormat="false" ht="15" hidden="false" customHeight="false" outlineLevel="0" collapsed="false">
      <c r="A419" s="0" t="n">
        <f aca="false">ROW()-1</f>
        <v>418</v>
      </c>
      <c r="B419" s="6" t="n">
        <f aca="false">Assumptions!$B$35</f>
        <v>441263.996662504</v>
      </c>
      <c r="C419" s="8" t="n">
        <f aca="true">NORMINV(RAND(),Assumptions!$B$14,Assumptions!$B$15)</f>
        <v>0.0988025317058886</v>
      </c>
      <c r="D419" s="8" t="n">
        <f aca="true">NORMINV(RAND(),Assumptions!$B$14,Assumptions!$B$15)</f>
        <v>0.0586247484008222</v>
      </c>
      <c r="E419" s="8" t="n">
        <f aca="true">NORMINV(RAND(),Assumptions!$B$14,Assumptions!$B$15)</f>
        <v>0.0557409323807707</v>
      </c>
      <c r="F419" s="8" t="n">
        <f aca="true">NORMINV(RAND(),Assumptions!$B$14,Assumptions!$B$15)</f>
        <v>0.0809852377321433</v>
      </c>
      <c r="G419" s="8" t="n">
        <f aca="true">NORMINV(RAND(),Assumptions!$B$14,Assumptions!$B$15)</f>
        <v>0.0868571902051909</v>
      </c>
      <c r="H419" s="8" t="n">
        <f aca="true">NORMINV(RAND(),Assumptions!$B$14,Assumptions!$B$15)</f>
        <v>0.0374509139562024</v>
      </c>
      <c r="I419" s="8" t="n">
        <f aca="true">NORMINV(RAND(),Assumptions!$B$14,Assumptions!$B$15)</f>
        <v>0.0597256589109688</v>
      </c>
      <c r="J419" s="8" t="n">
        <f aca="true">NORMINV(RAND(),Assumptions!$B$14,Assumptions!$B$15)</f>
        <v>0.0350147781714933</v>
      </c>
      <c r="K419" s="8" t="n">
        <f aca="true">NORMINV(RAND(),Assumptions!$B$14,Assumptions!$B$15)</f>
        <v>0.0952557022791476</v>
      </c>
      <c r="L419" s="8" t="n">
        <f aca="true">NORMINV(RAND(),Assumptions!$B$14,Assumptions!$B$15)</f>
        <v>0.0247405992248289</v>
      </c>
      <c r="M419" s="6" t="n">
        <f aca="false">B419-Assumptions!$B$29</f>
        <v>391263.996662504</v>
      </c>
      <c r="N419" s="6" t="n">
        <f aca="false">W419-Assumptions!$B$29</f>
        <v>379921.870098123</v>
      </c>
      <c r="O419" s="6" t="n">
        <f aca="false">X419-Assumptions!$B$29</f>
        <v>352194.694144596</v>
      </c>
      <c r="P419" s="6" t="n">
        <f aca="false">Y419-Assumptions!$B$29</f>
        <v>321826.354775776</v>
      </c>
      <c r="Q419" s="6" t="n">
        <f aca="false">Z419-Assumptions!$B$29</f>
        <v>297889.538625761</v>
      </c>
      <c r="R419" s="6" t="n">
        <f aca="false">AA419-Assumptions!$B$29</f>
        <v>273763.386942315</v>
      </c>
      <c r="S419" s="6" t="n">
        <f aca="false">AB419-Assumptions!$B$29</f>
        <v>234016.07599105</v>
      </c>
      <c r="T419" s="6" t="n">
        <f aca="false">AC419-Assumptions!$B$29</f>
        <v>197992.840325375</v>
      </c>
      <c r="U419" s="6" t="n">
        <f aca="false">AD419-Assumptions!$B$29</f>
        <v>154925.515708912</v>
      </c>
      <c r="V419" s="6" t="n">
        <f aca="false">AE419-Assumptions!$B$29</f>
        <v>119683.054508724</v>
      </c>
      <c r="W419" s="6" t="n">
        <f aca="false">M419*(1+C419)</f>
        <v>429921.870098123</v>
      </c>
      <c r="X419" s="6" t="n">
        <f aca="false">N419*(1+D419)</f>
        <v>402194.694144596</v>
      </c>
      <c r="Y419" s="6" t="n">
        <f aca="false">O419*(1+E419)</f>
        <v>371826.354775776</v>
      </c>
      <c r="Z419" s="6" t="n">
        <f aca="false">P419*(1+F419)</f>
        <v>347889.538625761</v>
      </c>
      <c r="AA419" s="6" t="n">
        <f aca="false">Q419*(1+G419)</f>
        <v>323763.386942315</v>
      </c>
      <c r="AB419" s="6" t="n">
        <f aca="false">R419*(1+H419)</f>
        <v>284016.07599105</v>
      </c>
      <c r="AC419" s="6" t="n">
        <f aca="false">S419*(1+I419)</f>
        <v>247992.840325375</v>
      </c>
      <c r="AD419" s="6" t="n">
        <f aca="false">T419*(1+J419)</f>
        <v>204925.515708912</v>
      </c>
      <c r="AE419" s="6" t="n">
        <f aca="false">U419*(1+K419)</f>
        <v>169683.054508724</v>
      </c>
      <c r="AF419" s="6" t="n">
        <f aca="false">V419*(1+L419)</f>
        <v>122644.084994327</v>
      </c>
      <c r="AG419" s="6" t="n">
        <f aca="false">MIN(M419:V419)</f>
        <v>119683.054508724</v>
      </c>
      <c r="AH419" s="19" t="n">
        <f aca="false">IF(AG419&gt;=0,1,0)</f>
        <v>1</v>
      </c>
    </row>
    <row r="420" customFormat="false" ht="15" hidden="false" customHeight="false" outlineLevel="0" collapsed="false">
      <c r="A420" s="0" t="n">
        <f aca="false">ROW()-1</f>
        <v>419</v>
      </c>
      <c r="B420" s="6" t="n">
        <f aca="false">Assumptions!$B$35</f>
        <v>441263.996662504</v>
      </c>
      <c r="C420" s="8" t="n">
        <f aca="true">NORMINV(RAND(),Assumptions!$B$14,Assumptions!$B$15)</f>
        <v>0.05442387378514</v>
      </c>
      <c r="D420" s="8" t="n">
        <f aca="true">NORMINV(RAND(),Assumptions!$B$14,Assumptions!$B$15)</f>
        <v>0.0698451773772507</v>
      </c>
      <c r="E420" s="8" t="n">
        <f aca="true">NORMINV(RAND(),Assumptions!$B$14,Assumptions!$B$15)</f>
        <v>0.0593738795780019</v>
      </c>
      <c r="F420" s="8" t="n">
        <f aca="true">NORMINV(RAND(),Assumptions!$B$14,Assumptions!$B$15)</f>
        <v>0.107147346367038</v>
      </c>
      <c r="G420" s="8" t="n">
        <f aca="true">NORMINV(RAND(),Assumptions!$B$14,Assumptions!$B$15)</f>
        <v>0.00421010506736149</v>
      </c>
      <c r="H420" s="8" t="n">
        <f aca="true">NORMINV(RAND(),Assumptions!$B$14,Assumptions!$B$15)</f>
        <v>0.0351231829994314</v>
      </c>
      <c r="I420" s="8" t="n">
        <f aca="true">NORMINV(RAND(),Assumptions!$B$14,Assumptions!$B$15)</f>
        <v>0.0434098665307554</v>
      </c>
      <c r="J420" s="8" t="n">
        <f aca="true">NORMINV(RAND(),Assumptions!$B$14,Assumptions!$B$15)</f>
        <v>0.0443007156689888</v>
      </c>
      <c r="K420" s="8" t="n">
        <f aca="true">NORMINV(RAND(),Assumptions!$B$14,Assumptions!$B$15)</f>
        <v>0.0411174846327759</v>
      </c>
      <c r="L420" s="8" t="n">
        <f aca="true">NORMINV(RAND(),Assumptions!$B$14,Assumptions!$B$15)</f>
        <v>0.0996989975746058</v>
      </c>
      <c r="M420" s="6" t="n">
        <f aca="false">B420-Assumptions!$B$29</f>
        <v>391263.996662504</v>
      </c>
      <c r="N420" s="6" t="n">
        <f aca="false">W420-Assumptions!$B$29</f>
        <v>362558.099033533</v>
      </c>
      <c r="O420" s="6" t="n">
        <f aca="false">X420-Assumptions!$B$29</f>
        <v>337881.033770089</v>
      </c>
      <c r="P420" s="6" t="n">
        <f aca="false">Y420-Assumptions!$B$29</f>
        <v>307942.341580845</v>
      </c>
      <c r="Q420" s="6" t="n">
        <f aca="false">Z420-Assumptions!$B$29</f>
        <v>290937.546315285</v>
      </c>
      <c r="R420" s="6" t="n">
        <f aca="false">AA420-Assumptions!$B$29</f>
        <v>242162.423953312</v>
      </c>
      <c r="S420" s="6" t="n">
        <f aca="false">AB420-Assumptions!$B$29</f>
        <v>200667.93908541</v>
      </c>
      <c r="T420" s="6" t="n">
        <f aca="false">AC420-Assumptions!$B$29</f>
        <v>159378.90753811</v>
      </c>
      <c r="U420" s="6" t="n">
        <f aca="false">AD420-Assumptions!$B$29</f>
        <v>116439.50720459</v>
      </c>
      <c r="V420" s="6" t="n">
        <f aca="false">AE420-Assumptions!$B$29</f>
        <v>71227.2068527224</v>
      </c>
      <c r="W420" s="6" t="n">
        <f aca="false">M420*(1+C420)</f>
        <v>412558.099033533</v>
      </c>
      <c r="X420" s="6" t="n">
        <f aca="false">N420*(1+D420)</f>
        <v>387881.033770089</v>
      </c>
      <c r="Y420" s="6" t="n">
        <f aca="false">O420*(1+E420)</f>
        <v>357942.341580845</v>
      </c>
      <c r="Z420" s="6" t="n">
        <f aca="false">P420*(1+F420)</f>
        <v>340937.546315285</v>
      </c>
      <c r="AA420" s="6" t="n">
        <f aca="false">Q420*(1+G420)</f>
        <v>292162.423953312</v>
      </c>
      <c r="AB420" s="6" t="n">
        <f aca="false">R420*(1+H420)</f>
        <v>250667.93908541</v>
      </c>
      <c r="AC420" s="6" t="n">
        <f aca="false">S420*(1+I420)</f>
        <v>209378.90753811</v>
      </c>
      <c r="AD420" s="6" t="n">
        <f aca="false">T420*(1+J420)</f>
        <v>166439.50720459</v>
      </c>
      <c r="AE420" s="6" t="n">
        <f aca="false">U420*(1+K420)</f>
        <v>121227.206852722</v>
      </c>
      <c r="AF420" s="6" t="n">
        <f aca="false">V420*(1+L420)</f>
        <v>78328.4879759779</v>
      </c>
      <c r="AG420" s="6" t="n">
        <f aca="false">MIN(M420:V420)</f>
        <v>71227.2068527224</v>
      </c>
      <c r="AH420" s="19" t="n">
        <f aca="false">IF(AG420&gt;=0,1,0)</f>
        <v>1</v>
      </c>
    </row>
    <row r="421" customFormat="false" ht="15" hidden="false" customHeight="false" outlineLevel="0" collapsed="false">
      <c r="A421" s="0" t="n">
        <f aca="false">ROW()-1</f>
        <v>420</v>
      </c>
      <c r="B421" s="6" t="n">
        <f aca="false">Assumptions!$B$35</f>
        <v>441263.996662504</v>
      </c>
      <c r="C421" s="8" t="n">
        <f aca="true">NORMINV(RAND(),Assumptions!$B$14,Assumptions!$B$15)</f>
        <v>0.0847159238523361</v>
      </c>
      <c r="D421" s="8" t="n">
        <f aca="true">NORMINV(RAND(),Assumptions!$B$14,Assumptions!$B$15)</f>
        <v>0.0344348939314562</v>
      </c>
      <c r="E421" s="8" t="n">
        <f aca="true">NORMINV(RAND(),Assumptions!$B$14,Assumptions!$B$15)</f>
        <v>-0.0383824704481904</v>
      </c>
      <c r="F421" s="8" t="n">
        <f aca="true">NORMINV(RAND(),Assumptions!$B$14,Assumptions!$B$15)</f>
        <v>0.0630913531860614</v>
      </c>
      <c r="G421" s="8" t="n">
        <f aca="true">NORMINV(RAND(),Assumptions!$B$14,Assumptions!$B$15)</f>
        <v>0.0583820984534244</v>
      </c>
      <c r="H421" s="8" t="n">
        <f aca="true">NORMINV(RAND(),Assumptions!$B$14,Assumptions!$B$15)</f>
        <v>0.0444484012932538</v>
      </c>
      <c r="I421" s="8" t="n">
        <f aca="true">NORMINV(RAND(),Assumptions!$B$14,Assumptions!$B$15)</f>
        <v>0.0500380811866928</v>
      </c>
      <c r="J421" s="8" t="n">
        <f aca="true">NORMINV(RAND(),Assumptions!$B$14,Assumptions!$B$15)</f>
        <v>0.0415410042809669</v>
      </c>
      <c r="K421" s="8" t="n">
        <f aca="true">NORMINV(RAND(),Assumptions!$B$14,Assumptions!$B$15)</f>
        <v>0.0454475286296043</v>
      </c>
      <c r="L421" s="8" t="n">
        <f aca="true">NORMINV(RAND(),Assumptions!$B$14,Assumptions!$B$15)</f>
        <v>0.0617594234657904</v>
      </c>
      <c r="M421" s="6" t="n">
        <f aca="false">B421-Assumptions!$B$29</f>
        <v>391263.996662504</v>
      </c>
      <c r="N421" s="6" t="n">
        <f aca="false">W421-Assumptions!$B$29</f>
        <v>374410.287609925</v>
      </c>
      <c r="O421" s="6" t="n">
        <f aca="false">X421-Assumptions!$B$29</f>
        <v>337303.066150619</v>
      </c>
      <c r="P421" s="6" t="n">
        <f aca="false">Y421-Assumptions!$B$29</f>
        <v>274356.541182009</v>
      </c>
      <c r="Q421" s="6" t="n">
        <f aca="false">Z421-Assumptions!$B$29</f>
        <v>241666.066620629</v>
      </c>
      <c r="R421" s="6" t="n">
        <f aca="false">AA421-Assumptions!$B$29</f>
        <v>205775.038714926</v>
      </c>
      <c r="S421" s="6" t="n">
        <f aca="false">AB421-Assumptions!$B$29</f>
        <v>164921.410211862</v>
      </c>
      <c r="T421" s="6" t="n">
        <f aca="false">AC421-Assumptions!$B$29</f>
        <v>123173.761125467</v>
      </c>
      <c r="U421" s="6" t="n">
        <f aca="false">AD421-Assumptions!$B$29</f>
        <v>78290.5228636828</v>
      </c>
      <c r="V421" s="6" t="n">
        <f aca="false">AE421-Assumptions!$B$29</f>
        <v>31848.6336429568</v>
      </c>
      <c r="W421" s="6" t="n">
        <f aca="false">M421*(1+C421)</f>
        <v>424410.287609925</v>
      </c>
      <c r="X421" s="6" t="n">
        <f aca="false">N421*(1+D421)</f>
        <v>387303.066150619</v>
      </c>
      <c r="Y421" s="6" t="n">
        <f aca="false">O421*(1+E421)</f>
        <v>324356.541182009</v>
      </c>
      <c r="Z421" s="6" t="n">
        <f aca="false">P421*(1+F421)</f>
        <v>291666.066620629</v>
      </c>
      <c r="AA421" s="6" t="n">
        <f aca="false">Q421*(1+G421)</f>
        <v>255775.038714926</v>
      </c>
      <c r="AB421" s="6" t="n">
        <f aca="false">R421*(1+H421)</f>
        <v>214921.410211862</v>
      </c>
      <c r="AC421" s="6" t="n">
        <f aca="false">S421*(1+I421)</f>
        <v>173173.761125467</v>
      </c>
      <c r="AD421" s="6" t="n">
        <f aca="false">T421*(1+J421)</f>
        <v>128290.522863683</v>
      </c>
      <c r="AE421" s="6" t="n">
        <f aca="false">U421*(1+K421)</f>
        <v>81848.6336429568</v>
      </c>
      <c r="AF421" s="6" t="n">
        <f aca="false">V421*(1+L421)</f>
        <v>33815.5868949189</v>
      </c>
      <c r="AG421" s="6" t="n">
        <f aca="false">MIN(M421:V421)</f>
        <v>31848.6336429568</v>
      </c>
      <c r="AH421" s="19" t="n">
        <f aca="false">IF(AG421&gt;=0,1,0)</f>
        <v>1</v>
      </c>
    </row>
    <row r="422" customFormat="false" ht="15" hidden="false" customHeight="false" outlineLevel="0" collapsed="false">
      <c r="A422" s="0" t="n">
        <f aca="false">ROW()-1</f>
        <v>421</v>
      </c>
      <c r="B422" s="6" t="n">
        <f aca="false">Assumptions!$B$35</f>
        <v>441263.996662504</v>
      </c>
      <c r="C422" s="8" t="n">
        <f aca="true">NORMINV(RAND(),Assumptions!$B$14,Assumptions!$B$15)</f>
        <v>0.0743912987392489</v>
      </c>
      <c r="D422" s="8" t="n">
        <f aca="true">NORMINV(RAND(),Assumptions!$B$14,Assumptions!$B$15)</f>
        <v>-0.00171628531647894</v>
      </c>
      <c r="E422" s="8" t="n">
        <f aca="true">NORMINV(RAND(),Assumptions!$B$14,Assumptions!$B$15)</f>
        <v>-0.0356097501291019</v>
      </c>
      <c r="F422" s="8" t="n">
        <f aca="true">NORMINV(RAND(),Assumptions!$B$14,Assumptions!$B$15)</f>
        <v>-0.0028151243735515</v>
      </c>
      <c r="G422" s="8" t="n">
        <f aca="true">NORMINV(RAND(),Assumptions!$B$14,Assumptions!$B$15)</f>
        <v>0.0240060928441546</v>
      </c>
      <c r="H422" s="8" t="n">
        <f aca="true">NORMINV(RAND(),Assumptions!$B$14,Assumptions!$B$15)</f>
        <v>0.07659784013143</v>
      </c>
      <c r="I422" s="8" t="n">
        <f aca="true">NORMINV(RAND(),Assumptions!$B$14,Assumptions!$B$15)</f>
        <v>0.0740470659108116</v>
      </c>
      <c r="J422" s="8" t="n">
        <f aca="true">NORMINV(RAND(),Assumptions!$B$14,Assumptions!$B$15)</f>
        <v>-0.000458243944271665</v>
      </c>
      <c r="K422" s="8" t="n">
        <f aca="true">NORMINV(RAND(),Assumptions!$B$14,Assumptions!$B$15)</f>
        <v>0.0617891755464192</v>
      </c>
      <c r="L422" s="8" t="n">
        <f aca="true">NORMINV(RAND(),Assumptions!$B$14,Assumptions!$B$15)</f>
        <v>0.0573324461206414</v>
      </c>
      <c r="M422" s="6" t="n">
        <f aca="false">B422-Assumptions!$B$29</f>
        <v>391263.996662504</v>
      </c>
      <c r="N422" s="6" t="n">
        <f aca="false">W422-Assumptions!$B$29</f>
        <v>370370.633524136</v>
      </c>
      <c r="O422" s="6" t="n">
        <f aca="false">X422-Assumptions!$B$29</f>
        <v>319734.971844164</v>
      </c>
      <c r="P422" s="6" t="n">
        <f aca="false">Y422-Assumptions!$B$29</f>
        <v>258349.289389258</v>
      </c>
      <c r="Q422" s="6" t="n">
        <f aca="false">Z422-Assumptions!$B$29</f>
        <v>207622.004007808</v>
      </c>
      <c r="R422" s="6" t="n">
        <f aca="false">AA422-Assumptions!$B$29</f>
        <v>162606.197112509</v>
      </c>
      <c r="S422" s="6" t="n">
        <f aca="false">AB422-Assumptions!$B$29</f>
        <v>125061.480603313</v>
      </c>
      <c r="T422" s="6" t="n">
        <f aca="false">AC422-Assumptions!$B$29</f>
        <v>84321.9163004502</v>
      </c>
      <c r="U422" s="6" t="n">
        <f aca="false">AD422-Assumptions!$B$29</f>
        <v>34283.2762929361</v>
      </c>
      <c r="V422" s="6" t="n">
        <f aca="false">AE422-Assumptions!$B$29</f>
        <v>-13598.3883298933</v>
      </c>
      <c r="W422" s="6" t="n">
        <f aca="false">M422*(1+C422)</f>
        <v>420370.633524136</v>
      </c>
      <c r="X422" s="6" t="n">
        <f aca="false">N422*(1+D422)</f>
        <v>369734.971844164</v>
      </c>
      <c r="Y422" s="6" t="n">
        <f aca="false">O422*(1+E422)</f>
        <v>308349.289389258</v>
      </c>
      <c r="Z422" s="6" t="n">
        <f aca="false">P422*(1+F422)</f>
        <v>257622.004007808</v>
      </c>
      <c r="AA422" s="6" t="n">
        <f aca="false">Q422*(1+G422)</f>
        <v>212606.197112509</v>
      </c>
      <c r="AB422" s="6" t="n">
        <f aca="false">R422*(1+H422)</f>
        <v>175061.480603313</v>
      </c>
      <c r="AC422" s="6" t="n">
        <f aca="false">S422*(1+I422)</f>
        <v>134321.91630045</v>
      </c>
      <c r="AD422" s="6" t="n">
        <f aca="false">T422*(1+J422)</f>
        <v>84283.2762929361</v>
      </c>
      <c r="AE422" s="6" t="n">
        <f aca="false">U422*(1+K422)</f>
        <v>36401.6116701067</v>
      </c>
      <c r="AF422" s="6" t="n">
        <f aca="false">V422*(1+L422)</f>
        <v>-14378.0171961444</v>
      </c>
      <c r="AG422" s="6" t="n">
        <f aca="false">MIN(M422:V422)</f>
        <v>-13598.3883298933</v>
      </c>
      <c r="AH422" s="19" t="n">
        <f aca="false">IF(AG422&gt;=0,1,0)</f>
        <v>0</v>
      </c>
    </row>
    <row r="423" customFormat="false" ht="15" hidden="false" customHeight="false" outlineLevel="0" collapsed="false">
      <c r="A423" s="0" t="n">
        <f aca="false">ROW()-1</f>
        <v>422</v>
      </c>
      <c r="B423" s="6" t="n">
        <f aca="false">Assumptions!$B$35</f>
        <v>441263.996662504</v>
      </c>
      <c r="C423" s="8" t="n">
        <f aca="true">NORMINV(RAND(),Assumptions!$B$14,Assumptions!$B$15)</f>
        <v>0.0612501004599924</v>
      </c>
      <c r="D423" s="8" t="n">
        <f aca="true">NORMINV(RAND(),Assumptions!$B$14,Assumptions!$B$15)</f>
        <v>0.00591856805889537</v>
      </c>
      <c r="E423" s="8" t="n">
        <f aca="true">NORMINV(RAND(),Assumptions!$B$14,Assumptions!$B$15)</f>
        <v>0.0691146648777922</v>
      </c>
      <c r="F423" s="8" t="n">
        <f aca="true">NORMINV(RAND(),Assumptions!$B$14,Assumptions!$B$15)</f>
        <v>0.0635681851450772</v>
      </c>
      <c r="G423" s="8" t="n">
        <f aca="true">NORMINV(RAND(),Assumptions!$B$14,Assumptions!$B$15)</f>
        <v>0.0634678361804138</v>
      </c>
      <c r="H423" s="8" t="n">
        <f aca="true">NORMINV(RAND(),Assumptions!$B$14,Assumptions!$B$15)</f>
        <v>0.0655067653408772</v>
      </c>
      <c r="I423" s="8" t="n">
        <f aca="true">NORMINV(RAND(),Assumptions!$B$14,Assumptions!$B$15)</f>
        <v>0.049417658507721</v>
      </c>
      <c r="J423" s="8" t="n">
        <f aca="true">NORMINV(RAND(),Assumptions!$B$14,Assumptions!$B$15)</f>
        <v>0.0386378210547232</v>
      </c>
      <c r="K423" s="8" t="n">
        <f aca="true">NORMINV(RAND(),Assumptions!$B$14,Assumptions!$B$15)</f>
        <v>0.0018944110404267</v>
      </c>
      <c r="L423" s="8" t="n">
        <f aca="true">NORMINV(RAND(),Assumptions!$B$14,Assumptions!$B$15)</f>
        <v>0.0426846699929626</v>
      </c>
      <c r="M423" s="6" t="n">
        <f aca="false">B423-Assumptions!$B$29</f>
        <v>391263.996662504</v>
      </c>
      <c r="N423" s="6" t="n">
        <f aca="false">W423-Assumptions!$B$29</f>
        <v>365228.95576446</v>
      </c>
      <c r="O423" s="6" t="n">
        <f aca="false">X423-Assumptions!$B$29</f>
        <v>317390.588196231</v>
      </c>
      <c r="P423" s="6" t="n">
        <f aca="false">Y423-Assumptions!$B$29</f>
        <v>289326.932334779</v>
      </c>
      <c r="Q423" s="6" t="n">
        <f aca="false">Z423-Assumptions!$B$29</f>
        <v>257718.920336894</v>
      </c>
      <c r="R423" s="6" t="n">
        <f aca="false">AA423-Assumptions!$B$29</f>
        <v>224075.782553429</v>
      </c>
      <c r="S423" s="6" t="n">
        <f aca="false">AB423-Assumptions!$B$29</f>
        <v>188754.26225973</v>
      </c>
      <c r="T423" s="6" t="n">
        <f aca="false">AC423-Assumptions!$B$29</f>
        <v>148082.055933958</v>
      </c>
      <c r="U423" s="6" t="n">
        <f aca="false">AD423-Assumptions!$B$29</f>
        <v>103803.623912549</v>
      </c>
      <c r="V423" s="6" t="n">
        <f aca="false">AE423-Assumptions!$B$29</f>
        <v>54000.2706437256</v>
      </c>
      <c r="W423" s="6" t="n">
        <f aca="false">M423*(1+C423)</f>
        <v>415228.95576446</v>
      </c>
      <c r="X423" s="6" t="n">
        <f aca="false">N423*(1+D423)</f>
        <v>367390.588196231</v>
      </c>
      <c r="Y423" s="6" t="n">
        <f aca="false">O423*(1+E423)</f>
        <v>339326.932334779</v>
      </c>
      <c r="Z423" s="6" t="n">
        <f aca="false">P423*(1+F423)</f>
        <v>307718.920336894</v>
      </c>
      <c r="AA423" s="6" t="n">
        <f aca="false">Q423*(1+G423)</f>
        <v>274075.782553429</v>
      </c>
      <c r="AB423" s="6" t="n">
        <f aca="false">R423*(1+H423)</f>
        <v>238754.26225973</v>
      </c>
      <c r="AC423" s="6" t="n">
        <f aca="false">S423*(1+I423)</f>
        <v>198082.055933958</v>
      </c>
      <c r="AD423" s="6" t="n">
        <f aca="false">T423*(1+J423)</f>
        <v>153803.623912549</v>
      </c>
      <c r="AE423" s="6" t="n">
        <f aca="false">U423*(1+K423)</f>
        <v>104000.270643726</v>
      </c>
      <c r="AF423" s="6" t="n">
        <f aca="false">V423*(1+L423)</f>
        <v>56305.2543756837</v>
      </c>
      <c r="AG423" s="6" t="n">
        <f aca="false">MIN(M423:V423)</f>
        <v>54000.2706437256</v>
      </c>
      <c r="AH423" s="19" t="n">
        <f aca="false">IF(AG423&gt;=0,1,0)</f>
        <v>1</v>
      </c>
    </row>
    <row r="424" customFormat="false" ht="15" hidden="false" customHeight="false" outlineLevel="0" collapsed="false">
      <c r="A424" s="0" t="n">
        <f aca="false">ROW()-1</f>
        <v>423</v>
      </c>
      <c r="B424" s="6" t="n">
        <f aca="false">Assumptions!$B$35</f>
        <v>441263.996662504</v>
      </c>
      <c r="C424" s="8" t="n">
        <f aca="true">NORMINV(RAND(),Assumptions!$B$14,Assumptions!$B$15)</f>
        <v>0.00935351093917108</v>
      </c>
      <c r="D424" s="8" t="n">
        <f aca="true">NORMINV(RAND(),Assumptions!$B$14,Assumptions!$B$15)</f>
        <v>0.0660554907089678</v>
      </c>
      <c r="E424" s="8" t="n">
        <f aca="true">NORMINV(RAND(),Assumptions!$B$14,Assumptions!$B$15)</f>
        <v>-0.0208687647196976</v>
      </c>
      <c r="F424" s="8" t="n">
        <f aca="true">NORMINV(RAND(),Assumptions!$B$14,Assumptions!$B$15)</f>
        <v>0.0498839672207092</v>
      </c>
      <c r="G424" s="8" t="n">
        <f aca="true">NORMINV(RAND(),Assumptions!$B$14,Assumptions!$B$15)</f>
        <v>0.08566669893435</v>
      </c>
      <c r="H424" s="8" t="n">
        <f aca="true">NORMINV(RAND(),Assumptions!$B$14,Assumptions!$B$15)</f>
        <v>0.0603825791758762</v>
      </c>
      <c r="I424" s="8" t="n">
        <f aca="true">NORMINV(RAND(),Assumptions!$B$14,Assumptions!$B$15)</f>
        <v>0.0689777949694273</v>
      </c>
      <c r="J424" s="8" t="n">
        <f aca="true">NORMINV(RAND(),Assumptions!$B$14,Assumptions!$B$15)</f>
        <v>0.0558484295269614</v>
      </c>
      <c r="K424" s="8" t="n">
        <f aca="true">NORMINV(RAND(),Assumptions!$B$14,Assumptions!$B$15)</f>
        <v>0.0627765048888307</v>
      </c>
      <c r="L424" s="8" t="n">
        <f aca="true">NORMINV(RAND(),Assumptions!$B$14,Assumptions!$B$15)</f>
        <v>0.0735635076142101</v>
      </c>
      <c r="M424" s="6" t="n">
        <f aca="false">B424-Assumptions!$B$29</f>
        <v>391263.996662504</v>
      </c>
      <c r="N424" s="6" t="n">
        <f aca="false">W424-Assumptions!$B$29</f>
        <v>344923.68873539</v>
      </c>
      <c r="O424" s="6" t="n">
        <f aca="false">X424-Assumptions!$B$29</f>
        <v>317707.792251954</v>
      </c>
      <c r="P424" s="6" t="n">
        <f aca="false">Y424-Assumptions!$B$29</f>
        <v>261077.623085833</v>
      </c>
      <c r="Q424" s="6" t="n">
        <f aca="false">Z424-Assumptions!$B$29</f>
        <v>224101.210677907</v>
      </c>
      <c r="R424" s="6" t="n">
        <f aca="false">AA424-Assumptions!$B$29</f>
        <v>193299.221623875</v>
      </c>
      <c r="S424" s="6" t="n">
        <f aca="false">AB424-Assumptions!$B$29</f>
        <v>154971.127178214</v>
      </c>
      <c r="T424" s="6" t="n">
        <f aca="false">AC424-Assumptions!$B$29</f>
        <v>115660.693814894</v>
      </c>
      <c r="U424" s="6" t="n">
        <f aca="false">AD424-Assumptions!$B$29</f>
        <v>72120.1619224542</v>
      </c>
      <c r="V424" s="6" t="n">
        <f aca="false">AE424-Assumptions!$B$29</f>
        <v>26647.6136199624</v>
      </c>
      <c r="W424" s="6" t="n">
        <f aca="false">M424*(1+C424)</f>
        <v>394923.68873539</v>
      </c>
      <c r="X424" s="6" t="n">
        <f aca="false">N424*(1+D424)</f>
        <v>367707.792251954</v>
      </c>
      <c r="Y424" s="6" t="n">
        <f aca="false">O424*(1+E424)</f>
        <v>311077.623085833</v>
      </c>
      <c r="Z424" s="6" t="n">
        <f aca="false">P424*(1+F424)</f>
        <v>274101.210677907</v>
      </c>
      <c r="AA424" s="6" t="n">
        <f aca="false">Q424*(1+G424)</f>
        <v>243299.221623875</v>
      </c>
      <c r="AB424" s="6" t="n">
        <f aca="false">R424*(1+H424)</f>
        <v>204971.127178214</v>
      </c>
      <c r="AC424" s="6" t="n">
        <f aca="false">S424*(1+I424)</f>
        <v>165660.693814894</v>
      </c>
      <c r="AD424" s="6" t="n">
        <f aca="false">T424*(1+J424)</f>
        <v>122120.161922454</v>
      </c>
      <c r="AE424" s="6" t="n">
        <f aca="false">U424*(1+K424)</f>
        <v>76647.6136199624</v>
      </c>
      <c r="AF424" s="6" t="n">
        <f aca="false">V424*(1+L424)</f>
        <v>28607.905547395</v>
      </c>
      <c r="AG424" s="6" t="n">
        <f aca="false">MIN(M424:V424)</f>
        <v>26647.6136199624</v>
      </c>
      <c r="AH424" s="19" t="n">
        <f aca="false">IF(AG424&gt;=0,1,0)</f>
        <v>1</v>
      </c>
    </row>
    <row r="425" customFormat="false" ht="15" hidden="false" customHeight="false" outlineLevel="0" collapsed="false">
      <c r="A425" s="0" t="n">
        <f aca="false">ROW()-1</f>
        <v>424</v>
      </c>
      <c r="B425" s="6" t="n">
        <f aca="false">Assumptions!$B$35</f>
        <v>441263.996662504</v>
      </c>
      <c r="C425" s="8" t="n">
        <f aca="true">NORMINV(RAND(),Assumptions!$B$14,Assumptions!$B$15)</f>
        <v>0.0544402308255643</v>
      </c>
      <c r="D425" s="8" t="n">
        <f aca="true">NORMINV(RAND(),Assumptions!$B$14,Assumptions!$B$15)</f>
        <v>0.0876007407978175</v>
      </c>
      <c r="E425" s="8" t="n">
        <f aca="true">NORMINV(RAND(),Assumptions!$B$14,Assumptions!$B$15)</f>
        <v>0.0610729909998557</v>
      </c>
      <c r="F425" s="8" t="n">
        <f aca="true">NORMINV(RAND(),Assumptions!$B$14,Assumptions!$B$15)</f>
        <v>0.0599173098161534</v>
      </c>
      <c r="G425" s="8" t="n">
        <f aca="true">NORMINV(RAND(),Assumptions!$B$14,Assumptions!$B$15)</f>
        <v>0.0434323574222854</v>
      </c>
      <c r="H425" s="8" t="n">
        <f aca="true">NORMINV(RAND(),Assumptions!$B$14,Assumptions!$B$15)</f>
        <v>0.0613701823488735</v>
      </c>
      <c r="I425" s="8" t="n">
        <f aca="true">NORMINV(RAND(),Assumptions!$B$14,Assumptions!$B$15)</f>
        <v>0.0135229009074518</v>
      </c>
      <c r="J425" s="8" t="n">
        <f aca="true">NORMINV(RAND(),Assumptions!$B$14,Assumptions!$B$15)</f>
        <v>0.0370784476522463</v>
      </c>
      <c r="K425" s="8" t="n">
        <f aca="true">NORMINV(RAND(),Assumptions!$B$14,Assumptions!$B$15)</f>
        <v>0.0748741472764082</v>
      </c>
      <c r="L425" s="8" t="n">
        <f aca="true">NORMINV(RAND(),Assumptions!$B$14,Assumptions!$B$15)</f>
        <v>0.0442016818805098</v>
      </c>
      <c r="M425" s="6" t="n">
        <f aca="false">B425-Assumptions!$B$29</f>
        <v>391263.996662504</v>
      </c>
      <c r="N425" s="6" t="n">
        <f aca="false">W425-Assumptions!$B$29</f>
        <v>362564.498954543</v>
      </c>
      <c r="O425" s="6" t="n">
        <f aca="false">X425-Assumptions!$B$29</f>
        <v>344325.417649951</v>
      </c>
      <c r="P425" s="6" t="n">
        <f aca="false">Y425-Assumptions!$B$29</f>
        <v>315354.400783108</v>
      </c>
      <c r="Q425" s="6" t="n">
        <f aca="false">Z425-Assumptions!$B$29</f>
        <v>284249.588116716</v>
      </c>
      <c r="R425" s="6" t="n">
        <f aca="false">AA425-Assumptions!$B$29</f>
        <v>246595.217824939</v>
      </c>
      <c r="S425" s="6" t="n">
        <f aca="false">AB425-Assumptions!$B$29</f>
        <v>211728.811309216</v>
      </c>
      <c r="T425" s="6" t="n">
        <f aca="false">AC425-Assumptions!$B$29</f>
        <v>164591.999043803</v>
      </c>
      <c r="U425" s="6" t="n">
        <f aca="false">AD425-Assumptions!$B$29</f>
        <v>120694.814864327</v>
      </c>
      <c r="V425" s="6" t="n">
        <f aca="false">AE425-Assumptions!$B$29</f>
        <v>79731.7362079774</v>
      </c>
      <c r="W425" s="6" t="n">
        <f aca="false">M425*(1+C425)</f>
        <v>412564.498954543</v>
      </c>
      <c r="X425" s="6" t="n">
        <f aca="false">N425*(1+D425)</f>
        <v>394325.417649951</v>
      </c>
      <c r="Y425" s="6" t="n">
        <f aca="false">O425*(1+E425)</f>
        <v>365354.400783108</v>
      </c>
      <c r="Z425" s="6" t="n">
        <f aca="false">P425*(1+F425)</f>
        <v>334249.588116716</v>
      </c>
      <c r="AA425" s="6" t="n">
        <f aca="false">Q425*(1+G425)</f>
        <v>296595.217824939</v>
      </c>
      <c r="AB425" s="6" t="n">
        <f aca="false">R425*(1+H425)</f>
        <v>261728.811309216</v>
      </c>
      <c r="AC425" s="6" t="n">
        <f aca="false">S425*(1+I425)</f>
        <v>214591.999043803</v>
      </c>
      <c r="AD425" s="6" t="n">
        <f aca="false">T425*(1+J425)</f>
        <v>170694.814864327</v>
      </c>
      <c r="AE425" s="6" t="n">
        <f aca="false">U425*(1+K425)</f>
        <v>129731.736207977</v>
      </c>
      <c r="AF425" s="6" t="n">
        <f aca="false">V425*(1+L425)</f>
        <v>83256.0130476232</v>
      </c>
      <c r="AG425" s="6" t="n">
        <f aca="false">MIN(M425:V425)</f>
        <v>79731.7362079774</v>
      </c>
      <c r="AH425" s="19" t="n">
        <f aca="false">IF(AG425&gt;=0,1,0)</f>
        <v>1</v>
      </c>
    </row>
    <row r="426" customFormat="false" ht="15" hidden="false" customHeight="false" outlineLevel="0" collapsed="false">
      <c r="A426" s="0" t="n">
        <f aca="false">ROW()-1</f>
        <v>425</v>
      </c>
      <c r="B426" s="6" t="n">
        <f aca="false">Assumptions!$B$35</f>
        <v>441263.996662504</v>
      </c>
      <c r="C426" s="8" t="n">
        <f aca="true">NORMINV(RAND(),Assumptions!$B$14,Assumptions!$B$15)</f>
        <v>0.0355109502581899</v>
      </c>
      <c r="D426" s="8" t="n">
        <f aca="true">NORMINV(RAND(),Assumptions!$B$14,Assumptions!$B$15)</f>
        <v>0.0522671350035555</v>
      </c>
      <c r="E426" s="8" t="n">
        <f aca="true">NORMINV(RAND(),Assumptions!$B$14,Assumptions!$B$15)</f>
        <v>0.0368178001795822</v>
      </c>
      <c r="F426" s="8" t="n">
        <f aca="true">NORMINV(RAND(),Assumptions!$B$14,Assumptions!$B$15)</f>
        <v>0.00541683899542093</v>
      </c>
      <c r="G426" s="8" t="n">
        <f aca="true">NORMINV(RAND(),Assumptions!$B$14,Assumptions!$B$15)</f>
        <v>0.0730108466337038</v>
      </c>
      <c r="H426" s="8" t="n">
        <f aca="true">NORMINV(RAND(),Assumptions!$B$14,Assumptions!$B$15)</f>
        <v>0.0368646317431835</v>
      </c>
      <c r="I426" s="8" t="n">
        <f aca="true">NORMINV(RAND(),Assumptions!$B$14,Assumptions!$B$15)</f>
        <v>0.0403962218635311</v>
      </c>
      <c r="J426" s="8" t="n">
        <f aca="true">NORMINV(RAND(),Assumptions!$B$14,Assumptions!$B$15)</f>
        <v>0.0394425363083133</v>
      </c>
      <c r="K426" s="8" t="n">
        <f aca="true">NORMINV(RAND(),Assumptions!$B$14,Assumptions!$B$15)</f>
        <v>0.0544476660244525</v>
      </c>
      <c r="L426" s="8" t="n">
        <f aca="true">NORMINV(RAND(),Assumptions!$B$14,Assumptions!$B$15)</f>
        <v>-0.00784232069986121</v>
      </c>
      <c r="M426" s="6" t="n">
        <f aca="false">B426-Assumptions!$B$29</f>
        <v>391263.996662504</v>
      </c>
      <c r="N426" s="6" t="n">
        <f aca="false">W426-Assumptions!$B$29</f>
        <v>355158.152985806</v>
      </c>
      <c r="O426" s="6" t="n">
        <f aca="false">X426-Assumptions!$B$29</f>
        <v>323721.252115529</v>
      </c>
      <c r="P426" s="6" t="n">
        <f aca="false">Y426-Assumptions!$B$29</f>
        <v>285639.956489803</v>
      </c>
      <c r="Q426" s="6" t="n">
        <f aca="false">Z426-Assumptions!$B$29</f>
        <v>237187.222144767</v>
      </c>
      <c r="R426" s="6" t="n">
        <f aca="false">AA426-Assumptions!$B$29</f>
        <v>204504.462044253</v>
      </c>
      <c r="S426" s="6" t="n">
        <f aca="false">AB426-Assumptions!$B$29</f>
        <v>162043.443727352</v>
      </c>
      <c r="T426" s="6" t="n">
        <f aca="false">AC426-Assumptions!$B$29</f>
        <v>118589.386631693</v>
      </c>
      <c r="U426" s="6" t="n">
        <f aca="false">AD426-Assumptions!$B$29</f>
        <v>73266.8528196938</v>
      </c>
      <c r="V426" s="6" t="n">
        <f aca="false">AE426-Assumptions!$B$29</f>
        <v>27256.0619526831</v>
      </c>
      <c r="W426" s="6" t="n">
        <f aca="false">M426*(1+C426)</f>
        <v>405158.152985806</v>
      </c>
      <c r="X426" s="6" t="n">
        <f aca="false">N426*(1+D426)</f>
        <v>373721.252115529</v>
      </c>
      <c r="Y426" s="6" t="n">
        <f aca="false">O426*(1+E426)</f>
        <v>335639.956489803</v>
      </c>
      <c r="Z426" s="6" t="n">
        <f aca="false">P426*(1+F426)</f>
        <v>287187.222144767</v>
      </c>
      <c r="AA426" s="6" t="n">
        <f aca="false">Q426*(1+G426)</f>
        <v>254504.462044253</v>
      </c>
      <c r="AB426" s="6" t="n">
        <f aca="false">R426*(1+H426)</f>
        <v>212043.443727352</v>
      </c>
      <c r="AC426" s="6" t="n">
        <f aca="false">S426*(1+I426)</f>
        <v>168589.386631693</v>
      </c>
      <c r="AD426" s="6" t="n">
        <f aca="false">T426*(1+J426)</f>
        <v>123266.852819694</v>
      </c>
      <c r="AE426" s="6" t="n">
        <f aca="false">U426*(1+K426)</f>
        <v>77256.0619526831</v>
      </c>
      <c r="AF426" s="6" t="n">
        <f aca="false">V426*(1+L426)</f>
        <v>27042.3111738349</v>
      </c>
      <c r="AG426" s="6" t="n">
        <f aca="false">MIN(M426:V426)</f>
        <v>27256.0619526831</v>
      </c>
      <c r="AH426" s="19" t="n">
        <f aca="false">IF(AG426&gt;=0,1,0)</f>
        <v>1</v>
      </c>
    </row>
    <row r="427" customFormat="false" ht="15" hidden="false" customHeight="false" outlineLevel="0" collapsed="false">
      <c r="A427" s="0" t="n">
        <f aca="false">ROW()-1</f>
        <v>426</v>
      </c>
      <c r="B427" s="6" t="n">
        <f aca="false">Assumptions!$B$35</f>
        <v>441263.996662504</v>
      </c>
      <c r="C427" s="8" t="n">
        <f aca="true">NORMINV(RAND(),Assumptions!$B$14,Assumptions!$B$15)</f>
        <v>0.0777750956192562</v>
      </c>
      <c r="D427" s="8" t="n">
        <f aca="true">NORMINV(RAND(),Assumptions!$B$14,Assumptions!$B$15)</f>
        <v>0.0271727994437999</v>
      </c>
      <c r="E427" s="8" t="n">
        <f aca="true">NORMINV(RAND(),Assumptions!$B$14,Assumptions!$B$15)</f>
        <v>-0.0366319193446775</v>
      </c>
      <c r="F427" s="8" t="n">
        <f aca="true">NORMINV(RAND(),Assumptions!$B$14,Assumptions!$B$15)</f>
        <v>0.0747542323299925</v>
      </c>
      <c r="G427" s="8" t="n">
        <f aca="true">NORMINV(RAND(),Assumptions!$B$14,Assumptions!$B$15)</f>
        <v>0.0193045072013185</v>
      </c>
      <c r="H427" s="8" t="n">
        <f aca="true">NORMINV(RAND(),Assumptions!$B$14,Assumptions!$B$15)</f>
        <v>0.0772432546984058</v>
      </c>
      <c r="I427" s="8" t="n">
        <f aca="true">NORMINV(RAND(),Assumptions!$B$14,Assumptions!$B$15)</f>
        <v>0.0589990875674419</v>
      </c>
      <c r="J427" s="8" t="n">
        <f aca="true">NORMINV(RAND(),Assumptions!$B$14,Assumptions!$B$15)</f>
        <v>0.0646821825790272</v>
      </c>
      <c r="K427" s="8" t="n">
        <f aca="true">NORMINV(RAND(),Assumptions!$B$14,Assumptions!$B$15)</f>
        <v>0.0359667211917682</v>
      </c>
      <c r="L427" s="8" t="n">
        <f aca="true">NORMINV(RAND(),Assumptions!$B$14,Assumptions!$B$15)</f>
        <v>0.0405838801340678</v>
      </c>
      <c r="M427" s="6" t="n">
        <f aca="false">B427-Assumptions!$B$29</f>
        <v>391263.996662504</v>
      </c>
      <c r="N427" s="6" t="n">
        <f aca="false">W427-Assumptions!$B$29</f>
        <v>371694.591415302</v>
      </c>
      <c r="O427" s="6" t="n">
        <f aca="false">X427-Assumptions!$B$29</f>
        <v>331794.574002175</v>
      </c>
      <c r="P427" s="6" t="n">
        <f aca="false">Y427-Assumptions!$B$29</f>
        <v>269640.301928326</v>
      </c>
      <c r="Q427" s="6" t="n">
        <f aca="false">Z427-Assumptions!$B$29</f>
        <v>239797.055704205</v>
      </c>
      <c r="R427" s="6" t="n">
        <f aca="false">AA427-Assumptions!$B$29</f>
        <v>194426.219692902</v>
      </c>
      <c r="S427" s="6" t="n">
        <f aca="false">AB427-Assumptions!$B$29</f>
        <v>159444.333700689</v>
      </c>
      <c r="T427" s="6" t="n">
        <f aca="false">AC427-Assumptions!$B$29</f>
        <v>118851.403906829</v>
      </c>
      <c r="U427" s="6" t="n">
        <f aca="false">AD427-Assumptions!$B$29</f>
        <v>76538.9721141038</v>
      </c>
      <c r="V427" s="6" t="n">
        <f aca="false">AE427-Assumptions!$B$29</f>
        <v>29291.8279844363</v>
      </c>
      <c r="W427" s="6" t="n">
        <f aca="false">M427*(1+C427)</f>
        <v>421694.591415302</v>
      </c>
      <c r="X427" s="6" t="n">
        <f aca="false">N427*(1+D427)</f>
        <v>381794.574002175</v>
      </c>
      <c r="Y427" s="6" t="n">
        <f aca="false">O427*(1+E427)</f>
        <v>319640.301928326</v>
      </c>
      <c r="Z427" s="6" t="n">
        <f aca="false">P427*(1+F427)</f>
        <v>289797.055704205</v>
      </c>
      <c r="AA427" s="6" t="n">
        <f aca="false">Q427*(1+G427)</f>
        <v>244426.219692902</v>
      </c>
      <c r="AB427" s="6" t="n">
        <f aca="false">R427*(1+H427)</f>
        <v>209444.333700689</v>
      </c>
      <c r="AC427" s="6" t="n">
        <f aca="false">S427*(1+I427)</f>
        <v>168851.403906829</v>
      </c>
      <c r="AD427" s="6" t="n">
        <f aca="false">T427*(1+J427)</f>
        <v>126538.972114104</v>
      </c>
      <c r="AE427" s="6" t="n">
        <f aca="false">U427*(1+K427)</f>
        <v>79291.8279844363</v>
      </c>
      <c r="AF427" s="6" t="n">
        <f aca="false">V427*(1+L427)</f>
        <v>30480.6040202644</v>
      </c>
      <c r="AG427" s="6" t="n">
        <f aca="false">MIN(M427:V427)</f>
        <v>29291.8279844363</v>
      </c>
      <c r="AH427" s="19" t="n">
        <f aca="false">IF(AG427&gt;=0,1,0)</f>
        <v>1</v>
      </c>
    </row>
    <row r="428" customFormat="false" ht="15" hidden="false" customHeight="false" outlineLevel="0" collapsed="false">
      <c r="A428" s="0" t="n">
        <f aca="false">ROW()-1</f>
        <v>427</v>
      </c>
      <c r="B428" s="6" t="n">
        <f aca="false">Assumptions!$B$35</f>
        <v>441263.996662504</v>
      </c>
      <c r="C428" s="8" t="n">
        <f aca="true">NORMINV(RAND(),Assumptions!$B$14,Assumptions!$B$15)</f>
        <v>0.0128265532010274</v>
      </c>
      <c r="D428" s="8" t="n">
        <f aca="true">NORMINV(RAND(),Assumptions!$B$14,Assumptions!$B$15)</f>
        <v>0.0499573443836867</v>
      </c>
      <c r="E428" s="8" t="n">
        <f aca="true">NORMINV(RAND(),Assumptions!$B$14,Assumptions!$B$15)</f>
        <v>0.0929213333021035</v>
      </c>
      <c r="F428" s="8" t="n">
        <f aca="true">NORMINV(RAND(),Assumptions!$B$14,Assumptions!$B$15)</f>
        <v>0.0871298308007596</v>
      </c>
      <c r="G428" s="8" t="n">
        <f aca="true">NORMINV(RAND(),Assumptions!$B$14,Assumptions!$B$15)</f>
        <v>0.0489349239144781</v>
      </c>
      <c r="H428" s="8" t="n">
        <f aca="true">NORMINV(RAND(),Assumptions!$B$14,Assumptions!$B$15)</f>
        <v>0.0443229950561918</v>
      </c>
      <c r="I428" s="8" t="n">
        <f aca="true">NORMINV(RAND(),Assumptions!$B$14,Assumptions!$B$15)</f>
        <v>0.0309211666056382</v>
      </c>
      <c r="J428" s="8" t="n">
        <f aca="true">NORMINV(RAND(),Assumptions!$B$14,Assumptions!$B$15)</f>
        <v>0.00353004331357772</v>
      </c>
      <c r="K428" s="8" t="n">
        <f aca="true">NORMINV(RAND(),Assumptions!$B$14,Assumptions!$B$15)</f>
        <v>0.0857478895090496</v>
      </c>
      <c r="L428" s="8" t="n">
        <f aca="true">NORMINV(RAND(),Assumptions!$B$14,Assumptions!$B$15)</f>
        <v>0.0127959095744116</v>
      </c>
      <c r="M428" s="6" t="n">
        <f aca="false">B428-Assumptions!$B$29</f>
        <v>391263.996662504</v>
      </c>
      <c r="N428" s="6" t="n">
        <f aca="false">W428-Assumptions!$B$29</f>
        <v>346282.565131342</v>
      </c>
      <c r="O428" s="6" t="n">
        <f aca="false">X428-Assumptions!$B$29</f>
        <v>313581.922491675</v>
      </c>
      <c r="P428" s="6" t="n">
        <f aca="false">Y428-Assumptions!$B$29</f>
        <v>292720.372829038</v>
      </c>
      <c r="Q428" s="6" t="n">
        <f aca="false">Z428-Assumptions!$B$29</f>
        <v>268225.049385567</v>
      </c>
      <c r="R428" s="6" t="n">
        <f aca="false">AA428-Assumptions!$B$29</f>
        <v>231350.621769207</v>
      </c>
      <c r="S428" s="6" t="n">
        <f aca="false">AB428-Assumptions!$B$29</f>
        <v>191604.774234131</v>
      </c>
      <c r="T428" s="6" t="n">
        <f aca="false">AC428-Assumptions!$B$29</f>
        <v>147529.41738066</v>
      </c>
      <c r="U428" s="6" t="n">
        <f aca="false">AD428-Assumptions!$B$29</f>
        <v>98050.2026140404</v>
      </c>
      <c r="V428" s="6" t="n">
        <f aca="false">AE428-Assumptions!$B$29</f>
        <v>56457.800554129</v>
      </c>
      <c r="W428" s="6" t="n">
        <f aca="false">M428*(1+C428)</f>
        <v>396282.565131342</v>
      </c>
      <c r="X428" s="6" t="n">
        <f aca="false">N428*(1+D428)</f>
        <v>363581.922491675</v>
      </c>
      <c r="Y428" s="6" t="n">
        <f aca="false">O428*(1+E428)</f>
        <v>342720.372829038</v>
      </c>
      <c r="Z428" s="6" t="n">
        <f aca="false">P428*(1+F428)</f>
        <v>318225.049385567</v>
      </c>
      <c r="AA428" s="6" t="n">
        <f aca="false">Q428*(1+G428)</f>
        <v>281350.621769207</v>
      </c>
      <c r="AB428" s="6" t="n">
        <f aca="false">R428*(1+H428)</f>
        <v>241604.774234131</v>
      </c>
      <c r="AC428" s="6" t="n">
        <f aca="false">S428*(1+I428)</f>
        <v>197529.41738066</v>
      </c>
      <c r="AD428" s="6" t="n">
        <f aca="false">T428*(1+J428)</f>
        <v>148050.20261404</v>
      </c>
      <c r="AE428" s="6" t="n">
        <f aca="false">U428*(1+K428)</f>
        <v>106457.800554129</v>
      </c>
      <c r="AF428" s="6" t="n">
        <f aca="false">V428*(1+L428)</f>
        <v>57180.2294647898</v>
      </c>
      <c r="AG428" s="6" t="n">
        <f aca="false">MIN(M428:V428)</f>
        <v>56457.800554129</v>
      </c>
      <c r="AH428" s="19" t="n">
        <f aca="false">IF(AG428&gt;=0,1,0)</f>
        <v>1</v>
      </c>
    </row>
    <row r="429" customFormat="false" ht="15" hidden="false" customHeight="false" outlineLevel="0" collapsed="false">
      <c r="A429" s="0" t="n">
        <f aca="false">ROW()-1</f>
        <v>428</v>
      </c>
      <c r="B429" s="6" t="n">
        <f aca="false">Assumptions!$B$35</f>
        <v>441263.996662504</v>
      </c>
      <c r="C429" s="8" t="n">
        <f aca="true">NORMINV(RAND(),Assumptions!$B$14,Assumptions!$B$15)</f>
        <v>-0.0281486555245525</v>
      </c>
      <c r="D429" s="8" t="n">
        <f aca="true">NORMINV(RAND(),Assumptions!$B$14,Assumptions!$B$15)</f>
        <v>0.0377680680199209</v>
      </c>
      <c r="E429" s="8" t="n">
        <f aca="true">NORMINV(RAND(),Assumptions!$B$14,Assumptions!$B$15)</f>
        <v>0.021231943574924</v>
      </c>
      <c r="F429" s="8" t="n">
        <f aca="true">NORMINV(RAND(),Assumptions!$B$14,Assumptions!$B$15)</f>
        <v>0.115874040719678</v>
      </c>
      <c r="G429" s="8" t="n">
        <f aca="true">NORMINV(RAND(),Assumptions!$B$14,Assumptions!$B$15)</f>
        <v>0.0177761586095379</v>
      </c>
      <c r="H429" s="8" t="n">
        <f aca="true">NORMINV(RAND(),Assumptions!$B$14,Assumptions!$B$15)</f>
        <v>0.0651893248178141</v>
      </c>
      <c r="I429" s="8" t="n">
        <f aca="true">NORMINV(RAND(),Assumptions!$B$14,Assumptions!$B$15)</f>
        <v>0.0730408501960271</v>
      </c>
      <c r="J429" s="8" t="n">
        <f aca="true">NORMINV(RAND(),Assumptions!$B$14,Assumptions!$B$15)</f>
        <v>0.104867411305499</v>
      </c>
      <c r="K429" s="8" t="n">
        <f aca="true">NORMINV(RAND(),Assumptions!$B$14,Assumptions!$B$15)</f>
        <v>0.0274971951409884</v>
      </c>
      <c r="L429" s="8" t="n">
        <f aca="true">NORMINV(RAND(),Assumptions!$B$14,Assumptions!$B$15)</f>
        <v>0.0680644830110696</v>
      </c>
      <c r="M429" s="6" t="n">
        <f aca="false">B429-Assumptions!$B$29</f>
        <v>391263.996662504</v>
      </c>
      <c r="N429" s="6" t="n">
        <f aca="false">W429-Assumptions!$B$29</f>
        <v>330250.441201291</v>
      </c>
      <c r="O429" s="6" t="n">
        <f aca="false">X429-Assumptions!$B$29</f>
        <v>292723.36232819</v>
      </c>
      <c r="P429" s="6" t="n">
        <f aca="false">Y429-Assumptions!$B$29</f>
        <v>248938.448240204</v>
      </c>
      <c r="Q429" s="6" t="n">
        <f aca="false">Z429-Assumptions!$B$29</f>
        <v>227783.952128283</v>
      </c>
      <c r="R429" s="6" t="n">
        <f aca="false">AA429-Assumptions!$B$29</f>
        <v>181833.075790023</v>
      </c>
      <c r="S429" s="6" t="n">
        <f aca="false">AB429-Assumptions!$B$29</f>
        <v>143686.651230321</v>
      </c>
      <c r="T429" s="6" t="n">
        <f aca="false">AC429-Assumptions!$B$29</f>
        <v>104181.646398004</v>
      </c>
      <c r="U429" s="6" t="n">
        <f aca="false">AD429-Assumptions!$B$29</f>
        <v>65106.9059613075</v>
      </c>
      <c r="V429" s="6" t="n">
        <f aca="false">AE429-Assumptions!$B$29</f>
        <v>16897.1632595515</v>
      </c>
      <c r="W429" s="6" t="n">
        <f aca="false">M429*(1+C429)</f>
        <v>380250.441201291</v>
      </c>
      <c r="X429" s="6" t="n">
        <f aca="false">N429*(1+D429)</f>
        <v>342723.36232819</v>
      </c>
      <c r="Y429" s="6" t="n">
        <f aca="false">O429*(1+E429)</f>
        <v>298938.448240205</v>
      </c>
      <c r="Z429" s="6" t="n">
        <f aca="false">P429*(1+F429)</f>
        <v>277783.952128283</v>
      </c>
      <c r="AA429" s="6" t="n">
        <f aca="false">Q429*(1+G429)</f>
        <v>231833.075790023</v>
      </c>
      <c r="AB429" s="6" t="n">
        <f aca="false">R429*(1+H429)</f>
        <v>193686.651230321</v>
      </c>
      <c r="AC429" s="6" t="n">
        <f aca="false">S429*(1+I429)</f>
        <v>154181.646398004</v>
      </c>
      <c r="AD429" s="6" t="n">
        <f aca="false">T429*(1+J429)</f>
        <v>115106.905961307</v>
      </c>
      <c r="AE429" s="6" t="n">
        <f aca="false">U429*(1+K429)</f>
        <v>66897.1632595515</v>
      </c>
      <c r="AF429" s="6" t="n">
        <f aca="false">V429*(1+L429)</f>
        <v>18047.2599411665</v>
      </c>
      <c r="AG429" s="6" t="n">
        <f aca="false">MIN(M429:V429)</f>
        <v>16897.1632595515</v>
      </c>
      <c r="AH429" s="19" t="n">
        <f aca="false">IF(AG429&gt;=0,1,0)</f>
        <v>1</v>
      </c>
    </row>
    <row r="430" customFormat="false" ht="15" hidden="false" customHeight="false" outlineLevel="0" collapsed="false">
      <c r="A430" s="0" t="n">
        <f aca="false">ROW()-1</f>
        <v>429</v>
      </c>
      <c r="B430" s="6" t="n">
        <f aca="false">Assumptions!$B$35</f>
        <v>441263.996662504</v>
      </c>
      <c r="C430" s="8" t="n">
        <f aca="true">NORMINV(RAND(),Assumptions!$B$14,Assumptions!$B$15)</f>
        <v>0.0296624071990554</v>
      </c>
      <c r="D430" s="8" t="n">
        <f aca="true">NORMINV(RAND(),Assumptions!$B$14,Assumptions!$B$15)</f>
        <v>0.0651785366329621</v>
      </c>
      <c r="E430" s="8" t="n">
        <f aca="true">NORMINV(RAND(),Assumptions!$B$14,Assumptions!$B$15)</f>
        <v>0.0362976418840519</v>
      </c>
      <c r="F430" s="8" t="n">
        <f aca="true">NORMINV(RAND(),Assumptions!$B$14,Assumptions!$B$15)</f>
        <v>0.0324533250634195</v>
      </c>
      <c r="G430" s="8" t="n">
        <f aca="true">NORMINV(RAND(),Assumptions!$B$14,Assumptions!$B$15)</f>
        <v>-0.00237661207888887</v>
      </c>
      <c r="H430" s="8" t="n">
        <f aca="true">NORMINV(RAND(),Assumptions!$B$14,Assumptions!$B$15)</f>
        <v>-0.00300177752306875</v>
      </c>
      <c r="I430" s="8" t="n">
        <f aca="true">NORMINV(RAND(),Assumptions!$B$14,Assumptions!$B$15)</f>
        <v>0.0692301309039081</v>
      </c>
      <c r="J430" s="8" t="n">
        <f aca="true">NORMINV(RAND(),Assumptions!$B$14,Assumptions!$B$15)</f>
        <v>0.0100907116048628</v>
      </c>
      <c r="K430" s="8" t="n">
        <f aca="true">NORMINV(RAND(),Assumptions!$B$14,Assumptions!$B$15)</f>
        <v>0.0662441341046975</v>
      </c>
      <c r="L430" s="8" t="n">
        <f aca="true">NORMINV(RAND(),Assumptions!$B$14,Assumptions!$B$15)</f>
        <v>0.0864663121411233</v>
      </c>
      <c r="M430" s="6" t="n">
        <f aca="false">B430-Assumptions!$B$29</f>
        <v>391263.996662504</v>
      </c>
      <c r="N430" s="6" t="n">
        <f aca="false">W430-Assumptions!$B$29</f>
        <v>352869.828653837</v>
      </c>
      <c r="O430" s="6" t="n">
        <f aca="false">X430-Assumptions!$B$29</f>
        <v>325869.367707418</v>
      </c>
      <c r="P430" s="6" t="n">
        <f aca="false">Y430-Assumptions!$B$29</f>
        <v>287697.657317444</v>
      </c>
      <c r="Q430" s="6" t="n">
        <f aca="false">Z430-Assumptions!$B$29</f>
        <v>247034.402910351</v>
      </c>
      <c r="R430" s="6" t="n">
        <f aca="false">AA430-Assumptions!$B$29</f>
        <v>196447.297964493</v>
      </c>
      <c r="S430" s="6" t="n">
        <f aca="false">AB430-Assumptions!$B$29</f>
        <v>145857.606880996</v>
      </c>
      <c r="T430" s="6" t="n">
        <f aca="false">AC430-Assumptions!$B$29</f>
        <v>105955.348098698</v>
      </c>
      <c r="U430" s="6" t="n">
        <f aca="false">AD430-Assumptions!$B$29</f>
        <v>57024.512959355</v>
      </c>
      <c r="V430" s="6" t="n">
        <f aca="false">AE430-Assumptions!$B$29</f>
        <v>10802.0524430896</v>
      </c>
      <c r="W430" s="6" t="n">
        <f aca="false">M430*(1+C430)</f>
        <v>402869.828653837</v>
      </c>
      <c r="X430" s="6" t="n">
        <f aca="false">N430*(1+D430)</f>
        <v>375869.367707418</v>
      </c>
      <c r="Y430" s="6" t="n">
        <f aca="false">O430*(1+E430)</f>
        <v>337697.657317444</v>
      </c>
      <c r="Z430" s="6" t="n">
        <f aca="false">P430*(1+F430)</f>
        <v>297034.402910351</v>
      </c>
      <c r="AA430" s="6" t="n">
        <f aca="false">Q430*(1+G430)</f>
        <v>246447.297964493</v>
      </c>
      <c r="AB430" s="6" t="n">
        <f aca="false">R430*(1+H430)</f>
        <v>195857.606880996</v>
      </c>
      <c r="AC430" s="6" t="n">
        <f aca="false">S430*(1+I430)</f>
        <v>155955.348098698</v>
      </c>
      <c r="AD430" s="6" t="n">
        <f aca="false">T430*(1+J430)</f>
        <v>107024.512959355</v>
      </c>
      <c r="AE430" s="6" t="n">
        <f aca="false">U430*(1+K430)</f>
        <v>60802.0524430896</v>
      </c>
      <c r="AF430" s="6" t="n">
        <f aca="false">V430*(1+L430)</f>
        <v>11736.0660813985</v>
      </c>
      <c r="AG430" s="6" t="n">
        <f aca="false">MIN(M430:V430)</f>
        <v>10802.0524430896</v>
      </c>
      <c r="AH430" s="19" t="n">
        <f aca="false">IF(AG430&gt;=0,1,0)</f>
        <v>1</v>
      </c>
    </row>
    <row r="431" customFormat="false" ht="15" hidden="false" customHeight="false" outlineLevel="0" collapsed="false">
      <c r="A431" s="0" t="n">
        <f aca="false">ROW()-1</f>
        <v>430</v>
      </c>
      <c r="B431" s="6" t="n">
        <f aca="false">Assumptions!$B$35</f>
        <v>441263.996662504</v>
      </c>
      <c r="C431" s="8" t="n">
        <f aca="true">NORMINV(RAND(),Assumptions!$B$14,Assumptions!$B$15)</f>
        <v>0.0843436124032384</v>
      </c>
      <c r="D431" s="8" t="n">
        <f aca="true">NORMINV(RAND(),Assumptions!$B$14,Assumptions!$B$15)</f>
        <v>0.0241151227226488</v>
      </c>
      <c r="E431" s="8" t="n">
        <f aca="true">NORMINV(RAND(),Assumptions!$B$14,Assumptions!$B$15)</f>
        <v>0.0732527245832789</v>
      </c>
      <c r="F431" s="8" t="n">
        <f aca="true">NORMINV(RAND(),Assumptions!$B$14,Assumptions!$B$15)</f>
        <v>0.0602360433045221</v>
      </c>
      <c r="G431" s="8" t="n">
        <f aca="true">NORMINV(RAND(),Assumptions!$B$14,Assumptions!$B$15)</f>
        <v>0.0376341876498404</v>
      </c>
      <c r="H431" s="8" t="n">
        <f aca="true">NORMINV(RAND(),Assumptions!$B$14,Assumptions!$B$15)</f>
        <v>0.0351517225519301</v>
      </c>
      <c r="I431" s="8" t="n">
        <f aca="true">NORMINV(RAND(),Assumptions!$B$14,Assumptions!$B$15)</f>
        <v>0.0543781993058431</v>
      </c>
      <c r="J431" s="8" t="n">
        <f aca="true">NORMINV(RAND(),Assumptions!$B$14,Assumptions!$B$15)</f>
        <v>0.0571612224099999</v>
      </c>
      <c r="K431" s="8" t="n">
        <f aca="true">NORMINV(RAND(),Assumptions!$B$14,Assumptions!$B$15)</f>
        <v>0.0417254637823505</v>
      </c>
      <c r="L431" s="8" t="n">
        <f aca="true">NORMINV(RAND(),Assumptions!$B$14,Assumptions!$B$15)</f>
        <v>0.0438592775850315</v>
      </c>
      <c r="M431" s="6" t="n">
        <f aca="false">B431-Assumptions!$B$29</f>
        <v>391263.996662504</v>
      </c>
      <c r="N431" s="6" t="n">
        <f aca="false">W431-Assumptions!$B$29</f>
        <v>374264.615544348</v>
      </c>
      <c r="O431" s="6" t="n">
        <f aca="false">X431-Assumptions!$B$29</f>
        <v>333290.052678945</v>
      </c>
      <c r="P431" s="6" t="n">
        <f aca="false">Y431-Assumptions!$B$29</f>
        <v>307704.457114182</v>
      </c>
      <c r="Q431" s="6" t="n">
        <f aca="false">Z431-Assumptions!$B$29</f>
        <v>276239.356117906</v>
      </c>
      <c r="R431" s="6" t="n">
        <f aca="false">AA431-Assumptions!$B$29</f>
        <v>236635.399882319</v>
      </c>
      <c r="S431" s="6" t="n">
        <f aca="false">AB431-Assumptions!$B$29</f>
        <v>194953.541804947</v>
      </c>
      <c r="T431" s="6" t="n">
        <f aca="false">AC431-Assumptions!$B$29</f>
        <v>155554.764356596</v>
      </c>
      <c r="U431" s="6" t="n">
        <f aca="false">AD431-Assumptions!$B$29</f>
        <v>114446.464838919</v>
      </c>
      <c r="V431" s="6" t="n">
        <f aca="false">AE431-Assumptions!$B$29</f>
        <v>69221.7966625732</v>
      </c>
      <c r="W431" s="6" t="n">
        <f aca="false">M431*(1+C431)</f>
        <v>424264.615544348</v>
      </c>
      <c r="X431" s="6" t="n">
        <f aca="false">N431*(1+D431)</f>
        <v>383290.052678945</v>
      </c>
      <c r="Y431" s="6" t="n">
        <f aca="false">O431*(1+E431)</f>
        <v>357704.457114182</v>
      </c>
      <c r="Z431" s="6" t="n">
        <f aca="false">P431*(1+F431)</f>
        <v>326239.356117906</v>
      </c>
      <c r="AA431" s="6" t="n">
        <f aca="false">Q431*(1+G431)</f>
        <v>286635.399882319</v>
      </c>
      <c r="AB431" s="6" t="n">
        <f aca="false">R431*(1+H431)</f>
        <v>244953.541804947</v>
      </c>
      <c r="AC431" s="6" t="n">
        <f aca="false">S431*(1+I431)</f>
        <v>205554.764356596</v>
      </c>
      <c r="AD431" s="6" t="n">
        <f aca="false">T431*(1+J431)</f>
        <v>164446.464838919</v>
      </c>
      <c r="AE431" s="6" t="n">
        <f aca="false">U431*(1+K431)</f>
        <v>119221.796662573</v>
      </c>
      <c r="AF431" s="6" t="n">
        <f aca="false">V431*(1+L431)</f>
        <v>72257.8146573316</v>
      </c>
      <c r="AG431" s="6" t="n">
        <f aca="false">MIN(M431:V431)</f>
        <v>69221.7966625732</v>
      </c>
      <c r="AH431" s="19" t="n">
        <f aca="false">IF(AG431&gt;=0,1,0)</f>
        <v>1</v>
      </c>
    </row>
    <row r="432" customFormat="false" ht="15" hidden="false" customHeight="false" outlineLevel="0" collapsed="false">
      <c r="A432" s="0" t="n">
        <f aca="false">ROW()-1</f>
        <v>431</v>
      </c>
      <c r="B432" s="6" t="n">
        <f aca="false">Assumptions!$B$35</f>
        <v>441263.996662504</v>
      </c>
      <c r="C432" s="8" t="n">
        <f aca="true">NORMINV(RAND(),Assumptions!$B$14,Assumptions!$B$15)</f>
        <v>0.0685567439222471</v>
      </c>
      <c r="D432" s="8" t="n">
        <f aca="true">NORMINV(RAND(),Assumptions!$B$14,Assumptions!$B$15)</f>
        <v>-0.00643154893352042</v>
      </c>
      <c r="E432" s="8" t="n">
        <f aca="true">NORMINV(RAND(),Assumptions!$B$14,Assumptions!$B$15)</f>
        <v>0.0615035557388479</v>
      </c>
      <c r="F432" s="8" t="n">
        <f aca="true">NORMINV(RAND(),Assumptions!$B$14,Assumptions!$B$15)</f>
        <v>-0.0121941708939366</v>
      </c>
      <c r="G432" s="8" t="n">
        <f aca="true">NORMINV(RAND(),Assumptions!$B$14,Assumptions!$B$15)</f>
        <v>0.0882304778237724</v>
      </c>
      <c r="H432" s="8" t="n">
        <f aca="true">NORMINV(RAND(),Assumptions!$B$14,Assumptions!$B$15)</f>
        <v>0.0106192520809731</v>
      </c>
      <c r="I432" s="8" t="n">
        <f aca="true">NORMINV(RAND(),Assumptions!$B$14,Assumptions!$B$15)</f>
        <v>0.0586925186414933</v>
      </c>
      <c r="J432" s="8" t="n">
        <f aca="true">NORMINV(RAND(),Assumptions!$B$14,Assumptions!$B$15)</f>
        <v>0.0259853614992298</v>
      </c>
      <c r="K432" s="8" t="n">
        <f aca="true">NORMINV(RAND(),Assumptions!$B$14,Assumptions!$B$15)</f>
        <v>0.0472549982687903</v>
      </c>
      <c r="L432" s="8" t="n">
        <f aca="true">NORMINV(RAND(),Assumptions!$B$14,Assumptions!$B$15)</f>
        <v>0.056775033539945</v>
      </c>
      <c r="M432" s="6" t="n">
        <f aca="false">B432-Assumptions!$B$29</f>
        <v>391263.996662504</v>
      </c>
      <c r="N432" s="6" t="n">
        <f aca="false">W432-Assumptions!$B$29</f>
        <v>368087.78228769</v>
      </c>
      <c r="O432" s="6" t="n">
        <f aca="false">X432-Assumptions!$B$29</f>
        <v>315720.407704075</v>
      </c>
      <c r="P432" s="6" t="n">
        <f aca="false">Y432-Assumptions!$B$29</f>
        <v>285138.335397195</v>
      </c>
      <c r="Q432" s="6" t="n">
        <f aca="false">Z432-Assumptions!$B$29</f>
        <v>231661.309806949</v>
      </c>
      <c r="R432" s="6" t="n">
        <f aca="false">AA432-Assumptions!$B$29</f>
        <v>202100.897864497</v>
      </c>
      <c r="S432" s="6" t="n">
        <f aca="false">AB432-Assumptions!$B$29</f>
        <v>154247.058244711</v>
      </c>
      <c r="T432" s="6" t="n">
        <f aca="false">AC432-Assumptions!$B$29</f>
        <v>113300.206586134</v>
      </c>
      <c r="U432" s="6" t="n">
        <f aca="false">AD432-Assumptions!$B$29</f>
        <v>66244.3534122122</v>
      </c>
      <c r="V432" s="6" t="n">
        <f aca="false">AE432-Assumptions!$B$29</f>
        <v>19374.7302180234</v>
      </c>
      <c r="W432" s="6" t="n">
        <f aca="false">M432*(1+C432)</f>
        <v>418087.78228769</v>
      </c>
      <c r="X432" s="6" t="n">
        <f aca="false">N432*(1+D432)</f>
        <v>365720.407704075</v>
      </c>
      <c r="Y432" s="6" t="n">
        <f aca="false">O432*(1+E432)</f>
        <v>335138.335397195</v>
      </c>
      <c r="Z432" s="6" t="n">
        <f aca="false">P432*(1+F432)</f>
        <v>281661.309806949</v>
      </c>
      <c r="AA432" s="6" t="n">
        <f aca="false">Q432*(1+G432)</f>
        <v>252100.897864497</v>
      </c>
      <c r="AB432" s="6" t="n">
        <f aca="false">R432*(1+H432)</f>
        <v>204247.058244711</v>
      </c>
      <c r="AC432" s="6" t="n">
        <f aca="false">S432*(1+I432)</f>
        <v>163300.206586134</v>
      </c>
      <c r="AD432" s="6" t="n">
        <f aca="false">T432*(1+J432)</f>
        <v>116244.353412212</v>
      </c>
      <c r="AE432" s="6" t="n">
        <f aca="false">U432*(1+K432)</f>
        <v>69374.7302180234</v>
      </c>
      <c r="AF432" s="6" t="n">
        <f aca="false">V432*(1+L432)</f>
        <v>20474.7311759791</v>
      </c>
      <c r="AG432" s="6" t="n">
        <f aca="false">MIN(M432:V432)</f>
        <v>19374.7302180234</v>
      </c>
      <c r="AH432" s="19" t="n">
        <f aca="false">IF(AG432&gt;=0,1,0)</f>
        <v>1</v>
      </c>
    </row>
    <row r="433" customFormat="false" ht="15" hidden="false" customHeight="false" outlineLevel="0" collapsed="false">
      <c r="A433" s="0" t="n">
        <f aca="false">ROW()-1</f>
        <v>432</v>
      </c>
      <c r="B433" s="6" t="n">
        <f aca="false">Assumptions!$B$35</f>
        <v>441263.996662504</v>
      </c>
      <c r="C433" s="8" t="n">
        <f aca="true">NORMINV(RAND(),Assumptions!$B$14,Assumptions!$B$15)</f>
        <v>0.00830124737665256</v>
      </c>
      <c r="D433" s="8" t="n">
        <f aca="true">NORMINV(RAND(),Assumptions!$B$14,Assumptions!$B$15)</f>
        <v>0.00455519778738482</v>
      </c>
      <c r="E433" s="8" t="n">
        <f aca="true">NORMINV(RAND(),Assumptions!$B$14,Assumptions!$B$15)</f>
        <v>0.0533602164065093</v>
      </c>
      <c r="F433" s="8" t="n">
        <f aca="true">NORMINV(RAND(),Assumptions!$B$14,Assumptions!$B$15)</f>
        <v>-0.0144308977276361</v>
      </c>
      <c r="G433" s="8" t="n">
        <f aca="true">NORMINV(RAND(),Assumptions!$B$14,Assumptions!$B$15)</f>
        <v>0.0108471919300267</v>
      </c>
      <c r="H433" s="8" t="n">
        <f aca="true">NORMINV(RAND(),Assumptions!$B$14,Assumptions!$B$15)</f>
        <v>0.0445841970376501</v>
      </c>
      <c r="I433" s="8" t="n">
        <f aca="true">NORMINV(RAND(),Assumptions!$B$14,Assumptions!$B$15)</f>
        <v>0.0281083968639512</v>
      </c>
      <c r="J433" s="8" t="n">
        <f aca="true">NORMINV(RAND(),Assumptions!$B$14,Assumptions!$B$15)</f>
        <v>0.0754686498527555</v>
      </c>
      <c r="K433" s="8" t="n">
        <f aca="true">NORMINV(RAND(),Assumptions!$B$14,Assumptions!$B$15)</f>
        <v>0.0344357811980425</v>
      </c>
      <c r="L433" s="8" t="n">
        <f aca="true">NORMINV(RAND(),Assumptions!$B$14,Assumptions!$B$15)</f>
        <v>0.0510682713722632</v>
      </c>
      <c r="M433" s="6" t="n">
        <f aca="false">B433-Assumptions!$B$29</f>
        <v>391263.996662504</v>
      </c>
      <c r="N433" s="6" t="n">
        <f aca="false">W433-Assumptions!$B$29</f>
        <v>344511.975888377</v>
      </c>
      <c r="O433" s="6" t="n">
        <f aca="false">X433-Assumptions!$B$29</f>
        <v>296081.296078671</v>
      </c>
      <c r="P433" s="6" t="n">
        <f aca="false">Y433-Assumptions!$B$29</f>
        <v>261880.258111349</v>
      </c>
      <c r="Q433" s="6" t="n">
        <f aca="false">Z433-Assumptions!$B$29</f>
        <v>208101.090889657</v>
      </c>
      <c r="R433" s="6" t="n">
        <f aca="false">AA433-Assumptions!$B$29</f>
        <v>160358.403363385</v>
      </c>
      <c r="S433" s="6" t="n">
        <f aca="false">AB433-Assumptions!$B$29</f>
        <v>117507.854015581</v>
      </c>
      <c r="T433" s="6" t="n">
        <f aca="false">AC433-Assumptions!$B$29</f>
        <v>70810.8114108822</v>
      </c>
      <c r="U433" s="6" t="n">
        <f aca="false">AD433-Assumptions!$B$29</f>
        <v>26154.8077430396</v>
      </c>
      <c r="V433" s="6" t="n">
        <f aca="false">AE433-Assumptions!$B$29</f>
        <v>-22944.5310202443</v>
      </c>
      <c r="W433" s="6" t="n">
        <f aca="false">M433*(1+C433)</f>
        <v>394511.975888377</v>
      </c>
      <c r="X433" s="6" t="n">
        <f aca="false">N433*(1+D433)</f>
        <v>346081.296078671</v>
      </c>
      <c r="Y433" s="6" t="n">
        <f aca="false">O433*(1+E433)</f>
        <v>311880.258111349</v>
      </c>
      <c r="Z433" s="6" t="n">
        <f aca="false">P433*(1+F433)</f>
        <v>258101.090889657</v>
      </c>
      <c r="AA433" s="6" t="n">
        <f aca="false">Q433*(1+G433)</f>
        <v>210358.403363385</v>
      </c>
      <c r="AB433" s="6" t="n">
        <f aca="false">R433*(1+H433)</f>
        <v>167507.854015581</v>
      </c>
      <c r="AC433" s="6" t="n">
        <f aca="false">S433*(1+I433)</f>
        <v>120810.811410882</v>
      </c>
      <c r="AD433" s="6" t="n">
        <f aca="false">T433*(1+J433)</f>
        <v>76154.8077430396</v>
      </c>
      <c r="AE433" s="6" t="n">
        <f aca="false">U433*(1+K433)</f>
        <v>27055.4689797557</v>
      </c>
      <c r="AF433" s="6" t="n">
        <f aca="false">V433*(1+L433)</f>
        <v>-24116.2685568954</v>
      </c>
      <c r="AG433" s="6" t="n">
        <f aca="false">MIN(M433:V433)</f>
        <v>-22944.5310202443</v>
      </c>
      <c r="AH433" s="19" t="n">
        <f aca="false">IF(AG433&gt;=0,1,0)</f>
        <v>0</v>
      </c>
    </row>
    <row r="434" customFormat="false" ht="15" hidden="false" customHeight="false" outlineLevel="0" collapsed="false">
      <c r="A434" s="0" t="n">
        <f aca="false">ROW()-1</f>
        <v>433</v>
      </c>
      <c r="B434" s="6" t="n">
        <f aca="false">Assumptions!$B$35</f>
        <v>441263.996662504</v>
      </c>
      <c r="C434" s="8" t="n">
        <f aca="true">NORMINV(RAND(),Assumptions!$B$14,Assumptions!$B$15)</f>
        <v>0.0548652147204164</v>
      </c>
      <c r="D434" s="8" t="n">
        <f aca="true">NORMINV(RAND(),Assumptions!$B$14,Assumptions!$B$15)</f>
        <v>0.0264808390549739</v>
      </c>
      <c r="E434" s="8" t="n">
        <f aca="true">NORMINV(RAND(),Assumptions!$B$14,Assumptions!$B$15)</f>
        <v>0.0111973587873144</v>
      </c>
      <c r="F434" s="8" t="n">
        <f aca="true">NORMINV(RAND(),Assumptions!$B$14,Assumptions!$B$15)</f>
        <v>0.0230957851539415</v>
      </c>
      <c r="G434" s="8" t="n">
        <f aca="true">NORMINV(RAND(),Assumptions!$B$14,Assumptions!$B$15)</f>
        <v>-0.00917735905874218</v>
      </c>
      <c r="H434" s="8" t="n">
        <f aca="true">NORMINV(RAND(),Assumptions!$B$14,Assumptions!$B$15)</f>
        <v>0.0375677201733848</v>
      </c>
      <c r="I434" s="8" t="n">
        <f aca="true">NORMINV(RAND(),Assumptions!$B$14,Assumptions!$B$15)</f>
        <v>0.0127305130716396</v>
      </c>
      <c r="J434" s="8" t="n">
        <f aca="true">NORMINV(RAND(),Assumptions!$B$14,Assumptions!$B$15)</f>
        <v>0.0612214608009049</v>
      </c>
      <c r="K434" s="8" t="n">
        <f aca="true">NORMINV(RAND(),Assumptions!$B$14,Assumptions!$B$15)</f>
        <v>0.0898926450745527</v>
      </c>
      <c r="L434" s="8" t="n">
        <f aca="true">NORMINV(RAND(),Assumptions!$B$14,Assumptions!$B$15)</f>
        <v>0.0239032301590945</v>
      </c>
      <c r="M434" s="6" t="n">
        <f aca="false">B434-Assumptions!$B$29</f>
        <v>391263.996662504</v>
      </c>
      <c r="N434" s="6" t="n">
        <f aca="false">W434-Assumptions!$B$29</f>
        <v>362730.77985176</v>
      </c>
      <c r="O434" s="6" t="n">
        <f aca="false">X434-Assumptions!$B$29</f>
        <v>322336.1952533</v>
      </c>
      <c r="P434" s="6" t="n">
        <f aca="false">Y434-Assumptions!$B$29</f>
        <v>275945.509281689</v>
      </c>
      <c r="Q434" s="6" t="n">
        <f aca="false">Z434-Assumptions!$B$29</f>
        <v>232318.687478254</v>
      </c>
      <c r="R434" s="6" t="n">
        <f aca="false">AA434-Assumptions!$B$29</f>
        <v>180186.61546721</v>
      </c>
      <c r="S434" s="6" t="n">
        <f aca="false">AB434-Assumptions!$B$29</f>
        <v>136955.815816071</v>
      </c>
      <c r="T434" s="6" t="n">
        <f aca="false">AC434-Assumptions!$B$29</f>
        <v>88699.333619555</v>
      </c>
      <c r="U434" s="6" t="n">
        <f aca="false">AD434-Assumptions!$B$29</f>
        <v>44129.6363958109</v>
      </c>
      <c r="V434" s="6" t="n">
        <f aca="false">AE434-Assumptions!$B$29</f>
        <v>-1903.43386239136</v>
      </c>
      <c r="W434" s="6" t="n">
        <f aca="false">M434*(1+C434)</f>
        <v>412730.77985176</v>
      </c>
      <c r="X434" s="6" t="n">
        <f aca="false">N434*(1+D434)</f>
        <v>372336.1952533</v>
      </c>
      <c r="Y434" s="6" t="n">
        <f aca="false">O434*(1+E434)</f>
        <v>325945.509281689</v>
      </c>
      <c r="Z434" s="6" t="n">
        <f aca="false">P434*(1+F434)</f>
        <v>282318.687478254</v>
      </c>
      <c r="AA434" s="6" t="n">
        <f aca="false">Q434*(1+G434)</f>
        <v>230186.61546721</v>
      </c>
      <c r="AB434" s="6" t="n">
        <f aca="false">R434*(1+H434)</f>
        <v>186955.815816071</v>
      </c>
      <c r="AC434" s="6" t="n">
        <f aca="false">S434*(1+I434)</f>
        <v>138699.333619555</v>
      </c>
      <c r="AD434" s="6" t="n">
        <f aca="false">T434*(1+J434)</f>
        <v>94129.6363958109</v>
      </c>
      <c r="AE434" s="6" t="n">
        <f aca="false">U434*(1+K434)</f>
        <v>48096.5661376086</v>
      </c>
      <c r="AF434" s="6" t="n">
        <f aca="false">V434*(1+L434)</f>
        <v>-1948.93208009671</v>
      </c>
      <c r="AG434" s="6" t="n">
        <f aca="false">MIN(M434:V434)</f>
        <v>-1903.43386239136</v>
      </c>
      <c r="AH434" s="19" t="n">
        <f aca="false">IF(AG434&gt;=0,1,0)</f>
        <v>0</v>
      </c>
    </row>
    <row r="435" customFormat="false" ht="15" hidden="false" customHeight="false" outlineLevel="0" collapsed="false">
      <c r="A435" s="0" t="n">
        <f aca="false">ROW()-1</f>
        <v>434</v>
      </c>
      <c r="B435" s="6" t="n">
        <f aca="false">Assumptions!$B$35</f>
        <v>441263.996662504</v>
      </c>
      <c r="C435" s="8" t="n">
        <f aca="true">NORMINV(RAND(),Assumptions!$B$14,Assumptions!$B$15)</f>
        <v>0.0465580482407826</v>
      </c>
      <c r="D435" s="8" t="n">
        <f aca="true">NORMINV(RAND(),Assumptions!$B$14,Assumptions!$B$15)</f>
        <v>0.0301610117072098</v>
      </c>
      <c r="E435" s="8" t="n">
        <f aca="true">NORMINV(RAND(),Assumptions!$B$14,Assumptions!$B$15)</f>
        <v>0.083887689964501</v>
      </c>
      <c r="F435" s="8" t="n">
        <f aca="true">NORMINV(RAND(),Assumptions!$B$14,Assumptions!$B$15)</f>
        <v>0.0574170619469058</v>
      </c>
      <c r="G435" s="8" t="n">
        <f aca="true">NORMINV(RAND(),Assumptions!$B$14,Assumptions!$B$15)</f>
        <v>0.0298802769125594</v>
      </c>
      <c r="H435" s="8" t="n">
        <f aca="true">NORMINV(RAND(),Assumptions!$B$14,Assumptions!$B$15)</f>
        <v>0.0578977429442166</v>
      </c>
      <c r="I435" s="8" t="n">
        <f aca="true">NORMINV(RAND(),Assumptions!$B$14,Assumptions!$B$15)</f>
        <v>0.0700817072031152</v>
      </c>
      <c r="J435" s="8" t="n">
        <f aca="true">NORMINV(RAND(),Assumptions!$B$14,Assumptions!$B$15)</f>
        <v>0.0334459589356309</v>
      </c>
      <c r="K435" s="8" t="n">
        <f aca="true">NORMINV(RAND(),Assumptions!$B$14,Assumptions!$B$15)</f>
        <v>0.0279497619518297</v>
      </c>
      <c r="L435" s="8" t="n">
        <f aca="true">NORMINV(RAND(),Assumptions!$B$14,Assumptions!$B$15)</f>
        <v>0.0861620356448338</v>
      </c>
      <c r="M435" s="6" t="n">
        <f aca="false">B435-Assumptions!$B$29</f>
        <v>391263.996662504</v>
      </c>
      <c r="N435" s="6" t="n">
        <f aca="false">W435-Assumptions!$B$29</f>
        <v>359480.484693998</v>
      </c>
      <c r="O435" s="6" t="n">
        <f aca="false">X435-Assumptions!$B$29</f>
        <v>320322.779801367</v>
      </c>
      <c r="P435" s="6" t="n">
        <f aca="false">Y435-Assumptions!$B$29</f>
        <v>297193.917841911</v>
      </c>
      <c r="Q435" s="6" t="n">
        <f aca="false">Z435-Assumptions!$B$29</f>
        <v>264257.919432884</v>
      </c>
      <c r="R435" s="6" t="n">
        <f aca="false">AA435-Assumptions!$B$29</f>
        <v>222154.019241875</v>
      </c>
      <c r="S435" s="6" t="n">
        <f aca="false">AB435-Assumptions!$B$29</f>
        <v>185016.235541966</v>
      </c>
      <c r="T435" s="6" t="n">
        <f aca="false">AC435-Assumptions!$B$29</f>
        <v>147982.48918904</v>
      </c>
      <c r="U435" s="6" t="n">
        <f aca="false">AD435-Assumptions!$B$29</f>
        <v>102931.905445649</v>
      </c>
      <c r="V435" s="6" t="n">
        <f aca="false">AE435-Assumptions!$B$29</f>
        <v>55808.8277001035</v>
      </c>
      <c r="W435" s="6" t="n">
        <f aca="false">M435*(1+C435)</f>
        <v>409480.484693998</v>
      </c>
      <c r="X435" s="6" t="n">
        <f aca="false">N435*(1+D435)</f>
        <v>370322.779801367</v>
      </c>
      <c r="Y435" s="6" t="n">
        <f aca="false">O435*(1+E435)</f>
        <v>347193.917841911</v>
      </c>
      <c r="Z435" s="6" t="n">
        <f aca="false">P435*(1+F435)</f>
        <v>314257.919432884</v>
      </c>
      <c r="AA435" s="6" t="n">
        <f aca="false">Q435*(1+G435)</f>
        <v>272154.019241875</v>
      </c>
      <c r="AB435" s="6" t="n">
        <f aca="false">R435*(1+H435)</f>
        <v>235016.235541966</v>
      </c>
      <c r="AC435" s="6" t="n">
        <f aca="false">S435*(1+I435)</f>
        <v>197982.48918904</v>
      </c>
      <c r="AD435" s="6" t="n">
        <f aca="false">T435*(1+J435)</f>
        <v>152931.905445649</v>
      </c>
      <c r="AE435" s="6" t="n">
        <f aca="false">U435*(1+K435)</f>
        <v>105808.827700103</v>
      </c>
      <c r="AF435" s="6" t="n">
        <f aca="false">V435*(1+L435)</f>
        <v>60617.4299016962</v>
      </c>
      <c r="AG435" s="6" t="n">
        <f aca="false">MIN(M435:V435)</f>
        <v>55808.8277001035</v>
      </c>
      <c r="AH435" s="19" t="n">
        <f aca="false">IF(AG435&gt;=0,1,0)</f>
        <v>1</v>
      </c>
    </row>
    <row r="436" customFormat="false" ht="15" hidden="false" customHeight="false" outlineLevel="0" collapsed="false">
      <c r="A436" s="0" t="n">
        <f aca="false">ROW()-1</f>
        <v>435</v>
      </c>
      <c r="B436" s="6" t="n">
        <f aca="false">Assumptions!$B$35</f>
        <v>441263.996662504</v>
      </c>
      <c r="C436" s="8" t="n">
        <f aca="true">NORMINV(RAND(),Assumptions!$B$14,Assumptions!$B$15)</f>
        <v>0.0635377544185958</v>
      </c>
      <c r="D436" s="8" t="n">
        <f aca="true">NORMINV(RAND(),Assumptions!$B$14,Assumptions!$B$15)</f>
        <v>0.0857854677056411</v>
      </c>
      <c r="E436" s="8" t="n">
        <f aca="true">NORMINV(RAND(),Assumptions!$B$14,Assumptions!$B$15)</f>
        <v>0.0205431368118913</v>
      </c>
      <c r="F436" s="8" t="n">
        <f aca="true">NORMINV(RAND(),Assumptions!$B$14,Assumptions!$B$15)</f>
        <v>0.0528522062485034</v>
      </c>
      <c r="G436" s="8" t="n">
        <f aca="true">NORMINV(RAND(),Assumptions!$B$14,Assumptions!$B$15)</f>
        <v>0.0381703733767547</v>
      </c>
      <c r="H436" s="8" t="n">
        <f aca="true">NORMINV(RAND(),Assumptions!$B$14,Assumptions!$B$15)</f>
        <v>-0.0214670840937521</v>
      </c>
      <c r="I436" s="8" t="n">
        <f aca="true">NORMINV(RAND(),Assumptions!$B$14,Assumptions!$B$15)</f>
        <v>0.0576654354093289</v>
      </c>
      <c r="J436" s="8" t="n">
        <f aca="true">NORMINV(RAND(),Assumptions!$B$14,Assumptions!$B$15)</f>
        <v>0.0991847278954325</v>
      </c>
      <c r="K436" s="8" t="n">
        <f aca="true">NORMINV(RAND(),Assumptions!$B$14,Assumptions!$B$15)</f>
        <v>0.0344531127275981</v>
      </c>
      <c r="L436" s="8" t="n">
        <f aca="true">NORMINV(RAND(),Assumptions!$B$14,Assumptions!$B$15)</f>
        <v>0.0340047089740418</v>
      </c>
      <c r="M436" s="6" t="n">
        <f aca="false">B436-Assumptions!$B$29</f>
        <v>391263.996662504</v>
      </c>
      <c r="N436" s="6" t="n">
        <f aca="false">W436-Assumptions!$B$29</f>
        <v>366124.032395284</v>
      </c>
      <c r="O436" s="6" t="n">
        <f aca="false">X436-Assumptions!$B$29</f>
        <v>347532.153752589</v>
      </c>
      <c r="P436" s="6" t="n">
        <f aca="false">Y436-Assumptions!$B$29</f>
        <v>304671.554333659</v>
      </c>
      <c r="Q436" s="6" t="n">
        <f aca="false">Z436-Assumptions!$B$29</f>
        <v>270774.118161354</v>
      </c>
      <c r="R436" s="6" t="n">
        <f aca="false">AA436-Assumptions!$B$29</f>
        <v>231109.667352334</v>
      </c>
      <c r="S436" s="6" t="n">
        <f aca="false">AB436-Assumptions!$B$29</f>
        <v>176148.416688403</v>
      </c>
      <c r="T436" s="6" t="n">
        <f aca="false">AC436-Assumptions!$B$29</f>
        <v>136306.091833403</v>
      </c>
      <c r="U436" s="6" t="n">
        <f aca="false">AD436-Assumptions!$B$29</f>
        <v>99825.5744623893</v>
      </c>
      <c r="V436" s="6" t="n">
        <f aca="false">AE436-Assumptions!$B$29</f>
        <v>53264.8762324393</v>
      </c>
      <c r="W436" s="6" t="n">
        <f aca="false">M436*(1+C436)</f>
        <v>416124.032395284</v>
      </c>
      <c r="X436" s="6" t="n">
        <f aca="false">N436*(1+D436)</f>
        <v>397532.153752589</v>
      </c>
      <c r="Y436" s="6" t="n">
        <f aca="false">O436*(1+E436)</f>
        <v>354671.554333659</v>
      </c>
      <c r="Z436" s="6" t="n">
        <f aca="false">P436*(1+F436)</f>
        <v>320774.118161354</v>
      </c>
      <c r="AA436" s="6" t="n">
        <f aca="false">Q436*(1+G436)</f>
        <v>281109.667352334</v>
      </c>
      <c r="AB436" s="6" t="n">
        <f aca="false">R436*(1+H436)</f>
        <v>226148.416688403</v>
      </c>
      <c r="AC436" s="6" t="n">
        <f aca="false">S436*(1+I436)</f>
        <v>186306.091833403</v>
      </c>
      <c r="AD436" s="6" t="n">
        <f aca="false">T436*(1+J436)</f>
        <v>149825.574462389</v>
      </c>
      <c r="AE436" s="6" t="n">
        <f aca="false">U436*(1+K436)</f>
        <v>103264.876232439</v>
      </c>
      <c r="AF436" s="6" t="n">
        <f aca="false">V436*(1+L436)</f>
        <v>55076.1328472617</v>
      </c>
      <c r="AG436" s="6" t="n">
        <f aca="false">MIN(M436:V436)</f>
        <v>53264.8762324393</v>
      </c>
      <c r="AH436" s="19" t="n">
        <f aca="false">IF(AG436&gt;=0,1,0)</f>
        <v>1</v>
      </c>
    </row>
    <row r="437" customFormat="false" ht="15" hidden="false" customHeight="false" outlineLevel="0" collapsed="false">
      <c r="A437" s="0" t="n">
        <f aca="false">ROW()-1</f>
        <v>436</v>
      </c>
      <c r="B437" s="6" t="n">
        <f aca="false">Assumptions!$B$35</f>
        <v>441263.996662504</v>
      </c>
      <c r="C437" s="8" t="n">
        <f aca="true">NORMINV(RAND(),Assumptions!$B$14,Assumptions!$B$15)</f>
        <v>0.036783199398924</v>
      </c>
      <c r="D437" s="8" t="n">
        <f aca="true">NORMINV(RAND(),Assumptions!$B$14,Assumptions!$B$15)</f>
        <v>0.0247610319414571</v>
      </c>
      <c r="E437" s="8" t="n">
        <f aca="true">NORMINV(RAND(),Assumptions!$B$14,Assumptions!$B$15)</f>
        <v>0.0519702609813169</v>
      </c>
      <c r="F437" s="8" t="n">
        <f aca="true">NORMINV(RAND(),Assumptions!$B$14,Assumptions!$B$15)</f>
        <v>0.0873679837663107</v>
      </c>
      <c r="G437" s="8" t="n">
        <f aca="true">NORMINV(RAND(),Assumptions!$B$14,Assumptions!$B$15)</f>
        <v>0.0383487288666257</v>
      </c>
      <c r="H437" s="8" t="n">
        <f aca="true">NORMINV(RAND(),Assumptions!$B$14,Assumptions!$B$15)</f>
        <v>0.0204817992439046</v>
      </c>
      <c r="I437" s="8" t="n">
        <f aca="true">NORMINV(RAND(),Assumptions!$B$14,Assumptions!$B$15)</f>
        <v>0.0934899388170611</v>
      </c>
      <c r="J437" s="8" t="n">
        <f aca="true">NORMINV(RAND(),Assumptions!$B$14,Assumptions!$B$15)</f>
        <v>0.0652005144438935</v>
      </c>
      <c r="K437" s="8" t="n">
        <f aca="true">NORMINV(RAND(),Assumptions!$B$14,Assumptions!$B$15)</f>
        <v>0.0621791681710184</v>
      </c>
      <c r="L437" s="8" t="n">
        <f aca="true">NORMINV(RAND(),Assumptions!$B$14,Assumptions!$B$15)</f>
        <v>0.0178285968019328</v>
      </c>
      <c r="M437" s="6" t="n">
        <f aca="false">B437-Assumptions!$B$29</f>
        <v>391263.996662504</v>
      </c>
      <c r="N437" s="6" t="n">
        <f aca="false">W437-Assumptions!$B$29</f>
        <v>355655.93826936</v>
      </c>
      <c r="O437" s="6" t="n">
        <f aca="false">X437-Assumptions!$B$29</f>
        <v>314462.346317017</v>
      </c>
      <c r="P437" s="6" t="n">
        <f aca="false">Y437-Assumptions!$B$29</f>
        <v>280805.03652391</v>
      </c>
      <c r="Q437" s="6" t="n">
        <f aca="false">Z437-Assumptions!$B$29</f>
        <v>255338.406396429</v>
      </c>
      <c r="R437" s="6" t="n">
        <f aca="false">AA437-Assumptions!$B$29</f>
        <v>215130.309712562</v>
      </c>
      <c r="S437" s="6" t="n">
        <f aca="false">AB437-Assumptions!$B$29</f>
        <v>169536.565527373</v>
      </c>
      <c r="T437" s="6" t="n">
        <f aca="false">AC437-Assumptions!$B$29</f>
        <v>135386.528665782</v>
      </c>
      <c r="U437" s="6" t="n">
        <f aca="false">AD437-Assumptions!$B$29</f>
        <v>94213.7999835641</v>
      </c>
      <c r="V437" s="6" t="n">
        <f aca="false">AE437-Assumptions!$B$29</f>
        <v>50071.9356967728</v>
      </c>
      <c r="W437" s="6" t="n">
        <f aca="false">M437*(1+C437)</f>
        <v>405655.93826936</v>
      </c>
      <c r="X437" s="6" t="n">
        <f aca="false">N437*(1+D437)</f>
        <v>364462.346317017</v>
      </c>
      <c r="Y437" s="6" t="n">
        <f aca="false">O437*(1+E437)</f>
        <v>330805.03652391</v>
      </c>
      <c r="Z437" s="6" t="n">
        <f aca="false">P437*(1+F437)</f>
        <v>305338.406396429</v>
      </c>
      <c r="AA437" s="6" t="n">
        <f aca="false">Q437*(1+G437)</f>
        <v>265130.309712562</v>
      </c>
      <c r="AB437" s="6" t="n">
        <f aca="false">R437*(1+H437)</f>
        <v>219536.565527373</v>
      </c>
      <c r="AC437" s="6" t="n">
        <f aca="false">S437*(1+I437)</f>
        <v>185386.528665782</v>
      </c>
      <c r="AD437" s="6" t="n">
        <f aca="false">T437*(1+J437)</f>
        <v>144213.799983564</v>
      </c>
      <c r="AE437" s="6" t="n">
        <f aca="false">U437*(1+K437)</f>
        <v>100071.935696773</v>
      </c>
      <c r="AF437" s="6" t="n">
        <f aca="false">V437*(1+L437)</f>
        <v>50964.6480494029</v>
      </c>
      <c r="AG437" s="6" t="n">
        <f aca="false">MIN(M437:V437)</f>
        <v>50071.9356967728</v>
      </c>
      <c r="AH437" s="19" t="n">
        <f aca="false">IF(AG437&gt;=0,1,0)</f>
        <v>1</v>
      </c>
    </row>
    <row r="438" customFormat="false" ht="15" hidden="false" customHeight="false" outlineLevel="0" collapsed="false">
      <c r="A438" s="0" t="n">
        <f aca="false">ROW()-1</f>
        <v>437</v>
      </c>
      <c r="B438" s="6" t="n">
        <f aca="false">Assumptions!$B$35</f>
        <v>441263.996662504</v>
      </c>
      <c r="C438" s="8" t="n">
        <f aca="true">NORMINV(RAND(),Assumptions!$B$14,Assumptions!$B$15)</f>
        <v>0.0796112978971526</v>
      </c>
      <c r="D438" s="8" t="n">
        <f aca="true">NORMINV(RAND(),Assumptions!$B$14,Assumptions!$B$15)</f>
        <v>0.0447477847195958</v>
      </c>
      <c r="E438" s="8" t="n">
        <f aca="true">NORMINV(RAND(),Assumptions!$B$14,Assumptions!$B$15)</f>
        <v>0.00134319149366347</v>
      </c>
      <c r="F438" s="8" t="n">
        <f aca="true">NORMINV(RAND(),Assumptions!$B$14,Assumptions!$B$15)</f>
        <v>0.0402797145168603</v>
      </c>
      <c r="G438" s="8" t="n">
        <f aca="true">NORMINV(RAND(),Assumptions!$B$14,Assumptions!$B$15)</f>
        <v>0.0579594835285592</v>
      </c>
      <c r="H438" s="8" t="n">
        <f aca="true">NORMINV(RAND(),Assumptions!$B$14,Assumptions!$B$15)</f>
        <v>0.077115383356239</v>
      </c>
      <c r="I438" s="8" t="n">
        <f aca="true">NORMINV(RAND(),Assumptions!$B$14,Assumptions!$B$15)</f>
        <v>0.0870582194740426</v>
      </c>
      <c r="J438" s="8" t="n">
        <f aca="true">NORMINV(RAND(),Assumptions!$B$14,Assumptions!$B$15)</f>
        <v>0.0205069164666971</v>
      </c>
      <c r="K438" s="8" t="n">
        <f aca="true">NORMINV(RAND(),Assumptions!$B$14,Assumptions!$B$15)</f>
        <v>0.101990163707069</v>
      </c>
      <c r="L438" s="8" t="n">
        <f aca="true">NORMINV(RAND(),Assumptions!$B$14,Assumptions!$B$15)</f>
        <v>0.0638056941217599</v>
      </c>
      <c r="M438" s="6" t="n">
        <f aca="false">B438-Assumptions!$B$29</f>
        <v>391263.996662504</v>
      </c>
      <c r="N438" s="6" t="n">
        <f aca="false">W438-Assumptions!$B$29</f>
        <v>372413.031257233</v>
      </c>
      <c r="O438" s="6" t="n">
        <f aca="false">X438-Assumptions!$B$29</f>
        <v>339077.689406703</v>
      </c>
      <c r="P438" s="6" t="n">
        <f aca="false">Y438-Assumptions!$B$29</f>
        <v>289533.135674806</v>
      </c>
      <c r="Q438" s="6" t="n">
        <f aca="false">Z438-Assumptions!$B$29</f>
        <v>251195.447722958</v>
      </c>
      <c r="R438" s="6" t="n">
        <f aca="false">AA438-Assumptions!$B$29</f>
        <v>215754.606137706</v>
      </c>
      <c r="S438" s="6" t="n">
        <f aca="false">AB438-Assumptions!$B$29</f>
        <v>182392.605300889</v>
      </c>
      <c r="T438" s="6" t="n">
        <f aca="false">AC438-Assumptions!$B$29</f>
        <v>148271.380763617</v>
      </c>
      <c r="U438" s="6" t="n">
        <f aca="false">AD438-Assumptions!$B$29</f>
        <v>101311.969583338</v>
      </c>
      <c r="V438" s="6" t="n">
        <f aca="false">AE438-Assumptions!$B$29</f>
        <v>61644.7939466283</v>
      </c>
      <c r="W438" s="6" t="n">
        <f aca="false">M438*(1+C438)</f>
        <v>422413.031257233</v>
      </c>
      <c r="X438" s="6" t="n">
        <f aca="false">N438*(1+D438)</f>
        <v>389077.689406703</v>
      </c>
      <c r="Y438" s="6" t="n">
        <f aca="false">O438*(1+E438)</f>
        <v>339533.135674806</v>
      </c>
      <c r="Z438" s="6" t="n">
        <f aca="false">P438*(1+F438)</f>
        <v>301195.447722958</v>
      </c>
      <c r="AA438" s="6" t="n">
        <f aca="false">Q438*(1+G438)</f>
        <v>265754.606137706</v>
      </c>
      <c r="AB438" s="6" t="n">
        <f aca="false">R438*(1+H438)</f>
        <v>232392.605300889</v>
      </c>
      <c r="AC438" s="6" t="n">
        <f aca="false">S438*(1+I438)</f>
        <v>198271.380763617</v>
      </c>
      <c r="AD438" s="6" t="n">
        <f aca="false">T438*(1+J438)</f>
        <v>151311.969583338</v>
      </c>
      <c r="AE438" s="6" t="n">
        <f aca="false">U438*(1+K438)</f>
        <v>111644.793946628</v>
      </c>
      <c r="AF438" s="6" t="n">
        <f aca="false">V438*(1+L438)</f>
        <v>65578.0828133858</v>
      </c>
      <c r="AG438" s="6" t="n">
        <f aca="false">MIN(M438:V438)</f>
        <v>61644.7939466283</v>
      </c>
      <c r="AH438" s="19" t="n">
        <f aca="false">IF(AG438&gt;=0,1,0)</f>
        <v>1</v>
      </c>
    </row>
    <row r="439" customFormat="false" ht="15" hidden="false" customHeight="false" outlineLevel="0" collapsed="false">
      <c r="A439" s="0" t="n">
        <f aca="false">ROW()-1</f>
        <v>438</v>
      </c>
      <c r="B439" s="6" t="n">
        <f aca="false">Assumptions!$B$35</f>
        <v>441263.996662504</v>
      </c>
      <c r="C439" s="8" t="n">
        <f aca="true">NORMINV(RAND(),Assumptions!$B$14,Assumptions!$B$15)</f>
        <v>0.0154025358977408</v>
      </c>
      <c r="D439" s="8" t="n">
        <f aca="true">NORMINV(RAND(),Assumptions!$B$14,Assumptions!$B$15)</f>
        <v>0.0361956663708871</v>
      </c>
      <c r="E439" s="8" t="n">
        <f aca="true">NORMINV(RAND(),Assumptions!$B$14,Assumptions!$B$15)</f>
        <v>0.0806820972850511</v>
      </c>
      <c r="F439" s="8" t="n">
        <f aca="true">NORMINV(RAND(),Assumptions!$B$14,Assumptions!$B$15)</f>
        <v>0.0156992730533698</v>
      </c>
      <c r="G439" s="8" t="n">
        <f aca="true">NORMINV(RAND(),Assumptions!$B$14,Assumptions!$B$15)</f>
        <v>0.0476773001829807</v>
      </c>
      <c r="H439" s="8" t="n">
        <f aca="true">NORMINV(RAND(),Assumptions!$B$14,Assumptions!$B$15)</f>
        <v>0.0877829558542339</v>
      </c>
      <c r="I439" s="8" t="n">
        <f aca="true">NORMINV(RAND(),Assumptions!$B$14,Assumptions!$B$15)</f>
        <v>0.0967353024980491</v>
      </c>
      <c r="J439" s="8" t="n">
        <f aca="true">NORMINV(RAND(),Assumptions!$B$14,Assumptions!$B$15)</f>
        <v>-0.00694196271590904</v>
      </c>
      <c r="K439" s="8" t="n">
        <f aca="true">NORMINV(RAND(),Assumptions!$B$14,Assumptions!$B$15)</f>
        <v>0.0125272490707576</v>
      </c>
      <c r="L439" s="8" t="n">
        <f aca="true">NORMINV(RAND(),Assumptions!$B$14,Assumptions!$B$15)</f>
        <v>0.0924164261223928</v>
      </c>
      <c r="M439" s="6" t="n">
        <f aca="false">B439-Assumptions!$B$29</f>
        <v>391263.996662504</v>
      </c>
      <c r="N439" s="6" t="n">
        <f aca="false">W439-Assumptions!$B$29</f>
        <v>347290.454416591</v>
      </c>
      <c r="O439" s="6" t="n">
        <f aca="false">X439-Assumptions!$B$29</f>
        <v>309860.863838448</v>
      </c>
      <c r="P439" s="6" t="n">
        <f aca="false">Y439-Assumptions!$B$29</f>
        <v>284861.088199492</v>
      </c>
      <c r="Q439" s="6" t="n">
        <f aca="false">Z439-Assumptions!$B$29</f>
        <v>239333.200205415</v>
      </c>
      <c r="R439" s="6" t="n">
        <f aca="false">AA439-Assumptions!$B$29</f>
        <v>200743.961035362</v>
      </c>
      <c r="S439" s="6" t="n">
        <f aca="false">AB439-Assumptions!$B$29</f>
        <v>168365.859304934</v>
      </c>
      <c r="T439" s="6" t="n">
        <f aca="false">AC439-Assumptions!$B$29</f>
        <v>134652.78163514</v>
      </c>
      <c r="U439" s="6" t="n">
        <f aca="false">AD439-Assumptions!$B$29</f>
        <v>83718.0270454358</v>
      </c>
      <c r="V439" s="6" t="n">
        <f aca="false">AE439-Assumptions!$B$29</f>
        <v>34766.7836219464</v>
      </c>
      <c r="W439" s="6" t="n">
        <f aca="false">M439*(1+C439)</f>
        <v>397290.454416591</v>
      </c>
      <c r="X439" s="6" t="n">
        <f aca="false">N439*(1+D439)</f>
        <v>359860.863838448</v>
      </c>
      <c r="Y439" s="6" t="n">
        <f aca="false">O439*(1+E439)</f>
        <v>334861.088199492</v>
      </c>
      <c r="Z439" s="6" t="n">
        <f aca="false">P439*(1+F439)</f>
        <v>289333.200205415</v>
      </c>
      <c r="AA439" s="6" t="n">
        <f aca="false">Q439*(1+G439)</f>
        <v>250743.961035362</v>
      </c>
      <c r="AB439" s="6" t="n">
        <f aca="false">R439*(1+H439)</f>
        <v>218365.859304934</v>
      </c>
      <c r="AC439" s="6" t="n">
        <f aca="false">S439*(1+I439)</f>
        <v>184652.78163514</v>
      </c>
      <c r="AD439" s="6" t="n">
        <f aca="false">T439*(1+J439)</f>
        <v>133718.027045436</v>
      </c>
      <c r="AE439" s="6" t="n">
        <f aca="false">U439*(1+K439)</f>
        <v>84766.7836219464</v>
      </c>
      <c r="AF439" s="6" t="n">
        <f aca="false">V439*(1+L439)</f>
        <v>37979.8055120572</v>
      </c>
      <c r="AG439" s="6" t="n">
        <f aca="false">MIN(M439:V439)</f>
        <v>34766.7836219464</v>
      </c>
      <c r="AH439" s="19" t="n">
        <f aca="false">IF(AG439&gt;=0,1,0)</f>
        <v>1</v>
      </c>
    </row>
    <row r="440" customFormat="false" ht="15" hidden="false" customHeight="false" outlineLevel="0" collapsed="false">
      <c r="A440" s="0" t="n">
        <f aca="false">ROW()-1</f>
        <v>439</v>
      </c>
      <c r="B440" s="6" t="n">
        <f aca="false">Assumptions!$B$35</f>
        <v>441263.996662504</v>
      </c>
      <c r="C440" s="8" t="n">
        <f aca="true">NORMINV(RAND(),Assumptions!$B$14,Assumptions!$B$15)</f>
        <v>0.0738492413286319</v>
      </c>
      <c r="D440" s="8" t="n">
        <f aca="true">NORMINV(RAND(),Assumptions!$B$14,Assumptions!$B$15)</f>
        <v>0.0226300322670469</v>
      </c>
      <c r="E440" s="8" t="n">
        <f aca="true">NORMINV(RAND(),Assumptions!$B$14,Assumptions!$B$15)</f>
        <v>0.00732821105444827</v>
      </c>
      <c r="F440" s="8" t="n">
        <f aca="true">NORMINV(RAND(),Assumptions!$B$14,Assumptions!$B$15)</f>
        <v>0.0687967723420179</v>
      </c>
      <c r="G440" s="8" t="n">
        <f aca="true">NORMINV(RAND(),Assumptions!$B$14,Assumptions!$B$15)</f>
        <v>0.0252118615876572</v>
      </c>
      <c r="H440" s="8" t="n">
        <f aca="true">NORMINV(RAND(),Assumptions!$B$14,Assumptions!$B$15)</f>
        <v>-0.0161137336862046</v>
      </c>
      <c r="I440" s="8" t="n">
        <f aca="true">NORMINV(RAND(),Assumptions!$B$14,Assumptions!$B$15)</f>
        <v>0.0316402250490984</v>
      </c>
      <c r="J440" s="8" t="n">
        <f aca="true">NORMINV(RAND(),Assumptions!$B$14,Assumptions!$B$15)</f>
        <v>0.00812407844146343</v>
      </c>
      <c r="K440" s="8" t="n">
        <f aca="true">NORMINV(RAND(),Assumptions!$B$14,Assumptions!$B$15)</f>
        <v>0.110802241278527</v>
      </c>
      <c r="L440" s="8" t="n">
        <f aca="true">NORMINV(RAND(),Assumptions!$B$14,Assumptions!$B$15)</f>
        <v>0.0562366613090516</v>
      </c>
      <c r="M440" s="6" t="n">
        <f aca="false">B440-Assumptions!$B$29</f>
        <v>391263.996662504</v>
      </c>
      <c r="N440" s="6" t="n">
        <f aca="false">W440-Assumptions!$B$29</f>
        <v>370158.545975238</v>
      </c>
      <c r="O440" s="6" t="n">
        <f aca="false">X440-Assumptions!$B$29</f>
        <v>328535.245814581</v>
      </c>
      <c r="P440" s="6" t="n">
        <f aca="false">Y440-Assumptions!$B$29</f>
        <v>280942.821434735</v>
      </c>
      <c r="Q440" s="6" t="n">
        <f aca="false">Z440-Assumptions!$B$29</f>
        <v>250270.780762105</v>
      </c>
      <c r="R440" s="6" t="n">
        <f aca="false">AA440-Assumptions!$B$29</f>
        <v>206580.573046114</v>
      </c>
      <c r="S440" s="6" t="n">
        <f aca="false">AB440-Assumptions!$B$29</f>
        <v>153251.788707305</v>
      </c>
      <c r="T440" s="6" t="n">
        <f aca="false">AC440-Assumptions!$B$29</f>
        <v>108100.709791181</v>
      </c>
      <c r="U440" s="6" t="n">
        <f aca="false">AD440-Assumptions!$B$29</f>
        <v>58978.9284371024</v>
      </c>
      <c r="V440" s="6" t="n">
        <f aca="false">AE440-Assumptions!$B$29</f>
        <v>15513.9258961392</v>
      </c>
      <c r="W440" s="6" t="n">
        <f aca="false">M440*(1+C440)</f>
        <v>420158.545975238</v>
      </c>
      <c r="X440" s="6" t="n">
        <f aca="false">N440*(1+D440)</f>
        <v>378535.245814581</v>
      </c>
      <c r="Y440" s="6" t="n">
        <f aca="false">O440*(1+E440)</f>
        <v>330942.821434735</v>
      </c>
      <c r="Z440" s="6" t="n">
        <f aca="false">P440*(1+F440)</f>
        <v>300270.780762105</v>
      </c>
      <c r="AA440" s="6" t="n">
        <f aca="false">Q440*(1+G440)</f>
        <v>256580.573046114</v>
      </c>
      <c r="AB440" s="6" t="n">
        <f aca="false">R440*(1+H440)</f>
        <v>203251.788707305</v>
      </c>
      <c r="AC440" s="6" t="n">
        <f aca="false">S440*(1+I440)</f>
        <v>158100.709791181</v>
      </c>
      <c r="AD440" s="6" t="n">
        <f aca="false">T440*(1+J440)</f>
        <v>108978.928437102</v>
      </c>
      <c r="AE440" s="6" t="n">
        <f aca="false">U440*(1+K440)</f>
        <v>65513.9258961392</v>
      </c>
      <c r="AF440" s="6" t="n">
        <f aca="false">V440*(1+L440)</f>
        <v>16386.3772923341</v>
      </c>
      <c r="AG440" s="6" t="n">
        <f aca="false">MIN(M440:V440)</f>
        <v>15513.9258961392</v>
      </c>
      <c r="AH440" s="19" t="n">
        <f aca="false">IF(AG440&gt;=0,1,0)</f>
        <v>1</v>
      </c>
    </row>
    <row r="441" customFormat="false" ht="15" hidden="false" customHeight="false" outlineLevel="0" collapsed="false">
      <c r="A441" s="0" t="n">
        <f aca="false">ROW()-1</f>
        <v>440</v>
      </c>
      <c r="B441" s="6" t="n">
        <f aca="false">Assumptions!$B$35</f>
        <v>441263.996662504</v>
      </c>
      <c r="C441" s="8" t="n">
        <f aca="true">NORMINV(RAND(),Assumptions!$B$14,Assumptions!$B$15)</f>
        <v>0.119914027725835</v>
      </c>
      <c r="D441" s="8" t="n">
        <f aca="true">NORMINV(RAND(),Assumptions!$B$14,Assumptions!$B$15)</f>
        <v>0.0281222443607816</v>
      </c>
      <c r="E441" s="8" t="n">
        <f aca="true">NORMINV(RAND(),Assumptions!$B$14,Assumptions!$B$15)</f>
        <v>0.0312425977119751</v>
      </c>
      <c r="F441" s="8" t="n">
        <f aca="true">NORMINV(RAND(),Assumptions!$B$14,Assumptions!$B$15)</f>
        <v>0.0363844369353115</v>
      </c>
      <c r="G441" s="8" t="n">
        <f aca="true">NORMINV(RAND(),Assumptions!$B$14,Assumptions!$B$15)</f>
        <v>0.0670345368091022</v>
      </c>
      <c r="H441" s="8" t="n">
        <f aca="true">NORMINV(RAND(),Assumptions!$B$14,Assumptions!$B$15)</f>
        <v>0.0792102974104067</v>
      </c>
      <c r="I441" s="8" t="n">
        <f aca="true">NORMINV(RAND(),Assumptions!$B$14,Assumptions!$B$15)</f>
        <v>0.0476077816328055</v>
      </c>
      <c r="J441" s="8" t="n">
        <f aca="true">NORMINV(RAND(),Assumptions!$B$14,Assumptions!$B$15)</f>
        <v>0.0515112565452349</v>
      </c>
      <c r="K441" s="8" t="n">
        <f aca="true">NORMINV(RAND(),Assumptions!$B$14,Assumptions!$B$15)</f>
        <v>0.0777076797309565</v>
      </c>
      <c r="L441" s="8" t="n">
        <f aca="true">NORMINV(RAND(),Assumptions!$B$14,Assumptions!$B$15)</f>
        <v>0.0823989119648411</v>
      </c>
      <c r="M441" s="6" t="n">
        <f aca="false">B441-Assumptions!$B$29</f>
        <v>391263.996662504</v>
      </c>
      <c r="N441" s="6" t="n">
        <f aca="false">W441-Assumptions!$B$29</f>
        <v>388182.038406412</v>
      </c>
      <c r="O441" s="6" t="n">
        <f aca="false">X441-Assumptions!$B$29</f>
        <v>349098.588546943</v>
      </c>
      <c r="P441" s="6" t="n">
        <f aca="false">Y441-Assumptions!$B$29</f>
        <v>310005.335310734</v>
      </c>
      <c r="Q441" s="6" t="n">
        <f aca="false">Z441-Assumptions!$B$29</f>
        <v>271284.704882957</v>
      </c>
      <c r="R441" s="6" t="n">
        <f aca="false">AA441-Assumptions!$B$29</f>
        <v>239470.14941818</v>
      </c>
      <c r="S441" s="6" t="n">
        <f aca="false">AB441-Assumptions!$B$29</f>
        <v>208438.651174509</v>
      </c>
      <c r="T441" s="6" t="n">
        <f aca="false">AC441-Assumptions!$B$29</f>
        <v>168361.952963462</v>
      </c>
      <c r="U441" s="6" t="n">
        <f aca="false">AD441-Assumptions!$B$29</f>
        <v>127034.488715019</v>
      </c>
      <c r="V441" s="6" t="n">
        <f aca="false">AE441-Assumptions!$B$29</f>
        <v>86906.0440788717</v>
      </c>
      <c r="W441" s="6" t="n">
        <f aca="false">M441*(1+C441)</f>
        <v>438182.038406412</v>
      </c>
      <c r="X441" s="6" t="n">
        <f aca="false">N441*(1+D441)</f>
        <v>399098.588546943</v>
      </c>
      <c r="Y441" s="6" t="n">
        <f aca="false">O441*(1+E441)</f>
        <v>360005.335310734</v>
      </c>
      <c r="Z441" s="6" t="n">
        <f aca="false">P441*(1+F441)</f>
        <v>321284.704882957</v>
      </c>
      <c r="AA441" s="6" t="n">
        <f aca="false">Q441*(1+G441)</f>
        <v>289470.14941818</v>
      </c>
      <c r="AB441" s="6" t="n">
        <f aca="false">R441*(1+H441)</f>
        <v>258438.651174509</v>
      </c>
      <c r="AC441" s="6" t="n">
        <f aca="false">S441*(1+I441)</f>
        <v>218361.952963462</v>
      </c>
      <c r="AD441" s="6" t="n">
        <f aca="false">T441*(1+J441)</f>
        <v>177034.488715019</v>
      </c>
      <c r="AE441" s="6" t="n">
        <f aca="false">U441*(1+K441)</f>
        <v>136906.044078872</v>
      </c>
      <c r="AF441" s="6" t="n">
        <f aca="false">V441*(1+L441)</f>
        <v>94067.0075541392</v>
      </c>
      <c r="AG441" s="6" t="n">
        <f aca="false">MIN(M441:V441)</f>
        <v>86906.0440788717</v>
      </c>
      <c r="AH441" s="19" t="n">
        <f aca="false">IF(AG441&gt;=0,1,0)</f>
        <v>1</v>
      </c>
    </row>
    <row r="442" customFormat="false" ht="15" hidden="false" customHeight="false" outlineLevel="0" collapsed="false">
      <c r="A442" s="0" t="n">
        <f aca="false">ROW()-1</f>
        <v>441</v>
      </c>
      <c r="B442" s="6" t="n">
        <f aca="false">Assumptions!$B$35</f>
        <v>441263.996662504</v>
      </c>
      <c r="C442" s="8" t="n">
        <f aca="true">NORMINV(RAND(),Assumptions!$B$14,Assumptions!$B$15)</f>
        <v>0.0382923209016649</v>
      </c>
      <c r="D442" s="8" t="n">
        <f aca="true">NORMINV(RAND(),Assumptions!$B$14,Assumptions!$B$15)</f>
        <v>0.071752362686354</v>
      </c>
      <c r="E442" s="8" t="n">
        <f aca="true">NORMINV(RAND(),Assumptions!$B$14,Assumptions!$B$15)</f>
        <v>0.0654197511437942</v>
      </c>
      <c r="F442" s="8" t="n">
        <f aca="true">NORMINV(RAND(),Assumptions!$B$14,Assumptions!$B$15)</f>
        <v>0.0646807431513568</v>
      </c>
      <c r="G442" s="8" t="n">
        <f aca="true">NORMINV(RAND(),Assumptions!$B$14,Assumptions!$B$15)</f>
        <v>0.0514415516813593</v>
      </c>
      <c r="H442" s="8" t="n">
        <f aca="true">NORMINV(RAND(),Assumptions!$B$14,Assumptions!$B$15)</f>
        <v>0.0154644661909804</v>
      </c>
      <c r="I442" s="8" t="n">
        <f aca="true">NORMINV(RAND(),Assumptions!$B$14,Assumptions!$B$15)</f>
        <v>0.0738946162408309</v>
      </c>
      <c r="J442" s="8" t="n">
        <f aca="true">NORMINV(RAND(),Assumptions!$B$14,Assumptions!$B$15)</f>
        <v>-0.00861491240445288</v>
      </c>
      <c r="K442" s="8" t="n">
        <f aca="true">NORMINV(RAND(),Assumptions!$B$14,Assumptions!$B$15)</f>
        <v>0.0121792067375298</v>
      </c>
      <c r="L442" s="8" t="n">
        <f aca="true">NORMINV(RAND(),Assumptions!$B$14,Assumptions!$B$15)</f>
        <v>0.0320701353178723</v>
      </c>
      <c r="M442" s="6" t="n">
        <f aca="false">B442-Assumptions!$B$29</f>
        <v>391263.996662504</v>
      </c>
      <c r="N442" s="6" t="n">
        <f aca="false">W442-Assumptions!$B$29</f>
        <v>356246.403179972</v>
      </c>
      <c r="O442" s="6" t="n">
        <f aca="false">X442-Assumptions!$B$29</f>
        <v>331807.924306651</v>
      </c>
      <c r="P442" s="6" t="n">
        <f aca="false">Y442-Assumptions!$B$29</f>
        <v>303514.716142331</v>
      </c>
      <c r="Q442" s="6" t="n">
        <f aca="false">Z442-Assumptions!$B$29</f>
        <v>273146.27353979</v>
      </c>
      <c r="R442" s="6" t="n">
        <f aca="false">AA442-Assumptions!$B$29</f>
        <v>237197.341686657</v>
      </c>
      <c r="S442" s="6" t="n">
        <f aca="false">AB442-Assumptions!$B$29</f>
        <v>190865.471957761</v>
      </c>
      <c r="T442" s="6" t="n">
        <f aca="false">AC442-Assumptions!$B$29</f>
        <v>154969.402761705</v>
      </c>
      <c r="U442" s="6" t="n">
        <f aca="false">AD442-Assumptions!$B$29</f>
        <v>103634.354931542</v>
      </c>
      <c r="V442" s="6" t="n">
        <f aca="false">AE442-Assumptions!$B$29</f>
        <v>54896.5391653643</v>
      </c>
      <c r="W442" s="6" t="n">
        <f aca="false">M442*(1+C442)</f>
        <v>406246.403179972</v>
      </c>
      <c r="X442" s="6" t="n">
        <f aca="false">N442*(1+D442)</f>
        <v>381807.924306651</v>
      </c>
      <c r="Y442" s="6" t="n">
        <f aca="false">O442*(1+E442)</f>
        <v>353514.716142331</v>
      </c>
      <c r="Z442" s="6" t="n">
        <f aca="false">P442*(1+F442)</f>
        <v>323146.27353979</v>
      </c>
      <c r="AA442" s="6" t="n">
        <f aca="false">Q442*(1+G442)</f>
        <v>287197.341686657</v>
      </c>
      <c r="AB442" s="6" t="n">
        <f aca="false">R442*(1+H442)</f>
        <v>240865.471957761</v>
      </c>
      <c r="AC442" s="6" t="n">
        <f aca="false">S442*(1+I442)</f>
        <v>204969.402761705</v>
      </c>
      <c r="AD442" s="6" t="n">
        <f aca="false">T442*(1+J442)</f>
        <v>153634.354931542</v>
      </c>
      <c r="AE442" s="6" t="n">
        <f aca="false">U442*(1+K442)</f>
        <v>104896.539165364</v>
      </c>
      <c r="AF442" s="6" t="n">
        <f aca="false">V442*(1+L442)</f>
        <v>56657.0786048804</v>
      </c>
      <c r="AG442" s="6" t="n">
        <f aca="false">MIN(M442:V442)</f>
        <v>54896.5391653643</v>
      </c>
      <c r="AH442" s="19" t="n">
        <f aca="false">IF(AG442&gt;=0,1,0)</f>
        <v>1</v>
      </c>
    </row>
    <row r="443" customFormat="false" ht="15" hidden="false" customHeight="false" outlineLevel="0" collapsed="false">
      <c r="A443" s="0" t="n">
        <f aca="false">ROW()-1</f>
        <v>442</v>
      </c>
      <c r="B443" s="6" t="n">
        <f aca="false">Assumptions!$B$35</f>
        <v>441263.996662504</v>
      </c>
      <c r="C443" s="8" t="n">
        <f aca="true">NORMINV(RAND(),Assumptions!$B$14,Assumptions!$B$15)</f>
        <v>0.097093480475778</v>
      </c>
      <c r="D443" s="8" t="n">
        <f aca="true">NORMINV(RAND(),Assumptions!$B$14,Assumptions!$B$15)</f>
        <v>0.0575342251989467</v>
      </c>
      <c r="E443" s="8" t="n">
        <f aca="true">NORMINV(RAND(),Assumptions!$B$14,Assumptions!$B$15)</f>
        <v>0.0153677911768993</v>
      </c>
      <c r="F443" s="8" t="n">
        <f aca="true">NORMINV(RAND(),Assumptions!$B$14,Assumptions!$B$15)</f>
        <v>0.0628842172313052</v>
      </c>
      <c r="G443" s="8" t="n">
        <f aca="true">NORMINV(RAND(),Assumptions!$B$14,Assumptions!$B$15)</f>
        <v>0.0116439331905357</v>
      </c>
      <c r="H443" s="8" t="n">
        <f aca="true">NORMINV(RAND(),Assumptions!$B$14,Assumptions!$B$15)</f>
        <v>0.0499988745712561</v>
      </c>
      <c r="I443" s="8" t="n">
        <f aca="true">NORMINV(RAND(),Assumptions!$B$14,Assumptions!$B$15)</f>
        <v>0.037362710036879</v>
      </c>
      <c r="J443" s="8" t="n">
        <f aca="true">NORMINV(RAND(),Assumptions!$B$14,Assumptions!$B$15)</f>
        <v>0.0990237749437904</v>
      </c>
      <c r="K443" s="8" t="n">
        <f aca="true">NORMINV(RAND(),Assumptions!$B$14,Assumptions!$B$15)</f>
        <v>0.0469844112939104</v>
      </c>
      <c r="L443" s="8" t="n">
        <f aca="true">NORMINV(RAND(),Assumptions!$B$14,Assumptions!$B$15)</f>
        <v>0.0838947825858933</v>
      </c>
      <c r="M443" s="6" t="n">
        <f aca="false">B443-Assumptions!$B$29</f>
        <v>391263.996662504</v>
      </c>
      <c r="N443" s="6" t="n">
        <f aca="false">W443-Assumptions!$B$29</f>
        <v>379253.179883329</v>
      </c>
      <c r="O443" s="6" t="n">
        <f aca="false">X443-Assumptions!$B$29</f>
        <v>351073.217742153</v>
      </c>
      <c r="P443" s="6" t="n">
        <f aca="false">Y443-Assumptions!$B$29</f>
        <v>306468.437640217</v>
      </c>
      <c r="Q443" s="6" t="n">
        <f aca="false">Z443-Assumptions!$B$29</f>
        <v>275740.465447323</v>
      </c>
      <c r="R443" s="6" t="n">
        <f aca="false">AA443-Assumptions!$B$29</f>
        <v>228951.169004919</v>
      </c>
      <c r="S443" s="6" t="n">
        <f aca="false">AB443-Assumptions!$B$29</f>
        <v>190398.469786938</v>
      </c>
      <c r="T443" s="6" t="n">
        <f aca="false">AC443-Assumptions!$B$29</f>
        <v>147512.272605053</v>
      </c>
      <c r="U443" s="6" t="n">
        <f aca="false">AD443-Assumptions!$B$29</f>
        <v>112119.494688943</v>
      </c>
      <c r="V443" s="6" t="n">
        <f aca="false">AE443-Assumptions!$B$29</f>
        <v>67387.3631414735</v>
      </c>
      <c r="W443" s="6" t="n">
        <f aca="false">M443*(1+C443)</f>
        <v>429253.179883329</v>
      </c>
      <c r="X443" s="6" t="n">
        <f aca="false">N443*(1+D443)</f>
        <v>401073.217742153</v>
      </c>
      <c r="Y443" s="6" t="n">
        <f aca="false">O443*(1+E443)</f>
        <v>356468.437640217</v>
      </c>
      <c r="Z443" s="6" t="n">
        <f aca="false">P443*(1+F443)</f>
        <v>325740.465447323</v>
      </c>
      <c r="AA443" s="6" t="n">
        <f aca="false">Q443*(1+G443)</f>
        <v>278951.169004919</v>
      </c>
      <c r="AB443" s="6" t="n">
        <f aca="false">R443*(1+H443)</f>
        <v>240398.469786938</v>
      </c>
      <c r="AC443" s="6" t="n">
        <f aca="false">S443*(1+I443)</f>
        <v>197512.272605053</v>
      </c>
      <c r="AD443" s="6" t="n">
        <f aca="false">T443*(1+J443)</f>
        <v>162119.494688943</v>
      </c>
      <c r="AE443" s="6" t="n">
        <f aca="false">U443*(1+K443)</f>
        <v>117387.363141474</v>
      </c>
      <c r="AF443" s="6" t="n">
        <f aca="false">V443*(1+L443)</f>
        <v>73040.8113212641</v>
      </c>
      <c r="AG443" s="6" t="n">
        <f aca="false">MIN(M443:V443)</f>
        <v>67387.3631414735</v>
      </c>
      <c r="AH443" s="19" t="n">
        <f aca="false">IF(AG443&gt;=0,1,0)</f>
        <v>1</v>
      </c>
    </row>
    <row r="444" customFormat="false" ht="15" hidden="false" customHeight="false" outlineLevel="0" collapsed="false">
      <c r="A444" s="0" t="n">
        <f aca="false">ROW()-1</f>
        <v>443</v>
      </c>
      <c r="B444" s="6" t="n">
        <f aca="false">Assumptions!$B$35</f>
        <v>441263.996662504</v>
      </c>
      <c r="C444" s="8" t="n">
        <f aca="true">NORMINV(RAND(),Assumptions!$B$14,Assumptions!$B$15)</f>
        <v>0.034489469849552</v>
      </c>
      <c r="D444" s="8" t="n">
        <f aca="true">NORMINV(RAND(),Assumptions!$B$14,Assumptions!$B$15)</f>
        <v>0.0174138480763816</v>
      </c>
      <c r="E444" s="8" t="n">
        <f aca="true">NORMINV(RAND(),Assumptions!$B$14,Assumptions!$B$15)</f>
        <v>0.0260234378843011</v>
      </c>
      <c r="F444" s="8" t="n">
        <f aca="true">NORMINV(RAND(),Assumptions!$B$14,Assumptions!$B$15)</f>
        <v>0.0461876368390937</v>
      </c>
      <c r="G444" s="8" t="n">
        <f aca="true">NORMINV(RAND(),Assumptions!$B$14,Assumptions!$B$15)</f>
        <v>0.0353583253996031</v>
      </c>
      <c r="H444" s="8" t="n">
        <f aca="true">NORMINV(RAND(),Assumptions!$B$14,Assumptions!$B$15)</f>
        <v>0.0477491975775296</v>
      </c>
      <c r="I444" s="8" t="n">
        <f aca="true">NORMINV(RAND(),Assumptions!$B$14,Assumptions!$B$15)</f>
        <v>0.0274319068255812</v>
      </c>
      <c r="J444" s="8" t="n">
        <f aca="true">NORMINV(RAND(),Assumptions!$B$14,Assumptions!$B$15)</f>
        <v>0.0488109881793142</v>
      </c>
      <c r="K444" s="8" t="n">
        <f aca="true">NORMINV(RAND(),Assumptions!$B$14,Assumptions!$B$15)</f>
        <v>0.0323470189885228</v>
      </c>
      <c r="L444" s="8" t="n">
        <f aca="true">NORMINV(RAND(),Assumptions!$B$14,Assumptions!$B$15)</f>
        <v>0.0664297965616545</v>
      </c>
      <c r="M444" s="6" t="n">
        <f aca="false">B444-Assumptions!$B$29</f>
        <v>391263.996662504</v>
      </c>
      <c r="N444" s="6" t="n">
        <f aca="false">W444-Assumptions!$B$29</f>
        <v>354758.48447861</v>
      </c>
      <c r="O444" s="6" t="n">
        <f aca="false">X444-Assumptions!$B$29</f>
        <v>310936.194831128</v>
      </c>
      <c r="P444" s="6" t="n">
        <f aca="false">Y444-Assumptions!$B$29</f>
        <v>269027.823583297</v>
      </c>
      <c r="Q444" s="6" t="n">
        <f aca="false">Z444-Assumptions!$B$29</f>
        <v>231453.582998574</v>
      </c>
      <c r="R444" s="6" t="n">
        <f aca="false">AA444-Assumptions!$B$29</f>
        <v>189637.394101142</v>
      </c>
      <c r="S444" s="6" t="n">
        <f aca="false">AB444-Assumptions!$B$29</f>
        <v>148692.427500165</v>
      </c>
      <c r="T444" s="6" t="n">
        <f aca="false">AC444-Assumptions!$B$29</f>
        <v>102771.344317019</v>
      </c>
      <c r="U444" s="6" t="n">
        <f aca="false">AD444-Assumptions!$B$29</f>
        <v>57787.715189649</v>
      </c>
      <c r="V444" s="6" t="n">
        <f aca="false">AE444-Assumptions!$B$29</f>
        <v>9656.97551019197</v>
      </c>
      <c r="W444" s="6" t="n">
        <f aca="false">M444*(1+C444)</f>
        <v>404758.48447861</v>
      </c>
      <c r="X444" s="6" t="n">
        <f aca="false">N444*(1+D444)</f>
        <v>360936.194831128</v>
      </c>
      <c r="Y444" s="6" t="n">
        <f aca="false">O444*(1+E444)</f>
        <v>319027.823583297</v>
      </c>
      <c r="Z444" s="6" t="n">
        <f aca="false">P444*(1+F444)</f>
        <v>281453.582998574</v>
      </c>
      <c r="AA444" s="6" t="n">
        <f aca="false">Q444*(1+G444)</f>
        <v>239637.394101142</v>
      </c>
      <c r="AB444" s="6" t="n">
        <f aca="false">R444*(1+H444)</f>
        <v>198692.427500165</v>
      </c>
      <c r="AC444" s="6" t="n">
        <f aca="false">S444*(1+I444)</f>
        <v>152771.344317019</v>
      </c>
      <c r="AD444" s="6" t="n">
        <f aca="false">T444*(1+J444)</f>
        <v>107787.715189649</v>
      </c>
      <c r="AE444" s="6" t="n">
        <f aca="false">U444*(1+K444)</f>
        <v>59656.975510192</v>
      </c>
      <c r="AF444" s="6" t="n">
        <f aca="false">V444*(1+L444)</f>
        <v>10298.4864287349</v>
      </c>
      <c r="AG444" s="6" t="n">
        <f aca="false">MIN(M444:V444)</f>
        <v>9656.97551019197</v>
      </c>
      <c r="AH444" s="19" t="n">
        <f aca="false">IF(AG444&gt;=0,1,0)</f>
        <v>1</v>
      </c>
    </row>
    <row r="445" customFormat="false" ht="15" hidden="false" customHeight="false" outlineLevel="0" collapsed="false">
      <c r="A445" s="0" t="n">
        <f aca="false">ROW()-1</f>
        <v>444</v>
      </c>
      <c r="B445" s="6" t="n">
        <f aca="false">Assumptions!$B$35</f>
        <v>441263.996662504</v>
      </c>
      <c r="C445" s="8" t="n">
        <f aca="true">NORMINV(RAND(),Assumptions!$B$14,Assumptions!$B$15)</f>
        <v>0.0204880826005504</v>
      </c>
      <c r="D445" s="8" t="n">
        <f aca="true">NORMINV(RAND(),Assumptions!$B$14,Assumptions!$B$15)</f>
        <v>0.0569026878534777</v>
      </c>
      <c r="E445" s="8" t="n">
        <f aca="true">NORMINV(RAND(),Assumptions!$B$14,Assumptions!$B$15)</f>
        <v>0.0101221305735427</v>
      </c>
      <c r="F445" s="8" t="n">
        <f aca="true">NORMINV(RAND(),Assumptions!$B$14,Assumptions!$B$15)</f>
        <v>0.0446993357153528</v>
      </c>
      <c r="G445" s="8" t="n">
        <f aca="true">NORMINV(RAND(),Assumptions!$B$14,Assumptions!$B$15)</f>
        <v>0.0857757810573299</v>
      </c>
      <c r="H445" s="8" t="n">
        <f aca="true">NORMINV(RAND(),Assumptions!$B$14,Assumptions!$B$15)</f>
        <v>0.00660757298685561</v>
      </c>
      <c r="I445" s="8" t="n">
        <f aca="true">NORMINV(RAND(),Assumptions!$B$14,Assumptions!$B$15)</f>
        <v>0.0464464268771042</v>
      </c>
      <c r="J445" s="8" t="n">
        <f aca="true">NORMINV(RAND(),Assumptions!$B$14,Assumptions!$B$15)</f>
        <v>0.0294652184990455</v>
      </c>
      <c r="K445" s="8" t="n">
        <f aca="true">NORMINV(RAND(),Assumptions!$B$14,Assumptions!$B$15)</f>
        <v>0.0301418695235765</v>
      </c>
      <c r="L445" s="8" t="n">
        <f aca="true">NORMINV(RAND(),Assumptions!$B$14,Assumptions!$B$15)</f>
        <v>0.00774879809776922</v>
      </c>
      <c r="M445" s="6" t="n">
        <f aca="false">B445-Assumptions!$B$29</f>
        <v>391263.996662504</v>
      </c>
      <c r="N445" s="6" t="n">
        <f aca="false">W445-Assumptions!$B$29</f>
        <v>349280.245744746</v>
      </c>
      <c r="O445" s="6" t="n">
        <f aca="false">X445-Assumptions!$B$29</f>
        <v>319155.230541746</v>
      </c>
      <c r="P445" s="6" t="n">
        <f aca="false">Y445-Assumptions!$B$29</f>
        <v>272385.761458518</v>
      </c>
      <c r="Q445" s="6" t="n">
        <f aca="false">Z445-Assumptions!$B$29</f>
        <v>234561.224054035</v>
      </c>
      <c r="R445" s="6" t="n">
        <f aca="false">AA445-Assumptions!$B$29</f>
        <v>204680.896253033</v>
      </c>
      <c r="S445" s="6" t="n">
        <f aca="false">AB445-Assumptions!$B$29</f>
        <v>156033.34021404</v>
      </c>
      <c r="T445" s="6" t="n">
        <f aca="false">AC445-Assumptions!$B$29</f>
        <v>113280.531340682</v>
      </c>
      <c r="U445" s="6" t="n">
        <f aca="false">AD445-Assumptions!$B$29</f>
        <v>66618.3669483227</v>
      </c>
      <c r="V445" s="6" t="n">
        <f aca="false">AE445-Assumptions!$B$29</f>
        <v>18626.3690727528</v>
      </c>
      <c r="W445" s="6" t="n">
        <f aca="false">M445*(1+C445)</f>
        <v>399280.245744746</v>
      </c>
      <c r="X445" s="6" t="n">
        <f aca="false">N445*(1+D445)</f>
        <v>369155.230541746</v>
      </c>
      <c r="Y445" s="6" t="n">
        <f aca="false">O445*(1+E445)</f>
        <v>322385.761458518</v>
      </c>
      <c r="Z445" s="6" t="n">
        <f aca="false">P445*(1+F445)</f>
        <v>284561.224054035</v>
      </c>
      <c r="AA445" s="6" t="n">
        <f aca="false">Q445*(1+G445)</f>
        <v>254680.896253033</v>
      </c>
      <c r="AB445" s="6" t="n">
        <f aca="false">R445*(1+H445)</f>
        <v>206033.34021404</v>
      </c>
      <c r="AC445" s="6" t="n">
        <f aca="false">S445*(1+I445)</f>
        <v>163280.531340682</v>
      </c>
      <c r="AD445" s="6" t="n">
        <f aca="false">T445*(1+J445)</f>
        <v>116618.366948323</v>
      </c>
      <c r="AE445" s="6" t="n">
        <f aca="false">U445*(1+K445)</f>
        <v>68626.3690727528</v>
      </c>
      <c r="AF445" s="6" t="n">
        <f aca="false">V445*(1+L445)</f>
        <v>18770.7010459921</v>
      </c>
      <c r="AG445" s="6" t="n">
        <f aca="false">MIN(M445:V445)</f>
        <v>18626.3690727528</v>
      </c>
      <c r="AH445" s="19" t="n">
        <f aca="false">IF(AG445&gt;=0,1,0)</f>
        <v>1</v>
      </c>
    </row>
    <row r="446" customFormat="false" ht="15" hidden="false" customHeight="false" outlineLevel="0" collapsed="false">
      <c r="A446" s="0" t="n">
        <f aca="false">ROW()-1</f>
        <v>445</v>
      </c>
      <c r="B446" s="6" t="n">
        <f aca="false">Assumptions!$B$35</f>
        <v>441263.996662504</v>
      </c>
      <c r="C446" s="8" t="n">
        <f aca="true">NORMINV(RAND(),Assumptions!$B$14,Assumptions!$B$15)</f>
        <v>0.0242537911208665</v>
      </c>
      <c r="D446" s="8" t="n">
        <f aca="true">NORMINV(RAND(),Assumptions!$B$14,Assumptions!$B$15)</f>
        <v>-0.00313951292351033</v>
      </c>
      <c r="E446" s="8" t="n">
        <f aca="true">NORMINV(RAND(),Assumptions!$B$14,Assumptions!$B$15)</f>
        <v>0.0616702148854674</v>
      </c>
      <c r="F446" s="8" t="n">
        <f aca="true">NORMINV(RAND(),Assumptions!$B$14,Assumptions!$B$15)</f>
        <v>0.0822254498969153</v>
      </c>
      <c r="G446" s="8" t="n">
        <f aca="true">NORMINV(RAND(),Assumptions!$B$14,Assumptions!$B$15)</f>
        <v>0.023458830477903</v>
      </c>
      <c r="H446" s="8" t="n">
        <f aca="true">NORMINV(RAND(),Assumptions!$B$14,Assumptions!$B$15)</f>
        <v>0.074731257149508</v>
      </c>
      <c r="I446" s="8" t="n">
        <f aca="true">NORMINV(RAND(),Assumptions!$B$14,Assumptions!$B$15)</f>
        <v>0.051342719147124</v>
      </c>
      <c r="J446" s="8" t="n">
        <f aca="true">NORMINV(RAND(),Assumptions!$B$14,Assumptions!$B$15)</f>
        <v>0.0339517505371291</v>
      </c>
      <c r="K446" s="8" t="n">
        <f aca="true">NORMINV(RAND(),Assumptions!$B$14,Assumptions!$B$15)</f>
        <v>0.0150990273263539</v>
      </c>
      <c r="L446" s="8" t="n">
        <f aca="true">NORMINV(RAND(),Assumptions!$B$14,Assumptions!$B$15)</f>
        <v>0.0317035926219412</v>
      </c>
      <c r="M446" s="6" t="n">
        <f aca="false">B446-Assumptions!$B$29</f>
        <v>391263.996662504</v>
      </c>
      <c r="N446" s="6" t="n">
        <f aca="false">W446-Assumptions!$B$29</f>
        <v>350753.631910671</v>
      </c>
      <c r="O446" s="6" t="n">
        <f aca="false">X446-Assumptions!$B$29</f>
        <v>299652.43635032</v>
      </c>
      <c r="P446" s="6" t="n">
        <f aca="false">Y446-Assumptions!$B$29</f>
        <v>268132.066490998</v>
      </c>
      <c r="Q446" s="6" t="n">
        <f aca="false">Z446-Assumptions!$B$29</f>
        <v>240179.346290009</v>
      </c>
      <c r="R446" s="6" t="n">
        <f aca="false">AA446-Assumptions!$B$29</f>
        <v>195813.67285892</v>
      </c>
      <c r="S446" s="6" t="n">
        <f aca="false">AB446-Assumptions!$B$29</f>
        <v>160447.07479873</v>
      </c>
      <c r="T446" s="6" t="n">
        <f aca="false">AC446-Assumptions!$B$29</f>
        <v>118684.863898099</v>
      </c>
      <c r="U446" s="6" t="n">
        <f aca="false">AD446-Assumptions!$B$29</f>
        <v>72714.4227897001</v>
      </c>
      <c r="V446" s="6" t="n">
        <f aca="false">AE446-Assumptions!$B$29</f>
        <v>23812.3398464218</v>
      </c>
      <c r="W446" s="6" t="n">
        <f aca="false">M446*(1+C446)</f>
        <v>400753.631910671</v>
      </c>
      <c r="X446" s="6" t="n">
        <f aca="false">N446*(1+D446)</f>
        <v>349652.43635032</v>
      </c>
      <c r="Y446" s="6" t="n">
        <f aca="false">O446*(1+E446)</f>
        <v>318132.066490998</v>
      </c>
      <c r="Z446" s="6" t="n">
        <f aca="false">P446*(1+F446)</f>
        <v>290179.346290009</v>
      </c>
      <c r="AA446" s="6" t="n">
        <f aca="false">Q446*(1+G446)</f>
        <v>245813.67285892</v>
      </c>
      <c r="AB446" s="6" t="n">
        <f aca="false">R446*(1+H446)</f>
        <v>210447.07479873</v>
      </c>
      <c r="AC446" s="6" t="n">
        <f aca="false">S446*(1+I446)</f>
        <v>168684.863898099</v>
      </c>
      <c r="AD446" s="6" t="n">
        <f aca="false">T446*(1+J446)</f>
        <v>122714.4227897</v>
      </c>
      <c r="AE446" s="6" t="n">
        <f aca="false">U446*(1+K446)</f>
        <v>73812.3398464218</v>
      </c>
      <c r="AF446" s="6" t="n">
        <f aca="false">V446*(1+L446)</f>
        <v>24567.2765682879</v>
      </c>
      <c r="AG446" s="6" t="n">
        <f aca="false">MIN(M446:V446)</f>
        <v>23812.3398464218</v>
      </c>
      <c r="AH446" s="19" t="n">
        <f aca="false">IF(AG446&gt;=0,1,0)</f>
        <v>1</v>
      </c>
    </row>
    <row r="447" customFormat="false" ht="15" hidden="false" customHeight="false" outlineLevel="0" collapsed="false">
      <c r="A447" s="0" t="n">
        <f aca="false">ROW()-1</f>
        <v>446</v>
      </c>
      <c r="B447" s="6" t="n">
        <f aca="false">Assumptions!$B$35</f>
        <v>441263.996662504</v>
      </c>
      <c r="C447" s="8" t="n">
        <f aca="true">NORMINV(RAND(),Assumptions!$B$14,Assumptions!$B$15)</f>
        <v>0.0506889131152695</v>
      </c>
      <c r="D447" s="8" t="n">
        <f aca="true">NORMINV(RAND(),Assumptions!$B$14,Assumptions!$B$15)</f>
        <v>0.0707991310554244</v>
      </c>
      <c r="E447" s="8" t="n">
        <f aca="true">NORMINV(RAND(),Assumptions!$B$14,Assumptions!$B$15)</f>
        <v>0.0572327407529955</v>
      </c>
      <c r="F447" s="8" t="n">
        <f aca="true">NORMINV(RAND(),Assumptions!$B$14,Assumptions!$B$15)</f>
        <v>0.0737335012778818</v>
      </c>
      <c r="G447" s="8" t="n">
        <f aca="true">NORMINV(RAND(),Assumptions!$B$14,Assumptions!$B$15)</f>
        <v>0.0228808578496483</v>
      </c>
      <c r="H447" s="8" t="n">
        <f aca="true">NORMINV(RAND(),Assumptions!$B$14,Assumptions!$B$15)</f>
        <v>0.06307003244601</v>
      </c>
      <c r="I447" s="8" t="n">
        <f aca="true">NORMINV(RAND(),Assumptions!$B$14,Assumptions!$B$15)</f>
        <v>0.0521602663660943</v>
      </c>
      <c r="J447" s="8" t="n">
        <f aca="true">NORMINV(RAND(),Assumptions!$B$14,Assumptions!$B$15)</f>
        <v>0.0348135308710073</v>
      </c>
      <c r="K447" s="8" t="n">
        <f aca="true">NORMINV(RAND(),Assumptions!$B$14,Assumptions!$B$15)</f>
        <v>0.0708904236603136</v>
      </c>
      <c r="L447" s="8" t="n">
        <f aca="true">NORMINV(RAND(),Assumptions!$B$14,Assumptions!$B$15)</f>
        <v>0.00194234258671237</v>
      </c>
      <c r="M447" s="6" t="n">
        <f aca="false">B447-Assumptions!$B$29</f>
        <v>391263.996662504</v>
      </c>
      <c r="N447" s="6" t="n">
        <f aca="false">W447-Assumptions!$B$29</f>
        <v>361096.743394462</v>
      </c>
      <c r="O447" s="6" t="n">
        <f aca="false">X447-Assumptions!$B$29</f>
        <v>336662.079053734</v>
      </c>
      <c r="P447" s="6" t="n">
        <f aca="false">Y447-Assumptions!$B$29</f>
        <v>305930.172545581</v>
      </c>
      <c r="Q447" s="6" t="n">
        <f aca="false">Z447-Assumptions!$B$29</f>
        <v>278487.475313913</v>
      </c>
      <c r="R447" s="6" t="n">
        <f aca="false">AA447-Assumptions!$B$29</f>
        <v>234859.507649478</v>
      </c>
      <c r="S447" s="6" t="n">
        <f aca="false">AB447-Assumptions!$B$29</f>
        <v>199672.104417184</v>
      </c>
      <c r="T447" s="6" t="n">
        <f aca="false">AC447-Assumptions!$B$29</f>
        <v>160087.054569463</v>
      </c>
      <c r="U447" s="6" t="n">
        <f aca="false">AD447-Assumptions!$B$29</f>
        <v>115660.250185766</v>
      </c>
      <c r="V447" s="6" t="n">
        <f aca="false">AE447-Assumptions!$B$29</f>
        <v>73859.4543220926</v>
      </c>
      <c r="W447" s="6" t="n">
        <f aca="false">M447*(1+C447)</f>
        <v>411096.743394462</v>
      </c>
      <c r="X447" s="6" t="n">
        <f aca="false">N447*(1+D447)</f>
        <v>386662.079053734</v>
      </c>
      <c r="Y447" s="6" t="n">
        <f aca="false">O447*(1+E447)</f>
        <v>355930.172545581</v>
      </c>
      <c r="Z447" s="6" t="n">
        <f aca="false">P447*(1+F447)</f>
        <v>328487.475313913</v>
      </c>
      <c r="AA447" s="6" t="n">
        <f aca="false">Q447*(1+G447)</f>
        <v>284859.507649478</v>
      </c>
      <c r="AB447" s="6" t="n">
        <f aca="false">R447*(1+H447)</f>
        <v>249672.104417184</v>
      </c>
      <c r="AC447" s="6" t="n">
        <f aca="false">S447*(1+I447)</f>
        <v>210087.054569463</v>
      </c>
      <c r="AD447" s="6" t="n">
        <f aca="false">T447*(1+J447)</f>
        <v>165660.250185766</v>
      </c>
      <c r="AE447" s="6" t="n">
        <f aca="false">U447*(1+K447)</f>
        <v>123859.454322093</v>
      </c>
      <c r="AF447" s="6" t="n">
        <f aca="false">V447*(1+L447)</f>
        <v>74002.9146856537</v>
      </c>
      <c r="AG447" s="6" t="n">
        <f aca="false">MIN(M447:V447)</f>
        <v>73859.4543220926</v>
      </c>
      <c r="AH447" s="19" t="n">
        <f aca="false">IF(AG447&gt;=0,1,0)</f>
        <v>1</v>
      </c>
    </row>
    <row r="448" customFormat="false" ht="15" hidden="false" customHeight="false" outlineLevel="0" collapsed="false">
      <c r="A448" s="0" t="n">
        <f aca="false">ROW()-1</f>
        <v>447</v>
      </c>
      <c r="B448" s="6" t="n">
        <f aca="false">Assumptions!$B$35</f>
        <v>441263.996662504</v>
      </c>
      <c r="C448" s="8" t="n">
        <f aca="true">NORMINV(RAND(),Assumptions!$B$14,Assumptions!$B$15)</f>
        <v>0.0305568876353864</v>
      </c>
      <c r="D448" s="8" t="n">
        <f aca="true">NORMINV(RAND(),Assumptions!$B$14,Assumptions!$B$15)</f>
        <v>0.0780611430851126</v>
      </c>
      <c r="E448" s="8" t="n">
        <f aca="true">NORMINV(RAND(),Assumptions!$B$14,Assumptions!$B$15)</f>
        <v>0.0606653840367317</v>
      </c>
      <c r="F448" s="8" t="n">
        <f aca="true">NORMINV(RAND(),Assumptions!$B$14,Assumptions!$B$15)</f>
        <v>0.0974656279782719</v>
      </c>
      <c r="G448" s="8" t="n">
        <f aca="true">NORMINV(RAND(),Assumptions!$B$14,Assumptions!$B$15)</f>
        <v>0.0508039411487738</v>
      </c>
      <c r="H448" s="8" t="n">
        <f aca="true">NORMINV(RAND(),Assumptions!$B$14,Assumptions!$B$15)</f>
        <v>0.0869300277194368</v>
      </c>
      <c r="I448" s="8" t="n">
        <f aca="true">NORMINV(RAND(),Assumptions!$B$14,Assumptions!$B$15)</f>
        <v>0.012921952624008</v>
      </c>
      <c r="J448" s="8" t="n">
        <f aca="true">NORMINV(RAND(),Assumptions!$B$14,Assumptions!$B$15)</f>
        <v>0.0491712731492626</v>
      </c>
      <c r="K448" s="8" t="n">
        <f aca="true">NORMINV(RAND(),Assumptions!$B$14,Assumptions!$B$15)</f>
        <v>0.0329284223791937</v>
      </c>
      <c r="L448" s="8" t="n">
        <f aca="true">NORMINV(RAND(),Assumptions!$B$14,Assumptions!$B$15)</f>
        <v>0.0813393772350875</v>
      </c>
      <c r="M448" s="6" t="n">
        <f aca="false">B448-Assumptions!$B$29</f>
        <v>391263.996662504</v>
      </c>
      <c r="N448" s="6" t="n">
        <f aca="false">W448-Assumptions!$B$29</f>
        <v>353219.806644292</v>
      </c>
      <c r="O448" s="6" t="n">
        <f aca="false">X448-Assumptions!$B$29</f>
        <v>330792.548511248</v>
      </c>
      <c r="P448" s="6" t="n">
        <f aca="false">Y448-Assumptions!$B$29</f>
        <v>300860.205503172</v>
      </c>
      <c r="Q448" s="6" t="n">
        <f aca="false">Z448-Assumptions!$B$29</f>
        <v>280183.73436621</v>
      </c>
      <c r="R448" s="6" t="n">
        <f aca="false">AA448-Assumptions!$B$29</f>
        <v>244418.172317795</v>
      </c>
      <c r="S448" s="6" t="n">
        <f aca="false">AB448-Assumptions!$B$29</f>
        <v>215665.450812515</v>
      </c>
      <c r="T448" s="6" t="n">
        <f aca="false">AC448-Assumptions!$B$29</f>
        <v>168452.269550549</v>
      </c>
      <c r="U448" s="6" t="n">
        <f aca="false">AD448-Assumptions!$B$29</f>
        <v>126735.282109233</v>
      </c>
      <c r="V448" s="6" t="n">
        <f aca="false">AE448-Assumptions!$B$29</f>
        <v>80908.4750088718</v>
      </c>
      <c r="W448" s="6" t="n">
        <f aca="false">M448*(1+C448)</f>
        <v>403219.806644292</v>
      </c>
      <c r="X448" s="6" t="n">
        <f aca="false">N448*(1+D448)</f>
        <v>380792.548511248</v>
      </c>
      <c r="Y448" s="6" t="n">
        <f aca="false">O448*(1+E448)</f>
        <v>350860.205503172</v>
      </c>
      <c r="Z448" s="6" t="n">
        <f aca="false">P448*(1+F448)</f>
        <v>330183.73436621</v>
      </c>
      <c r="AA448" s="6" t="n">
        <f aca="false">Q448*(1+G448)</f>
        <v>294418.172317795</v>
      </c>
      <c r="AB448" s="6" t="n">
        <f aca="false">R448*(1+H448)</f>
        <v>265665.450812515</v>
      </c>
      <c r="AC448" s="6" t="n">
        <f aca="false">S448*(1+I448)</f>
        <v>218452.269550549</v>
      </c>
      <c r="AD448" s="6" t="n">
        <f aca="false">T448*(1+J448)</f>
        <v>176735.282109233</v>
      </c>
      <c r="AE448" s="6" t="n">
        <f aca="false">U448*(1+K448)</f>
        <v>130908.475008872</v>
      </c>
      <c r="AF448" s="6" t="n">
        <f aca="false">V448*(1+L448)</f>
        <v>87489.5199791341</v>
      </c>
      <c r="AG448" s="6" t="n">
        <f aca="false">MIN(M448:V448)</f>
        <v>80908.4750088718</v>
      </c>
      <c r="AH448" s="19" t="n">
        <f aca="false">IF(AG448&gt;=0,1,0)</f>
        <v>1</v>
      </c>
    </row>
    <row r="449" customFormat="false" ht="15" hidden="false" customHeight="false" outlineLevel="0" collapsed="false">
      <c r="A449" s="0" t="n">
        <f aca="false">ROW()-1</f>
        <v>448</v>
      </c>
      <c r="B449" s="6" t="n">
        <f aca="false">Assumptions!$B$35</f>
        <v>441263.996662504</v>
      </c>
      <c r="C449" s="8" t="n">
        <f aca="true">NORMINV(RAND(),Assumptions!$B$14,Assumptions!$B$15)</f>
        <v>0.0322023151619622</v>
      </c>
      <c r="D449" s="8" t="n">
        <f aca="true">NORMINV(RAND(),Assumptions!$B$14,Assumptions!$B$15)</f>
        <v>0.061004822521058</v>
      </c>
      <c r="E449" s="8" t="n">
        <f aca="true">NORMINV(RAND(),Assumptions!$B$14,Assumptions!$B$15)</f>
        <v>0.00462325786408178</v>
      </c>
      <c r="F449" s="8" t="n">
        <f aca="true">NORMINV(RAND(),Assumptions!$B$14,Assumptions!$B$15)</f>
        <v>-0.00183105398236535</v>
      </c>
      <c r="G449" s="8" t="n">
        <f aca="true">NORMINV(RAND(),Assumptions!$B$14,Assumptions!$B$15)</f>
        <v>0.103573270860906</v>
      </c>
      <c r="H449" s="8" t="n">
        <f aca="true">NORMINV(RAND(),Assumptions!$B$14,Assumptions!$B$15)</f>
        <v>0.0664737526759753</v>
      </c>
      <c r="I449" s="8" t="n">
        <f aca="true">NORMINV(RAND(),Assumptions!$B$14,Assumptions!$B$15)</f>
        <v>0.108493691805237</v>
      </c>
      <c r="J449" s="8" t="n">
        <f aca="true">NORMINV(RAND(),Assumptions!$B$14,Assumptions!$B$15)</f>
        <v>0.0098052138670008</v>
      </c>
      <c r="K449" s="8" t="n">
        <f aca="true">NORMINV(RAND(),Assumptions!$B$14,Assumptions!$B$15)</f>
        <v>0.00214569811431591</v>
      </c>
      <c r="L449" s="8" t="n">
        <f aca="true">NORMINV(RAND(),Assumptions!$B$14,Assumptions!$B$15)</f>
        <v>0.0315911144524255</v>
      </c>
      <c r="M449" s="6" t="n">
        <f aca="false">B449-Assumptions!$B$29</f>
        <v>391263.996662504</v>
      </c>
      <c r="N449" s="6" t="n">
        <f aca="false">W449-Assumptions!$B$29</f>
        <v>353863.603194558</v>
      </c>
      <c r="O449" s="6" t="n">
        <f aca="false">X449-Assumptions!$B$29</f>
        <v>325450.989504105</v>
      </c>
      <c r="P449" s="6" t="n">
        <f aca="false">Y449-Assumptions!$B$29</f>
        <v>276955.633350703</v>
      </c>
      <c r="Q449" s="6" t="n">
        <f aca="false">Z449-Assumptions!$B$29</f>
        <v>226448.512635317</v>
      </c>
      <c r="R449" s="6" t="n">
        <f aca="false">AA449-Assumptions!$B$29</f>
        <v>199902.525770544</v>
      </c>
      <c r="S449" s="6" t="n">
        <f aca="false">AB449-Assumptions!$B$29</f>
        <v>163190.796827918</v>
      </c>
      <c r="T449" s="6" t="n">
        <f aca="false">AC449-Assumptions!$B$29</f>
        <v>130895.968844417</v>
      </c>
      <c r="U449" s="6" t="n">
        <f aca="false">AD449-Assumptions!$B$29</f>
        <v>82179.4318132652</v>
      </c>
      <c r="V449" s="6" t="n">
        <f aca="false">AE449-Assumptions!$B$29</f>
        <v>32355.7640651425</v>
      </c>
      <c r="W449" s="6" t="n">
        <f aca="false">M449*(1+C449)</f>
        <v>403863.603194558</v>
      </c>
      <c r="X449" s="6" t="n">
        <f aca="false">N449*(1+D449)</f>
        <v>375450.989504105</v>
      </c>
      <c r="Y449" s="6" t="n">
        <f aca="false">O449*(1+E449)</f>
        <v>326955.633350703</v>
      </c>
      <c r="Z449" s="6" t="n">
        <f aca="false">P449*(1+F449)</f>
        <v>276448.512635317</v>
      </c>
      <c r="AA449" s="6" t="n">
        <f aca="false">Q449*(1+G449)</f>
        <v>249902.525770544</v>
      </c>
      <c r="AB449" s="6" t="n">
        <f aca="false">R449*(1+H449)</f>
        <v>213190.796827918</v>
      </c>
      <c r="AC449" s="6" t="n">
        <f aca="false">S449*(1+I449)</f>
        <v>180895.968844417</v>
      </c>
      <c r="AD449" s="6" t="n">
        <f aca="false">T449*(1+J449)</f>
        <v>132179.431813265</v>
      </c>
      <c r="AE449" s="6" t="n">
        <f aca="false">U449*(1+K449)</f>
        <v>82355.7640651425</v>
      </c>
      <c r="AF449" s="6" t="n">
        <f aca="false">V449*(1+L449)</f>
        <v>33377.9187109201</v>
      </c>
      <c r="AG449" s="6" t="n">
        <f aca="false">MIN(M449:V449)</f>
        <v>32355.7640651425</v>
      </c>
      <c r="AH449" s="19" t="n">
        <f aca="false">IF(AG449&gt;=0,1,0)</f>
        <v>1</v>
      </c>
    </row>
    <row r="450" customFormat="false" ht="15" hidden="false" customHeight="false" outlineLevel="0" collapsed="false">
      <c r="A450" s="0" t="n">
        <f aca="false">ROW()-1</f>
        <v>449</v>
      </c>
      <c r="B450" s="6" t="n">
        <f aca="false">Assumptions!$B$35</f>
        <v>441263.996662504</v>
      </c>
      <c r="C450" s="8" t="n">
        <f aca="true">NORMINV(RAND(),Assumptions!$B$14,Assumptions!$B$15)</f>
        <v>0.083624104696188</v>
      </c>
      <c r="D450" s="8" t="n">
        <f aca="true">NORMINV(RAND(),Assumptions!$B$14,Assumptions!$B$15)</f>
        <v>0.0949760295559955</v>
      </c>
      <c r="E450" s="8" t="n">
        <f aca="true">NORMINV(RAND(),Assumptions!$B$14,Assumptions!$B$15)</f>
        <v>0.0433057987341111</v>
      </c>
      <c r="F450" s="8" t="n">
        <f aca="true">NORMINV(RAND(),Assumptions!$B$14,Assumptions!$B$15)</f>
        <v>0.0431878034275575</v>
      </c>
      <c r="G450" s="8" t="n">
        <f aca="true">NORMINV(RAND(),Assumptions!$B$14,Assumptions!$B$15)</f>
        <v>0.0352355307039256</v>
      </c>
      <c r="H450" s="8" t="n">
        <f aca="true">NORMINV(RAND(),Assumptions!$B$14,Assumptions!$B$15)</f>
        <v>0.06553802704671</v>
      </c>
      <c r="I450" s="8" t="n">
        <f aca="true">NORMINV(RAND(),Assumptions!$B$14,Assumptions!$B$15)</f>
        <v>0.0153762968330014</v>
      </c>
      <c r="J450" s="8" t="n">
        <f aca="true">NORMINV(RAND(),Assumptions!$B$14,Assumptions!$B$15)</f>
        <v>0.0573351457538035</v>
      </c>
      <c r="K450" s="8" t="n">
        <f aca="true">NORMINV(RAND(),Assumptions!$B$14,Assumptions!$B$15)</f>
        <v>0.0155687531146557</v>
      </c>
      <c r="L450" s="8" t="n">
        <f aca="true">NORMINV(RAND(),Assumptions!$B$14,Assumptions!$B$15)</f>
        <v>0.040625478460104</v>
      </c>
      <c r="M450" s="6" t="n">
        <f aca="false">B450-Assumptions!$B$29</f>
        <v>391263.996662504</v>
      </c>
      <c r="N450" s="6" t="n">
        <f aca="false">W450-Assumptions!$B$29</f>
        <v>373983.098083258</v>
      </c>
      <c r="O450" s="6" t="n">
        <f aca="false">X450-Assumptions!$B$29</f>
        <v>359502.527860256</v>
      </c>
      <c r="P450" s="6" t="n">
        <f aca="false">Y450-Assumptions!$B$29</f>
        <v>325071.071976176</v>
      </c>
      <c r="Q450" s="6" t="n">
        <f aca="false">Z450-Assumptions!$B$29</f>
        <v>289110.177532669</v>
      </c>
      <c r="R450" s="6" t="n">
        <f aca="false">AA450-Assumptions!$B$29</f>
        <v>249297.128069938</v>
      </c>
      <c r="S450" s="6" t="n">
        <f aca="false">AB450-Assumptions!$B$29</f>
        <v>215635.569992053</v>
      </c>
      <c r="T450" s="6" t="n">
        <f aca="false">AC450-Assumptions!$B$29</f>
        <v>168951.246524004</v>
      </c>
      <c r="U450" s="6" t="n">
        <f aca="false">AD450-Assumptions!$B$29</f>
        <v>128638.090868745</v>
      </c>
      <c r="V450" s="6" t="n">
        <f aca="false">AE450-Assumptions!$B$29</f>
        <v>80640.8255466211</v>
      </c>
      <c r="W450" s="6" t="n">
        <f aca="false">M450*(1+C450)</f>
        <v>423983.098083258</v>
      </c>
      <c r="X450" s="6" t="n">
        <f aca="false">N450*(1+D450)</f>
        <v>409502.527860256</v>
      </c>
      <c r="Y450" s="6" t="n">
        <f aca="false">O450*(1+E450)</f>
        <v>375071.071976176</v>
      </c>
      <c r="Z450" s="6" t="n">
        <f aca="false">P450*(1+F450)</f>
        <v>339110.177532669</v>
      </c>
      <c r="AA450" s="6" t="n">
        <f aca="false">Q450*(1+G450)</f>
        <v>299297.128069938</v>
      </c>
      <c r="AB450" s="6" t="n">
        <f aca="false">R450*(1+H450)</f>
        <v>265635.569992053</v>
      </c>
      <c r="AC450" s="6" t="n">
        <f aca="false">S450*(1+I450)</f>
        <v>218951.246524004</v>
      </c>
      <c r="AD450" s="6" t="n">
        <f aca="false">T450*(1+J450)</f>
        <v>178638.090868745</v>
      </c>
      <c r="AE450" s="6" t="n">
        <f aca="false">U450*(1+K450)</f>
        <v>130640.825546621</v>
      </c>
      <c r="AF450" s="6" t="n">
        <f aca="false">V450*(1+L450)</f>
        <v>83916.8976678704</v>
      </c>
      <c r="AG450" s="6" t="n">
        <f aca="false">MIN(M450:V450)</f>
        <v>80640.8255466211</v>
      </c>
      <c r="AH450" s="19" t="n">
        <f aca="false">IF(AG450&gt;=0,1,0)</f>
        <v>1</v>
      </c>
    </row>
    <row r="451" customFormat="false" ht="15" hidden="false" customHeight="false" outlineLevel="0" collapsed="false">
      <c r="A451" s="0" t="n">
        <f aca="false">ROW()-1</f>
        <v>450</v>
      </c>
      <c r="B451" s="6" t="n">
        <f aca="false">Assumptions!$B$35</f>
        <v>441263.996662504</v>
      </c>
      <c r="C451" s="8" t="n">
        <f aca="true">NORMINV(RAND(),Assumptions!$B$14,Assumptions!$B$15)</f>
        <v>0.0636483187924726</v>
      </c>
      <c r="D451" s="8" t="n">
        <f aca="true">NORMINV(RAND(),Assumptions!$B$14,Assumptions!$B$15)</f>
        <v>0.0427156069699534</v>
      </c>
      <c r="E451" s="8" t="n">
        <f aca="true">NORMINV(RAND(),Assumptions!$B$14,Assumptions!$B$15)</f>
        <v>0.083289747441831</v>
      </c>
      <c r="F451" s="8" t="n">
        <f aca="true">NORMINV(RAND(),Assumptions!$B$14,Assumptions!$B$15)</f>
        <v>0.0787995801427586</v>
      </c>
      <c r="G451" s="8" t="n">
        <f aca="true">NORMINV(RAND(),Assumptions!$B$14,Assumptions!$B$15)</f>
        <v>0.0261718579900423</v>
      </c>
      <c r="H451" s="8" t="n">
        <f aca="true">NORMINV(RAND(),Assumptions!$B$14,Assumptions!$B$15)</f>
        <v>0.0486663434247811</v>
      </c>
      <c r="I451" s="8" t="n">
        <f aca="true">NORMINV(RAND(),Assumptions!$B$14,Assumptions!$B$15)</f>
        <v>0.0489108896441607</v>
      </c>
      <c r="J451" s="8" t="n">
        <f aca="true">NORMINV(RAND(),Assumptions!$B$14,Assumptions!$B$15)</f>
        <v>0.128019290188528</v>
      </c>
      <c r="K451" s="8" t="n">
        <f aca="true">NORMINV(RAND(),Assumptions!$B$14,Assumptions!$B$15)</f>
        <v>0.0931985482945769</v>
      </c>
      <c r="L451" s="8" t="n">
        <f aca="true">NORMINV(RAND(),Assumptions!$B$14,Assumptions!$B$15)</f>
        <v>0.0874892456068379</v>
      </c>
      <c r="M451" s="6" t="n">
        <f aca="false">B451-Assumptions!$B$29</f>
        <v>391263.996662504</v>
      </c>
      <c r="N451" s="6" t="n">
        <f aca="false">W451-Assumptions!$B$29</f>
        <v>366167.292254096</v>
      </c>
      <c r="O451" s="6" t="n">
        <f aca="false">X451-Assumptions!$B$29</f>
        <v>331808.350395274</v>
      </c>
      <c r="P451" s="6" t="n">
        <f aca="false">Y451-Assumptions!$B$29</f>
        <v>309444.584098786</v>
      </c>
      <c r="Q451" s="6" t="n">
        <f aca="false">Z451-Assumptions!$B$29</f>
        <v>283828.687403221</v>
      </c>
      <c r="R451" s="6" t="n">
        <f aca="false">AA451-Assumptions!$B$29</f>
        <v>241257.011503439</v>
      </c>
      <c r="S451" s="6" t="n">
        <f aca="false">AB451-Assumptions!$B$29</f>
        <v>202998.108078901</v>
      </c>
      <c r="T451" s="6" t="n">
        <f aca="false">AC451-Assumptions!$B$29</f>
        <v>162926.926141122</v>
      </c>
      <c r="U451" s="6" t="n">
        <f aca="false">AD451-Assumptions!$B$29</f>
        <v>133784.715578307</v>
      </c>
      <c r="V451" s="6" t="n">
        <f aca="false">AE451-Assumptions!$B$29</f>
        <v>96253.256854208</v>
      </c>
      <c r="W451" s="6" t="n">
        <f aca="false">M451*(1+C451)</f>
        <v>416167.292254096</v>
      </c>
      <c r="X451" s="6" t="n">
        <f aca="false">N451*(1+D451)</f>
        <v>381808.350395274</v>
      </c>
      <c r="Y451" s="6" t="n">
        <f aca="false">O451*(1+E451)</f>
        <v>359444.584098786</v>
      </c>
      <c r="Z451" s="6" t="n">
        <f aca="false">P451*(1+F451)</f>
        <v>333828.687403221</v>
      </c>
      <c r="AA451" s="6" t="n">
        <f aca="false">Q451*(1+G451)</f>
        <v>291257.011503439</v>
      </c>
      <c r="AB451" s="6" t="n">
        <f aca="false">R451*(1+H451)</f>
        <v>252998.108078901</v>
      </c>
      <c r="AC451" s="6" t="n">
        <f aca="false">S451*(1+I451)</f>
        <v>212926.926141122</v>
      </c>
      <c r="AD451" s="6" t="n">
        <f aca="false">T451*(1+J451)</f>
        <v>183784.715578307</v>
      </c>
      <c r="AE451" s="6" t="n">
        <f aca="false">U451*(1+K451)</f>
        <v>146253.256854208</v>
      </c>
      <c r="AF451" s="6" t="n">
        <f aca="false">V451*(1+L451)</f>
        <v>104674.381683584</v>
      </c>
      <c r="AG451" s="6" t="n">
        <f aca="false">MIN(M451:V451)</f>
        <v>96253.256854208</v>
      </c>
      <c r="AH451" s="19" t="n">
        <f aca="false">IF(AG451&gt;=0,1,0)</f>
        <v>1</v>
      </c>
    </row>
    <row r="452" customFormat="false" ht="15" hidden="false" customHeight="false" outlineLevel="0" collapsed="false">
      <c r="A452" s="0" t="n">
        <f aca="false">ROW()-1</f>
        <v>451</v>
      </c>
      <c r="B452" s="6" t="n">
        <f aca="false">Assumptions!$B$35</f>
        <v>441263.996662504</v>
      </c>
      <c r="C452" s="8" t="n">
        <f aca="true">NORMINV(RAND(),Assumptions!$B$14,Assumptions!$B$15)</f>
        <v>0.0147170533488182</v>
      </c>
      <c r="D452" s="8" t="n">
        <f aca="true">NORMINV(RAND(),Assumptions!$B$14,Assumptions!$B$15)</f>
        <v>0.0286977506564955</v>
      </c>
      <c r="E452" s="8" t="n">
        <f aca="true">NORMINV(RAND(),Assumptions!$B$14,Assumptions!$B$15)</f>
        <v>0.0465363274048451</v>
      </c>
      <c r="F452" s="8" t="n">
        <f aca="true">NORMINV(RAND(),Assumptions!$B$14,Assumptions!$B$15)</f>
        <v>0.139585576688139</v>
      </c>
      <c r="G452" s="8" t="n">
        <f aca="true">NORMINV(RAND(),Assumptions!$B$14,Assumptions!$B$15)</f>
        <v>0.0217917400856372</v>
      </c>
      <c r="H452" s="8" t="n">
        <f aca="true">NORMINV(RAND(),Assumptions!$B$14,Assumptions!$B$15)</f>
        <v>0.0112530674128765</v>
      </c>
      <c r="I452" s="8" t="n">
        <f aca="true">NORMINV(RAND(),Assumptions!$B$14,Assumptions!$B$15)</f>
        <v>0.044884606200955</v>
      </c>
      <c r="J452" s="8" t="n">
        <f aca="true">NORMINV(RAND(),Assumptions!$B$14,Assumptions!$B$15)</f>
        <v>0.0564038250652639</v>
      </c>
      <c r="K452" s="8" t="n">
        <f aca="true">NORMINV(RAND(),Assumptions!$B$14,Assumptions!$B$15)</f>
        <v>0.0442764666536816</v>
      </c>
      <c r="L452" s="8" t="n">
        <f aca="true">NORMINV(RAND(),Assumptions!$B$14,Assumptions!$B$15)</f>
        <v>0.0600181746375369</v>
      </c>
      <c r="M452" s="6" t="n">
        <f aca="false">B452-Assumptions!$B$29</f>
        <v>391263.996662504</v>
      </c>
      <c r="N452" s="6" t="n">
        <f aca="false">W452-Assumptions!$B$29</f>
        <v>347022.249774857</v>
      </c>
      <c r="O452" s="6" t="n">
        <f aca="false">X452-Assumptions!$B$29</f>
        <v>306981.007771152</v>
      </c>
      <c r="P452" s="6" t="n">
        <f aca="false">Y452-Assumptions!$B$29</f>
        <v>271266.77645586</v>
      </c>
      <c r="Q452" s="6" t="n">
        <f aca="false">Z452-Assumptions!$B$29</f>
        <v>259131.705883784</v>
      </c>
      <c r="R452" s="6" t="n">
        <f aca="false">AA452-Assumptions!$B$29</f>
        <v>214778.636666351</v>
      </c>
      <c r="S452" s="6" t="n">
        <f aca="false">AB452-Assumptions!$B$29</f>
        <v>167195.555143603</v>
      </c>
      <c r="T452" s="6" t="n">
        <f aca="false">AC452-Assumptions!$B$29</f>
        <v>124700.061794774</v>
      </c>
      <c r="U452" s="6" t="n">
        <f aca="false">AD452-Assumptions!$B$29</f>
        <v>81733.6222658738</v>
      </c>
      <c r="V452" s="6" t="n">
        <f aca="false">AE452-Assumptions!$B$29</f>
        <v>35352.4982666134</v>
      </c>
      <c r="W452" s="6" t="n">
        <f aca="false">M452*(1+C452)</f>
        <v>397022.249774857</v>
      </c>
      <c r="X452" s="6" t="n">
        <f aca="false">N452*(1+D452)</f>
        <v>356981.007771152</v>
      </c>
      <c r="Y452" s="6" t="n">
        <f aca="false">O452*(1+E452)</f>
        <v>321266.77645586</v>
      </c>
      <c r="Z452" s="6" t="n">
        <f aca="false">P452*(1+F452)</f>
        <v>309131.705883784</v>
      </c>
      <c r="AA452" s="6" t="n">
        <f aca="false">Q452*(1+G452)</f>
        <v>264778.636666351</v>
      </c>
      <c r="AB452" s="6" t="n">
        <f aca="false">R452*(1+H452)</f>
        <v>217195.555143603</v>
      </c>
      <c r="AC452" s="6" t="n">
        <f aca="false">S452*(1+I452)</f>
        <v>174700.061794774</v>
      </c>
      <c r="AD452" s="6" t="n">
        <f aca="false">T452*(1+J452)</f>
        <v>131733.622265874</v>
      </c>
      <c r="AE452" s="6" t="n">
        <f aca="false">U452*(1+K452)</f>
        <v>85352.4982666134</v>
      </c>
      <c r="AF452" s="6" t="n">
        <f aca="false">V452*(1+L452)</f>
        <v>37474.2906814522</v>
      </c>
      <c r="AG452" s="6" t="n">
        <f aca="false">MIN(M452:V452)</f>
        <v>35352.4982666134</v>
      </c>
      <c r="AH452" s="19" t="n">
        <f aca="false">IF(AG452&gt;=0,1,0)</f>
        <v>1</v>
      </c>
    </row>
    <row r="453" customFormat="false" ht="15" hidden="false" customHeight="false" outlineLevel="0" collapsed="false">
      <c r="A453" s="0" t="n">
        <f aca="false">ROW()-1</f>
        <v>452</v>
      </c>
      <c r="B453" s="6" t="n">
        <f aca="false">Assumptions!$B$35</f>
        <v>441263.996662504</v>
      </c>
      <c r="C453" s="8" t="n">
        <f aca="true">NORMINV(RAND(),Assumptions!$B$14,Assumptions!$B$15)</f>
        <v>0.0966077860092165</v>
      </c>
      <c r="D453" s="8" t="n">
        <f aca="true">NORMINV(RAND(),Assumptions!$B$14,Assumptions!$B$15)</f>
        <v>0.0271193384682577</v>
      </c>
      <c r="E453" s="8" t="n">
        <f aca="true">NORMINV(RAND(),Assumptions!$B$14,Assumptions!$B$15)</f>
        <v>0.0405455497044211</v>
      </c>
      <c r="F453" s="8" t="n">
        <f aca="true">NORMINV(RAND(),Assumptions!$B$14,Assumptions!$B$15)</f>
        <v>0.0335121412640428</v>
      </c>
      <c r="G453" s="8" t="n">
        <f aca="true">NORMINV(RAND(),Assumptions!$B$14,Assumptions!$B$15)</f>
        <v>0.0567401430859634</v>
      </c>
      <c r="H453" s="8" t="n">
        <f aca="true">NORMINV(RAND(),Assumptions!$B$14,Assumptions!$B$15)</f>
        <v>-0.0287828386766663</v>
      </c>
      <c r="I453" s="8" t="n">
        <f aca="true">NORMINV(RAND(),Assumptions!$B$14,Assumptions!$B$15)</f>
        <v>0.0420862839769009</v>
      </c>
      <c r="J453" s="8" t="n">
        <f aca="true">NORMINV(RAND(),Assumptions!$B$14,Assumptions!$B$15)</f>
        <v>0.0436933741505526</v>
      </c>
      <c r="K453" s="8" t="n">
        <f aca="true">NORMINV(RAND(),Assumptions!$B$14,Assumptions!$B$15)</f>
        <v>-0.00536255380599813</v>
      </c>
      <c r="L453" s="8" t="n">
        <f aca="true">NORMINV(RAND(),Assumptions!$B$14,Assumptions!$B$15)</f>
        <v>0.0587351959287532</v>
      </c>
      <c r="M453" s="6" t="n">
        <f aca="false">B453-Assumptions!$B$29</f>
        <v>391263.996662504</v>
      </c>
      <c r="N453" s="6" t="n">
        <f aca="false">W453-Assumptions!$B$29</f>
        <v>379063.145125185</v>
      </c>
      <c r="O453" s="6" t="n">
        <f aca="false">X453-Assumptions!$B$29</f>
        <v>339343.086858678</v>
      </c>
      <c r="P453" s="6" t="n">
        <f aca="false">Y453-Assumptions!$B$29</f>
        <v>303101.938853758</v>
      </c>
      <c r="Q453" s="6" t="n">
        <f aca="false">Z453-Assumptions!$B$29</f>
        <v>263259.53384603</v>
      </c>
      <c r="R453" s="6" t="n">
        <f aca="false">AA453-Assumptions!$B$29</f>
        <v>228196.917465198</v>
      </c>
      <c r="S453" s="6" t="n">
        <f aca="false">AB453-Assumptions!$B$29</f>
        <v>171628.762403285</v>
      </c>
      <c r="T453" s="6" t="n">
        <f aca="false">AC453-Assumptions!$B$29</f>
        <v>128851.979236393</v>
      </c>
      <c r="U453" s="6" t="n">
        <f aca="false">AD453-Assumptions!$B$29</f>
        <v>84481.9569752083</v>
      </c>
      <c r="V453" s="6" t="n">
        <f aca="false">AE453-Assumptions!$B$29</f>
        <v>34028.9179352928</v>
      </c>
      <c r="W453" s="6" t="n">
        <f aca="false">M453*(1+C453)</f>
        <v>429063.145125185</v>
      </c>
      <c r="X453" s="6" t="n">
        <f aca="false">N453*(1+D453)</f>
        <v>389343.086858678</v>
      </c>
      <c r="Y453" s="6" t="n">
        <f aca="false">O453*(1+E453)</f>
        <v>353101.938853758</v>
      </c>
      <c r="Z453" s="6" t="n">
        <f aca="false">P453*(1+F453)</f>
        <v>313259.53384603</v>
      </c>
      <c r="AA453" s="6" t="n">
        <f aca="false">Q453*(1+G453)</f>
        <v>278196.917465198</v>
      </c>
      <c r="AB453" s="6" t="n">
        <f aca="false">R453*(1+H453)</f>
        <v>221628.762403285</v>
      </c>
      <c r="AC453" s="6" t="n">
        <f aca="false">S453*(1+I453)</f>
        <v>178851.979236393</v>
      </c>
      <c r="AD453" s="6" t="n">
        <f aca="false">T453*(1+J453)</f>
        <v>134481.956975208</v>
      </c>
      <c r="AE453" s="6" t="n">
        <f aca="false">U453*(1+K453)</f>
        <v>84028.9179352928</v>
      </c>
      <c r="AF453" s="6" t="n">
        <f aca="false">V453*(1+L453)</f>
        <v>36027.6130974657</v>
      </c>
      <c r="AG453" s="6" t="n">
        <f aca="false">MIN(M453:V453)</f>
        <v>34028.9179352928</v>
      </c>
      <c r="AH453" s="19" t="n">
        <f aca="false">IF(AG453&gt;=0,1,0)</f>
        <v>1</v>
      </c>
    </row>
    <row r="454" customFormat="false" ht="15" hidden="false" customHeight="false" outlineLevel="0" collapsed="false">
      <c r="A454" s="0" t="n">
        <f aca="false">ROW()-1</f>
        <v>453</v>
      </c>
      <c r="B454" s="6" t="n">
        <f aca="false">Assumptions!$B$35</f>
        <v>441263.996662504</v>
      </c>
      <c r="C454" s="8" t="n">
        <f aca="true">NORMINV(RAND(),Assumptions!$B$14,Assumptions!$B$15)</f>
        <v>0.041969893996453</v>
      </c>
      <c r="D454" s="8" t="n">
        <f aca="true">NORMINV(RAND(),Assumptions!$B$14,Assumptions!$B$15)</f>
        <v>0.00633868416269479</v>
      </c>
      <c r="E454" s="8" t="n">
        <f aca="true">NORMINV(RAND(),Assumptions!$B$14,Assumptions!$B$15)</f>
        <v>0.00546509541689056</v>
      </c>
      <c r="F454" s="8" t="n">
        <f aca="true">NORMINV(RAND(),Assumptions!$B$14,Assumptions!$B$15)</f>
        <v>0.0394912089118111</v>
      </c>
      <c r="G454" s="8" t="n">
        <f aca="true">NORMINV(RAND(),Assumptions!$B$14,Assumptions!$B$15)</f>
        <v>0.0584081085839488</v>
      </c>
      <c r="H454" s="8" t="n">
        <f aca="true">NORMINV(RAND(),Assumptions!$B$14,Assumptions!$B$15)</f>
        <v>0.0880156507844392</v>
      </c>
      <c r="I454" s="8" t="n">
        <f aca="true">NORMINV(RAND(),Assumptions!$B$14,Assumptions!$B$15)</f>
        <v>0.0290207168612508</v>
      </c>
      <c r="J454" s="8" t="n">
        <f aca="true">NORMINV(RAND(),Assumptions!$B$14,Assumptions!$B$15)</f>
        <v>0.0774801916121508</v>
      </c>
      <c r="K454" s="8" t="n">
        <f aca="true">NORMINV(RAND(),Assumptions!$B$14,Assumptions!$B$15)</f>
        <v>0.0690137603127141</v>
      </c>
      <c r="L454" s="8" t="n">
        <f aca="true">NORMINV(RAND(),Assumptions!$B$14,Assumptions!$B$15)</f>
        <v>0.0628045932678697</v>
      </c>
      <c r="M454" s="6" t="n">
        <f aca="false">B454-Assumptions!$B$29</f>
        <v>391263.996662504</v>
      </c>
      <c r="N454" s="6" t="n">
        <f aca="false">W454-Assumptions!$B$29</f>
        <v>357685.305127057</v>
      </c>
      <c r="O454" s="6" t="n">
        <f aca="false">X454-Assumptions!$B$29</f>
        <v>309952.559305895</v>
      </c>
      <c r="P454" s="6" t="n">
        <f aca="false">Y454-Assumptions!$B$29</f>
        <v>261646.479617211</v>
      </c>
      <c r="Q454" s="6" t="n">
        <f aca="false">Z454-Assumptions!$B$29</f>
        <v>221979.215404814</v>
      </c>
      <c r="R454" s="6" t="n">
        <f aca="false">AA454-Assumptions!$B$29</f>
        <v>184944.601521558</v>
      </c>
      <c r="S454" s="6" t="n">
        <f aca="false">AB454-Assumptions!$B$29</f>
        <v>151222.620983547</v>
      </c>
      <c r="T454" s="6" t="n">
        <f aca="false">AC454-Assumptions!$B$29</f>
        <v>105611.209850127</v>
      </c>
      <c r="U454" s="6" t="n">
        <f aca="false">AD454-Assumptions!$B$29</f>
        <v>63793.9866257058</v>
      </c>
      <c r="V454" s="6" t="n">
        <f aca="false">AE454-Assumptions!$B$29</f>
        <v>18196.6495280847</v>
      </c>
      <c r="W454" s="6" t="n">
        <f aca="false">M454*(1+C454)</f>
        <v>407685.305127057</v>
      </c>
      <c r="X454" s="6" t="n">
        <f aca="false">N454*(1+D454)</f>
        <v>359952.559305895</v>
      </c>
      <c r="Y454" s="6" t="n">
        <f aca="false">O454*(1+E454)</f>
        <v>311646.479617211</v>
      </c>
      <c r="Z454" s="6" t="n">
        <f aca="false">P454*(1+F454)</f>
        <v>271979.215404814</v>
      </c>
      <c r="AA454" s="6" t="n">
        <f aca="false">Q454*(1+G454)</f>
        <v>234944.601521558</v>
      </c>
      <c r="AB454" s="6" t="n">
        <f aca="false">R454*(1+H454)</f>
        <v>201222.620983547</v>
      </c>
      <c r="AC454" s="6" t="n">
        <f aca="false">S454*(1+I454)</f>
        <v>155611.209850127</v>
      </c>
      <c r="AD454" s="6" t="n">
        <f aca="false">T454*(1+J454)</f>
        <v>113793.986625706</v>
      </c>
      <c r="AE454" s="6" t="n">
        <f aca="false">U454*(1+K454)</f>
        <v>68196.6495280847</v>
      </c>
      <c r="AF454" s="6" t="n">
        <f aca="false">V454*(1+L454)</f>
        <v>19339.4827005341</v>
      </c>
      <c r="AG454" s="6" t="n">
        <f aca="false">MIN(M454:V454)</f>
        <v>18196.6495280847</v>
      </c>
      <c r="AH454" s="19" t="n">
        <f aca="false">IF(AG454&gt;=0,1,0)</f>
        <v>1</v>
      </c>
    </row>
    <row r="455" customFormat="false" ht="15" hidden="false" customHeight="false" outlineLevel="0" collapsed="false">
      <c r="A455" s="0" t="n">
        <f aca="false">ROW()-1</f>
        <v>454</v>
      </c>
      <c r="B455" s="6" t="n">
        <f aca="false">Assumptions!$B$35</f>
        <v>441263.996662504</v>
      </c>
      <c r="C455" s="8" t="n">
        <f aca="true">NORMINV(RAND(),Assumptions!$B$14,Assumptions!$B$15)</f>
        <v>0.033255094491687</v>
      </c>
      <c r="D455" s="8" t="n">
        <f aca="true">NORMINV(RAND(),Assumptions!$B$14,Assumptions!$B$15)</f>
        <v>-0.0160316616932577</v>
      </c>
      <c r="E455" s="8" t="n">
        <f aca="true">NORMINV(RAND(),Assumptions!$B$14,Assumptions!$B$15)</f>
        <v>0.0540640532350142</v>
      </c>
      <c r="F455" s="8" t="n">
        <f aca="true">NORMINV(RAND(),Assumptions!$B$14,Assumptions!$B$15)</f>
        <v>0.0319544461316022</v>
      </c>
      <c r="G455" s="8" t="n">
        <f aca="true">NORMINV(RAND(),Assumptions!$B$14,Assumptions!$B$15)</f>
        <v>0.0486584309577326</v>
      </c>
      <c r="H455" s="8" t="n">
        <f aca="true">NORMINV(RAND(),Assumptions!$B$14,Assumptions!$B$15)</f>
        <v>0.079336330487583</v>
      </c>
      <c r="I455" s="8" t="n">
        <f aca="true">NORMINV(RAND(),Assumptions!$B$14,Assumptions!$B$15)</f>
        <v>0.0536707287506627</v>
      </c>
      <c r="J455" s="8" t="n">
        <f aca="true">NORMINV(RAND(),Assumptions!$B$14,Assumptions!$B$15)</f>
        <v>0.0203546716423464</v>
      </c>
      <c r="K455" s="8" t="n">
        <f aca="true">NORMINV(RAND(),Assumptions!$B$14,Assumptions!$B$15)</f>
        <v>0.0376827715368967</v>
      </c>
      <c r="L455" s="8" t="n">
        <f aca="true">NORMINV(RAND(),Assumptions!$B$14,Assumptions!$B$15)</f>
        <v>0.0582775618826699</v>
      </c>
      <c r="M455" s="6" t="n">
        <f aca="false">B455-Assumptions!$B$29</f>
        <v>391263.996662504</v>
      </c>
      <c r="N455" s="6" t="n">
        <f aca="false">W455-Assumptions!$B$29</f>
        <v>354275.51784271</v>
      </c>
      <c r="O455" s="6" t="n">
        <f aca="false">X455-Assumptions!$B$29</f>
        <v>298595.892594452</v>
      </c>
      <c r="P455" s="6" t="n">
        <f aca="false">Y455-Assumptions!$B$29</f>
        <v>264739.196827435</v>
      </c>
      <c r="Q455" s="6" t="n">
        <f aca="false">Z455-Assumptions!$B$29</f>
        <v>223198.791231381</v>
      </c>
      <c r="R455" s="6" t="n">
        <f aca="false">AA455-Assumptions!$B$29</f>
        <v>184059.294204363</v>
      </c>
      <c r="S455" s="6" t="n">
        <f aca="false">AB455-Assumptions!$B$29</f>
        <v>148661.883198671</v>
      </c>
      <c r="T455" s="6" t="n">
        <f aca="false">AC455-Assumptions!$B$29</f>
        <v>106640.67480739</v>
      </c>
      <c r="U455" s="6" t="n">
        <f aca="false">AD455-Assumptions!$B$29</f>
        <v>58811.3107268124</v>
      </c>
      <c r="V455" s="6" t="n">
        <f aca="false">AE455-Assumptions!$B$29</f>
        <v>11027.4839127164</v>
      </c>
      <c r="W455" s="6" t="n">
        <f aca="false">M455*(1+C455)</f>
        <v>404275.51784271</v>
      </c>
      <c r="X455" s="6" t="n">
        <f aca="false">N455*(1+D455)</f>
        <v>348595.892594452</v>
      </c>
      <c r="Y455" s="6" t="n">
        <f aca="false">O455*(1+E455)</f>
        <v>314739.196827435</v>
      </c>
      <c r="Z455" s="6" t="n">
        <f aca="false">P455*(1+F455)</f>
        <v>273198.791231381</v>
      </c>
      <c r="AA455" s="6" t="n">
        <f aca="false">Q455*(1+G455)</f>
        <v>234059.294204363</v>
      </c>
      <c r="AB455" s="6" t="n">
        <f aca="false">R455*(1+H455)</f>
        <v>198661.883198671</v>
      </c>
      <c r="AC455" s="6" t="n">
        <f aca="false">S455*(1+I455)</f>
        <v>156640.67480739</v>
      </c>
      <c r="AD455" s="6" t="n">
        <f aca="false">T455*(1+J455)</f>
        <v>108811.310726812</v>
      </c>
      <c r="AE455" s="6" t="n">
        <f aca="false">U455*(1+K455)</f>
        <v>61027.4839127164</v>
      </c>
      <c r="AF455" s="6" t="n">
        <f aca="false">V455*(1+L455)</f>
        <v>11670.1387888498</v>
      </c>
      <c r="AG455" s="6" t="n">
        <f aca="false">MIN(M455:V455)</f>
        <v>11027.4839127164</v>
      </c>
      <c r="AH455" s="19" t="n">
        <f aca="false">IF(AG455&gt;=0,1,0)</f>
        <v>1</v>
      </c>
    </row>
    <row r="456" customFormat="false" ht="15" hidden="false" customHeight="false" outlineLevel="0" collapsed="false">
      <c r="A456" s="0" t="n">
        <f aca="false">ROW()-1</f>
        <v>455</v>
      </c>
      <c r="B456" s="6" t="n">
        <f aca="false">Assumptions!$B$35</f>
        <v>441263.996662504</v>
      </c>
      <c r="C456" s="8" t="n">
        <f aca="true">NORMINV(RAND(),Assumptions!$B$14,Assumptions!$B$15)</f>
        <v>0.00970141909896383</v>
      </c>
      <c r="D456" s="8" t="n">
        <f aca="true">NORMINV(RAND(),Assumptions!$B$14,Assumptions!$B$15)</f>
        <v>0.0591537526630346</v>
      </c>
      <c r="E456" s="8" t="n">
        <f aca="true">NORMINV(RAND(),Assumptions!$B$14,Assumptions!$B$15)</f>
        <v>0.0514234129705767</v>
      </c>
      <c r="F456" s="8" t="n">
        <f aca="true">NORMINV(RAND(),Assumptions!$B$14,Assumptions!$B$15)</f>
        <v>0.0482635349857163</v>
      </c>
      <c r="G456" s="8" t="n">
        <f aca="true">NORMINV(RAND(),Assumptions!$B$14,Assumptions!$B$15)</f>
        <v>0.0717246070689696</v>
      </c>
      <c r="H456" s="8" t="n">
        <f aca="true">NORMINV(RAND(),Assumptions!$B$14,Assumptions!$B$15)</f>
        <v>0.083563776614684</v>
      </c>
      <c r="I456" s="8" t="n">
        <f aca="true">NORMINV(RAND(),Assumptions!$B$14,Assumptions!$B$15)</f>
        <v>0.0785009984199756</v>
      </c>
      <c r="J456" s="8" t="n">
        <f aca="true">NORMINV(RAND(),Assumptions!$B$14,Assumptions!$B$15)</f>
        <v>-0.0217499081621466</v>
      </c>
      <c r="K456" s="8" t="n">
        <f aca="true">NORMINV(RAND(),Assumptions!$B$14,Assumptions!$B$15)</f>
        <v>0.017127634181168</v>
      </c>
      <c r="L456" s="8" t="n">
        <f aca="true">NORMINV(RAND(),Assumptions!$B$14,Assumptions!$B$15)</f>
        <v>0.0431885138427054</v>
      </c>
      <c r="M456" s="6" t="n">
        <f aca="false">B456-Assumptions!$B$29</f>
        <v>391263.996662504</v>
      </c>
      <c r="N456" s="6" t="n">
        <f aca="false">W456-Assumptions!$B$29</f>
        <v>345059.812672462</v>
      </c>
      <c r="O456" s="6" t="n">
        <f aca="false">X456-Assumptions!$B$29</f>
        <v>315471.395485242</v>
      </c>
      <c r="P456" s="6" t="n">
        <f aca="false">Y456-Assumptions!$B$29</f>
        <v>281694.011335684</v>
      </c>
      <c r="Q456" s="6" t="n">
        <f aca="false">Z456-Assumptions!$B$29</f>
        <v>245289.56010705</v>
      </c>
      <c r="R456" s="6" t="n">
        <f aca="false">AA456-Assumptions!$B$29</f>
        <v>212882.857423849</v>
      </c>
      <c r="S456" s="6" t="n">
        <f aca="false">AB456-Assumptions!$B$29</f>
        <v>180672.152966711</v>
      </c>
      <c r="T456" s="6" t="n">
        <f aca="false">AC456-Assumptions!$B$29</f>
        <v>144855.097361284</v>
      </c>
      <c r="U456" s="6" t="n">
        <f aca="false">AD456-Assumptions!$B$29</f>
        <v>91704.5122968576</v>
      </c>
      <c r="V456" s="6" t="n">
        <f aca="false">AE456-Assumptions!$B$29</f>
        <v>43275.1936362406</v>
      </c>
      <c r="W456" s="6" t="n">
        <f aca="false">M456*(1+C456)</f>
        <v>395059.812672462</v>
      </c>
      <c r="X456" s="6" t="n">
        <f aca="false">N456*(1+D456)</f>
        <v>365471.395485242</v>
      </c>
      <c r="Y456" s="6" t="n">
        <f aca="false">O456*(1+E456)</f>
        <v>331694.011335684</v>
      </c>
      <c r="Z456" s="6" t="n">
        <f aca="false">P456*(1+F456)</f>
        <v>295289.56010705</v>
      </c>
      <c r="AA456" s="6" t="n">
        <f aca="false">Q456*(1+G456)</f>
        <v>262882.857423849</v>
      </c>
      <c r="AB456" s="6" t="n">
        <f aca="false">R456*(1+H456)</f>
        <v>230672.152966711</v>
      </c>
      <c r="AC456" s="6" t="n">
        <f aca="false">S456*(1+I456)</f>
        <v>194855.097361284</v>
      </c>
      <c r="AD456" s="6" t="n">
        <f aca="false">T456*(1+J456)</f>
        <v>141704.512296858</v>
      </c>
      <c r="AE456" s="6" t="n">
        <f aca="false">U456*(1+K456)</f>
        <v>93275.1936362406</v>
      </c>
      <c r="AF456" s="6" t="n">
        <f aca="false">V456*(1+L456)</f>
        <v>45144.1849356451</v>
      </c>
      <c r="AG456" s="6" t="n">
        <f aca="false">MIN(M456:V456)</f>
        <v>43275.1936362406</v>
      </c>
      <c r="AH456" s="19" t="n">
        <f aca="false">IF(AG456&gt;=0,1,0)</f>
        <v>1</v>
      </c>
    </row>
    <row r="457" customFormat="false" ht="15" hidden="false" customHeight="false" outlineLevel="0" collapsed="false">
      <c r="A457" s="0" t="n">
        <f aca="false">ROW()-1</f>
        <v>456</v>
      </c>
      <c r="B457" s="6" t="n">
        <f aca="false">Assumptions!$B$35</f>
        <v>441263.996662504</v>
      </c>
      <c r="C457" s="8" t="n">
        <f aca="true">NORMINV(RAND(),Assumptions!$B$14,Assumptions!$B$15)</f>
        <v>0.0488058823874321</v>
      </c>
      <c r="D457" s="8" t="n">
        <f aca="true">NORMINV(RAND(),Assumptions!$B$14,Assumptions!$B$15)</f>
        <v>0.020952330152879</v>
      </c>
      <c r="E457" s="8" t="n">
        <f aca="true">NORMINV(RAND(),Assumptions!$B$14,Assumptions!$B$15)</f>
        <v>0.0400462287009486</v>
      </c>
      <c r="F457" s="8" t="n">
        <f aca="true">NORMINV(RAND(),Assumptions!$B$14,Assumptions!$B$15)</f>
        <v>0.0396280062037099</v>
      </c>
      <c r="G457" s="8" t="n">
        <f aca="true">NORMINV(RAND(),Assumptions!$B$14,Assumptions!$B$15)</f>
        <v>0.114288050384824</v>
      </c>
      <c r="H457" s="8" t="n">
        <f aca="true">NORMINV(RAND(),Assumptions!$B$14,Assumptions!$B$15)</f>
        <v>0.0381515883468986</v>
      </c>
      <c r="I457" s="8" t="n">
        <f aca="true">NORMINV(RAND(),Assumptions!$B$14,Assumptions!$B$15)</f>
        <v>0.0649762522134367</v>
      </c>
      <c r="J457" s="8" t="n">
        <f aca="true">NORMINV(RAND(),Assumptions!$B$14,Assumptions!$B$15)</f>
        <v>0.0126838710743759</v>
      </c>
      <c r="K457" s="8" t="n">
        <f aca="true">NORMINV(RAND(),Assumptions!$B$14,Assumptions!$B$15)</f>
        <v>0.0584906166289097</v>
      </c>
      <c r="L457" s="8" t="n">
        <f aca="true">NORMINV(RAND(),Assumptions!$B$14,Assumptions!$B$15)</f>
        <v>0.0801112362749381</v>
      </c>
      <c r="M457" s="6" t="n">
        <f aca="false">B457-Assumptions!$B$29</f>
        <v>391263.996662504</v>
      </c>
      <c r="N457" s="6" t="n">
        <f aca="false">W457-Assumptions!$B$29</f>
        <v>360359.98126605</v>
      </c>
      <c r="O457" s="6" t="n">
        <f aca="false">X457-Assumptions!$B$29</f>
        <v>317910.362567422</v>
      </c>
      <c r="P457" s="6" t="n">
        <f aca="false">Y457-Assumptions!$B$29</f>
        <v>280641.473653198</v>
      </c>
      <c r="Q457" s="6" t="n">
        <f aca="false">Z457-Assumptions!$B$29</f>
        <v>241762.735712146</v>
      </c>
      <c r="R457" s="6" t="n">
        <f aca="false">AA457-Assumptions!$B$29</f>
        <v>219393.327432388</v>
      </c>
      <c r="S457" s="6" t="n">
        <f aca="false">AB457-Assumptions!$B$29</f>
        <v>177763.531346645</v>
      </c>
      <c r="T457" s="6" t="n">
        <f aca="false">AC457-Assumptions!$B$29</f>
        <v>139313.939393776</v>
      </c>
      <c r="U457" s="6" t="n">
        <f aca="false">AD457-Assumptions!$B$29</f>
        <v>91080.9794399097</v>
      </c>
      <c r="V457" s="6" t="n">
        <f aca="false">AE457-Assumptions!$B$29</f>
        <v>46408.3620905151</v>
      </c>
      <c r="W457" s="6" t="n">
        <f aca="false">M457*(1+C457)</f>
        <v>410359.98126605</v>
      </c>
      <c r="X457" s="6" t="n">
        <f aca="false">N457*(1+D457)</f>
        <v>367910.362567422</v>
      </c>
      <c r="Y457" s="6" t="n">
        <f aca="false">O457*(1+E457)</f>
        <v>330641.473653198</v>
      </c>
      <c r="Z457" s="6" t="n">
        <f aca="false">P457*(1+F457)</f>
        <v>291762.735712146</v>
      </c>
      <c r="AA457" s="6" t="n">
        <f aca="false">Q457*(1+G457)</f>
        <v>269393.327432388</v>
      </c>
      <c r="AB457" s="6" t="n">
        <f aca="false">R457*(1+H457)</f>
        <v>227763.531346645</v>
      </c>
      <c r="AC457" s="6" t="n">
        <f aca="false">S457*(1+I457)</f>
        <v>189313.939393776</v>
      </c>
      <c r="AD457" s="6" t="n">
        <f aca="false">T457*(1+J457)</f>
        <v>141080.97943991</v>
      </c>
      <c r="AE457" s="6" t="n">
        <f aca="false">U457*(1+K457)</f>
        <v>96408.3620905151</v>
      </c>
      <c r="AF457" s="6" t="n">
        <f aca="false">V457*(1+L457)</f>
        <v>50126.1933510812</v>
      </c>
      <c r="AG457" s="6" t="n">
        <f aca="false">MIN(M457:V457)</f>
        <v>46408.3620905151</v>
      </c>
      <c r="AH457" s="19" t="n">
        <f aca="false">IF(AG457&gt;=0,1,0)</f>
        <v>1</v>
      </c>
    </row>
    <row r="458" customFormat="false" ht="15" hidden="false" customHeight="false" outlineLevel="0" collapsed="false">
      <c r="A458" s="0" t="n">
        <f aca="false">ROW()-1</f>
        <v>457</v>
      </c>
      <c r="B458" s="6" t="n">
        <f aca="false">Assumptions!$B$35</f>
        <v>441263.996662504</v>
      </c>
      <c r="C458" s="8" t="n">
        <f aca="true">NORMINV(RAND(),Assumptions!$B$14,Assumptions!$B$15)</f>
        <v>0.0273101598126959</v>
      </c>
      <c r="D458" s="8" t="n">
        <f aca="true">NORMINV(RAND(),Assumptions!$B$14,Assumptions!$B$15)</f>
        <v>0.0532816144989498</v>
      </c>
      <c r="E458" s="8" t="n">
        <f aca="true">NORMINV(RAND(),Assumptions!$B$14,Assumptions!$B$15)</f>
        <v>0.0253039365476825</v>
      </c>
      <c r="F458" s="8" t="n">
        <f aca="true">NORMINV(RAND(),Assumptions!$B$14,Assumptions!$B$15)</f>
        <v>0.0290492427031769</v>
      </c>
      <c r="G458" s="8" t="n">
        <f aca="true">NORMINV(RAND(),Assumptions!$B$14,Assumptions!$B$15)</f>
        <v>-0.0106582081344651</v>
      </c>
      <c r="H458" s="8" t="n">
        <f aca="true">NORMINV(RAND(),Assumptions!$B$14,Assumptions!$B$15)</f>
        <v>0.0301304902300228</v>
      </c>
      <c r="I458" s="8" t="n">
        <f aca="true">NORMINV(RAND(),Assumptions!$B$14,Assumptions!$B$15)</f>
        <v>0.0546294244932987</v>
      </c>
      <c r="J458" s="8" t="n">
        <f aca="true">NORMINV(RAND(),Assumptions!$B$14,Assumptions!$B$15)</f>
        <v>0.0241478189733727</v>
      </c>
      <c r="K458" s="8" t="n">
        <f aca="true">NORMINV(RAND(),Assumptions!$B$14,Assumptions!$B$15)</f>
        <v>0.0561507392604115</v>
      </c>
      <c r="L458" s="8" t="n">
        <f aca="true">NORMINV(RAND(),Assumptions!$B$14,Assumptions!$B$15)</f>
        <v>0.0432424149153836</v>
      </c>
      <c r="M458" s="6" t="n">
        <f aca="false">B458-Assumptions!$B$29</f>
        <v>391263.996662504</v>
      </c>
      <c r="N458" s="6" t="n">
        <f aca="false">W458-Assumptions!$B$29</f>
        <v>351949.478940311</v>
      </c>
      <c r="O458" s="6" t="n">
        <f aca="false">X458-Assumptions!$B$29</f>
        <v>320701.915400315</v>
      </c>
      <c r="P458" s="6" t="n">
        <f aca="false">Y458-Assumptions!$B$29</f>
        <v>278816.936318324</v>
      </c>
      <c r="Q458" s="6" t="n">
        <f aca="false">Z458-Assumptions!$B$29</f>
        <v>236916.357171191</v>
      </c>
      <c r="R458" s="6" t="n">
        <f aca="false">AA458-Assumptions!$B$29</f>
        <v>184391.253326002</v>
      </c>
      <c r="S458" s="6" t="n">
        <f aca="false">AB458-Assumptions!$B$29</f>
        <v>139947.052182842</v>
      </c>
      <c r="T458" s="6" t="n">
        <f aca="false">AC458-Assumptions!$B$29</f>
        <v>97592.2791031247</v>
      </c>
      <c r="U458" s="6" t="n">
        <f aca="false">AD458-Assumptions!$B$29</f>
        <v>49948.9197921058</v>
      </c>
      <c r="V458" s="6" t="n">
        <f aca="false">AE458-Assumptions!$B$29</f>
        <v>2753.58856369156</v>
      </c>
      <c r="W458" s="6" t="n">
        <f aca="false">M458*(1+C458)</f>
        <v>401949.478940311</v>
      </c>
      <c r="X458" s="6" t="n">
        <f aca="false">N458*(1+D458)</f>
        <v>370701.915400315</v>
      </c>
      <c r="Y458" s="6" t="n">
        <f aca="false">O458*(1+E458)</f>
        <v>328816.936318324</v>
      </c>
      <c r="Z458" s="6" t="n">
        <f aca="false">P458*(1+F458)</f>
        <v>286916.357171192</v>
      </c>
      <c r="AA458" s="6" t="n">
        <f aca="false">Q458*(1+G458)</f>
        <v>234391.253326002</v>
      </c>
      <c r="AB458" s="6" t="n">
        <f aca="false">R458*(1+H458)</f>
        <v>189947.052182842</v>
      </c>
      <c r="AC458" s="6" t="n">
        <f aca="false">S458*(1+I458)</f>
        <v>147592.279103125</v>
      </c>
      <c r="AD458" s="6" t="n">
        <f aca="false">T458*(1+J458)</f>
        <v>99948.9197921058</v>
      </c>
      <c r="AE458" s="6" t="n">
        <f aca="false">U458*(1+K458)</f>
        <v>52753.5885636916</v>
      </c>
      <c r="AF458" s="6" t="n">
        <f aca="false">V458*(1+L458)</f>
        <v>2872.66038286897</v>
      </c>
      <c r="AG458" s="6" t="n">
        <f aca="false">MIN(M458:V458)</f>
        <v>2753.58856369156</v>
      </c>
      <c r="AH458" s="19" t="n">
        <f aca="false">IF(AG458&gt;=0,1,0)</f>
        <v>1</v>
      </c>
    </row>
    <row r="459" customFormat="false" ht="15" hidden="false" customHeight="false" outlineLevel="0" collapsed="false">
      <c r="A459" s="0" t="n">
        <f aca="false">ROW()-1</f>
        <v>458</v>
      </c>
      <c r="B459" s="6" t="n">
        <f aca="false">Assumptions!$B$35</f>
        <v>441263.996662504</v>
      </c>
      <c r="C459" s="8" t="n">
        <f aca="true">NORMINV(RAND(),Assumptions!$B$14,Assumptions!$B$15)</f>
        <v>0.0367561897974095</v>
      </c>
      <c r="D459" s="8" t="n">
        <f aca="true">NORMINV(RAND(),Assumptions!$B$14,Assumptions!$B$15)</f>
        <v>0.00502115547338121</v>
      </c>
      <c r="E459" s="8" t="n">
        <f aca="true">NORMINV(RAND(),Assumptions!$B$14,Assumptions!$B$15)</f>
        <v>0.0387829544751948</v>
      </c>
      <c r="F459" s="8" t="n">
        <f aca="true">NORMINV(RAND(),Assumptions!$B$14,Assumptions!$B$15)</f>
        <v>0.0534585813724704</v>
      </c>
      <c r="G459" s="8" t="n">
        <f aca="true">NORMINV(RAND(),Assumptions!$B$14,Assumptions!$B$15)</f>
        <v>0.0556184628957409</v>
      </c>
      <c r="H459" s="8" t="n">
        <f aca="true">NORMINV(RAND(),Assumptions!$B$14,Assumptions!$B$15)</f>
        <v>0.0801219310279655</v>
      </c>
      <c r="I459" s="8" t="n">
        <f aca="true">NORMINV(RAND(),Assumptions!$B$14,Assumptions!$B$15)</f>
        <v>0.0821571391678836</v>
      </c>
      <c r="J459" s="8" t="n">
        <f aca="true">NORMINV(RAND(),Assumptions!$B$14,Assumptions!$B$15)</f>
        <v>0.0640746443925165</v>
      </c>
      <c r="K459" s="8" t="n">
        <f aca="true">NORMINV(RAND(),Assumptions!$B$14,Assumptions!$B$15)</f>
        <v>0.0387288030369163</v>
      </c>
      <c r="L459" s="8" t="n">
        <f aca="true">NORMINV(RAND(),Assumptions!$B$14,Assumptions!$B$15)</f>
        <v>-0.0104144707884277</v>
      </c>
      <c r="M459" s="6" t="n">
        <f aca="false">B459-Assumptions!$B$29</f>
        <v>391263.996662504</v>
      </c>
      <c r="N459" s="6" t="n">
        <f aca="false">W459-Assumptions!$B$29</f>
        <v>355645.370384724</v>
      </c>
      <c r="O459" s="6" t="n">
        <f aca="false">X459-Assumptions!$B$29</f>
        <v>307431.121082814</v>
      </c>
      <c r="P459" s="6" t="n">
        <f aca="false">Y459-Assumptions!$B$29</f>
        <v>269354.208256026</v>
      </c>
      <c r="Q459" s="6" t="n">
        <f aca="false">Z459-Assumptions!$B$29</f>
        <v>233753.502116098</v>
      </c>
      <c r="R459" s="6" t="n">
        <f aca="false">AA459-Assumptions!$B$29</f>
        <v>196754.512600292</v>
      </c>
      <c r="S459" s="6" t="n">
        <f aca="false">AB459-Assumptions!$B$29</f>
        <v>162518.864088294</v>
      </c>
      <c r="T459" s="6" t="n">
        <f aca="false">AC459-Assumptions!$B$29</f>
        <v>125870.949022602</v>
      </c>
      <c r="U459" s="6" t="n">
        <f aca="false">AD459-Assumptions!$B$29</f>
        <v>83936.0853205738</v>
      </c>
      <c r="V459" s="6" t="n">
        <f aca="false">AE459-Assumptions!$B$29</f>
        <v>37186.8294366441</v>
      </c>
      <c r="W459" s="6" t="n">
        <f aca="false">M459*(1+C459)</f>
        <v>405645.370384724</v>
      </c>
      <c r="X459" s="6" t="n">
        <f aca="false">N459*(1+D459)</f>
        <v>357431.121082814</v>
      </c>
      <c r="Y459" s="6" t="n">
        <f aca="false">O459*(1+E459)</f>
        <v>319354.208256026</v>
      </c>
      <c r="Z459" s="6" t="n">
        <f aca="false">P459*(1+F459)</f>
        <v>283753.502116098</v>
      </c>
      <c r="AA459" s="6" t="n">
        <f aca="false">Q459*(1+G459)</f>
        <v>246754.512600292</v>
      </c>
      <c r="AB459" s="6" t="n">
        <f aca="false">R459*(1+H459)</f>
        <v>212518.864088294</v>
      </c>
      <c r="AC459" s="6" t="n">
        <f aca="false">S459*(1+I459)</f>
        <v>175870.949022602</v>
      </c>
      <c r="AD459" s="6" t="n">
        <f aca="false">T459*(1+J459)</f>
        <v>133936.085320574</v>
      </c>
      <c r="AE459" s="6" t="n">
        <f aca="false">U459*(1+K459)</f>
        <v>87186.8294366441</v>
      </c>
      <c r="AF459" s="6" t="n">
        <f aca="false">V459*(1+L459)</f>
        <v>36799.5482877619</v>
      </c>
      <c r="AG459" s="6" t="n">
        <f aca="false">MIN(M459:V459)</f>
        <v>37186.8294366441</v>
      </c>
      <c r="AH459" s="19" t="n">
        <f aca="false">IF(AG459&gt;=0,1,0)</f>
        <v>1</v>
      </c>
    </row>
    <row r="460" customFormat="false" ht="15" hidden="false" customHeight="false" outlineLevel="0" collapsed="false">
      <c r="A460" s="0" t="n">
        <f aca="false">ROW()-1</f>
        <v>459</v>
      </c>
      <c r="B460" s="6" t="n">
        <f aca="false">Assumptions!$B$35</f>
        <v>441263.996662504</v>
      </c>
      <c r="C460" s="8" t="n">
        <f aca="true">NORMINV(RAND(),Assumptions!$B$14,Assumptions!$B$15)</f>
        <v>0.0612261606742987</v>
      </c>
      <c r="D460" s="8" t="n">
        <f aca="true">NORMINV(RAND(),Assumptions!$B$14,Assumptions!$B$15)</f>
        <v>0.0259667346726056</v>
      </c>
      <c r="E460" s="8" t="n">
        <f aca="true">NORMINV(RAND(),Assumptions!$B$14,Assumptions!$B$15)</f>
        <v>-0.0309411882627632</v>
      </c>
      <c r="F460" s="8" t="n">
        <f aca="true">NORMINV(RAND(),Assumptions!$B$14,Assumptions!$B$15)</f>
        <v>0.0146110937564268</v>
      </c>
      <c r="G460" s="8" t="n">
        <f aca="true">NORMINV(RAND(),Assumptions!$B$14,Assumptions!$B$15)</f>
        <v>0.0505920940295036</v>
      </c>
      <c r="H460" s="8" t="n">
        <f aca="true">NORMINV(RAND(),Assumptions!$B$14,Assumptions!$B$15)</f>
        <v>-0.00557035818572105</v>
      </c>
      <c r="I460" s="8" t="n">
        <f aca="true">NORMINV(RAND(),Assumptions!$B$14,Assumptions!$B$15)</f>
        <v>0.0519290048572181</v>
      </c>
      <c r="J460" s="8" t="n">
        <f aca="true">NORMINV(RAND(),Assumptions!$B$14,Assumptions!$B$15)</f>
        <v>0.110050407237629</v>
      </c>
      <c r="K460" s="8" t="n">
        <f aca="true">NORMINV(RAND(),Assumptions!$B$14,Assumptions!$B$15)</f>
        <v>0.0813320764407125</v>
      </c>
      <c r="L460" s="8" t="n">
        <f aca="true">NORMINV(RAND(),Assumptions!$B$14,Assumptions!$B$15)</f>
        <v>0.0181008387296849</v>
      </c>
      <c r="M460" s="6" t="n">
        <f aca="false">B460-Assumptions!$B$29</f>
        <v>391263.996662504</v>
      </c>
      <c r="N460" s="6" t="n">
        <f aca="false">W460-Assumptions!$B$29</f>
        <v>365219.58898823</v>
      </c>
      <c r="O460" s="6" t="n">
        <f aca="false">X460-Assumptions!$B$29</f>
        <v>324703.149152726</v>
      </c>
      <c r="P460" s="6" t="n">
        <f aca="false">Y460-Assumptions!$B$29</f>
        <v>264656.447885279</v>
      </c>
      <c r="Q460" s="6" t="n">
        <f aca="false">Z460-Assumptions!$B$29</f>
        <v>218523.368058574</v>
      </c>
      <c r="R460" s="6" t="n">
        <f aca="false">AA460-Assumptions!$B$29</f>
        <v>179578.922843037</v>
      </c>
      <c r="S460" s="6" t="n">
        <f aca="false">AB460-Assumptions!$B$29</f>
        <v>128578.603920195</v>
      </c>
      <c r="T460" s="6" t="n">
        <f aca="false">AC460-Assumptions!$B$29</f>
        <v>85255.5628677015</v>
      </c>
      <c r="U460" s="6" t="n">
        <f aca="false">AD460-Assumptions!$B$29</f>
        <v>44637.9722805653</v>
      </c>
      <c r="V460" s="6" t="n">
        <f aca="false">AE460-Assumptions!$B$29</f>
        <v>-1731.52874575335</v>
      </c>
      <c r="W460" s="6" t="n">
        <f aca="false">M460*(1+C460)</f>
        <v>415219.58898823</v>
      </c>
      <c r="X460" s="6" t="n">
        <f aca="false">N460*(1+D460)</f>
        <v>374703.149152726</v>
      </c>
      <c r="Y460" s="6" t="n">
        <f aca="false">O460*(1+E460)</f>
        <v>314656.447885279</v>
      </c>
      <c r="Z460" s="6" t="n">
        <f aca="false">P460*(1+F460)</f>
        <v>268523.368058574</v>
      </c>
      <c r="AA460" s="6" t="n">
        <f aca="false">Q460*(1+G460)</f>
        <v>229578.922843037</v>
      </c>
      <c r="AB460" s="6" t="n">
        <f aca="false">R460*(1+H460)</f>
        <v>178578.603920195</v>
      </c>
      <c r="AC460" s="6" t="n">
        <f aca="false">S460*(1+I460)</f>
        <v>135255.562867702</v>
      </c>
      <c r="AD460" s="6" t="n">
        <f aca="false">T460*(1+J460)</f>
        <v>94637.9722805653</v>
      </c>
      <c r="AE460" s="6" t="n">
        <f aca="false">U460*(1+K460)</f>
        <v>48268.4712542467</v>
      </c>
      <c r="AF460" s="6" t="n">
        <f aca="false">V460*(1+L460)</f>
        <v>-1762.87086833604</v>
      </c>
      <c r="AG460" s="6" t="n">
        <f aca="false">MIN(M460:V460)</f>
        <v>-1731.52874575335</v>
      </c>
      <c r="AH460" s="19" t="n">
        <f aca="false">IF(AG460&gt;=0,1,0)</f>
        <v>0</v>
      </c>
    </row>
    <row r="461" customFormat="false" ht="15" hidden="false" customHeight="false" outlineLevel="0" collapsed="false">
      <c r="A461" s="0" t="n">
        <f aca="false">ROW()-1</f>
        <v>460</v>
      </c>
      <c r="B461" s="6" t="n">
        <f aca="false">Assumptions!$B$35</f>
        <v>441263.996662504</v>
      </c>
      <c r="C461" s="8" t="n">
        <f aca="true">NORMINV(RAND(),Assumptions!$B$14,Assumptions!$B$15)</f>
        <v>-0.00253451980185183</v>
      </c>
      <c r="D461" s="8" t="n">
        <f aca="true">NORMINV(RAND(),Assumptions!$B$14,Assumptions!$B$15)</f>
        <v>0.0305086443601873</v>
      </c>
      <c r="E461" s="8" t="n">
        <f aca="true">NORMINV(RAND(),Assumptions!$B$14,Assumptions!$B$15)</f>
        <v>0.0685428773015122</v>
      </c>
      <c r="F461" s="8" t="n">
        <f aca="true">NORMINV(RAND(),Assumptions!$B$14,Assumptions!$B$15)</f>
        <v>0.0297930610197737</v>
      </c>
      <c r="G461" s="8" t="n">
        <f aca="true">NORMINV(RAND(),Assumptions!$B$14,Assumptions!$B$15)</f>
        <v>0.0493468274539603</v>
      </c>
      <c r="H461" s="8" t="n">
        <f aca="true">NORMINV(RAND(),Assumptions!$B$14,Assumptions!$B$15)</f>
        <v>0.087094213016877</v>
      </c>
      <c r="I461" s="8" t="n">
        <f aca="true">NORMINV(RAND(),Assumptions!$B$14,Assumptions!$B$15)</f>
        <v>0.124167394772334</v>
      </c>
      <c r="J461" s="8" t="n">
        <f aca="true">NORMINV(RAND(),Assumptions!$B$14,Assumptions!$B$15)</f>
        <v>0.105086339029055</v>
      </c>
      <c r="K461" s="8" t="n">
        <f aca="true">NORMINV(RAND(),Assumptions!$B$14,Assumptions!$B$15)</f>
        <v>0.0336688316781062</v>
      </c>
      <c r="L461" s="8" t="n">
        <f aca="true">NORMINV(RAND(),Assumptions!$B$14,Assumptions!$B$15)</f>
        <v>0.00168239974841353</v>
      </c>
      <c r="M461" s="6" t="n">
        <f aca="false">B461-Assumptions!$B$29</f>
        <v>391263.996662504</v>
      </c>
      <c r="N461" s="6" t="n">
        <f aca="false">W461-Assumptions!$B$29</f>
        <v>340272.330315211</v>
      </c>
      <c r="O461" s="6" t="n">
        <f aca="false">X461-Assumptions!$B$29</f>
        <v>300653.57782641</v>
      </c>
      <c r="P461" s="6" t="n">
        <f aca="false">Y461-Assumptions!$B$29</f>
        <v>271261.239121626</v>
      </c>
      <c r="Q461" s="6" t="n">
        <f aca="false">Z461-Assumptions!$B$29</f>
        <v>229342.941771076</v>
      </c>
      <c r="R461" s="6" t="n">
        <f aca="false">AA461-Assumptions!$B$29</f>
        <v>190660.288346437</v>
      </c>
      <c r="S461" s="6" t="n">
        <f aca="false">AB461-Assumptions!$B$29</f>
        <v>157265.696113541</v>
      </c>
      <c r="T461" s="6" t="n">
        <f aca="false">AC461-Assumptions!$B$29</f>
        <v>126792.967887017</v>
      </c>
      <c r="U461" s="6" t="n">
        <f aca="false">AD461-Assumptions!$B$29</f>
        <v>90117.1766968918</v>
      </c>
      <c r="V461" s="6" t="n">
        <f aca="false">AE461-Assumptions!$B$29</f>
        <v>43151.3167504056</v>
      </c>
      <c r="W461" s="6" t="n">
        <f aca="false">M461*(1+C461)</f>
        <v>390272.330315211</v>
      </c>
      <c r="X461" s="6" t="n">
        <f aca="false">N461*(1+D461)</f>
        <v>350653.57782641</v>
      </c>
      <c r="Y461" s="6" t="n">
        <f aca="false">O461*(1+E461)</f>
        <v>321261.239121626</v>
      </c>
      <c r="Z461" s="6" t="n">
        <f aca="false">P461*(1+F461)</f>
        <v>279342.941771076</v>
      </c>
      <c r="AA461" s="6" t="n">
        <f aca="false">Q461*(1+G461)</f>
        <v>240660.288346437</v>
      </c>
      <c r="AB461" s="6" t="n">
        <f aca="false">R461*(1+H461)</f>
        <v>207265.696113541</v>
      </c>
      <c r="AC461" s="6" t="n">
        <f aca="false">S461*(1+I461)</f>
        <v>176792.967887017</v>
      </c>
      <c r="AD461" s="6" t="n">
        <f aca="false">T461*(1+J461)</f>
        <v>140117.176696892</v>
      </c>
      <c r="AE461" s="6" t="n">
        <f aca="false">U461*(1+K461)</f>
        <v>93151.3167504056</v>
      </c>
      <c r="AF461" s="6" t="n">
        <f aca="false">V461*(1+L461)</f>
        <v>43223.9145148502</v>
      </c>
      <c r="AG461" s="6" t="n">
        <f aca="false">MIN(M461:V461)</f>
        <v>43151.3167504056</v>
      </c>
      <c r="AH461" s="19" t="n">
        <f aca="false">IF(AG461&gt;=0,1,0)</f>
        <v>1</v>
      </c>
    </row>
    <row r="462" customFormat="false" ht="15" hidden="false" customHeight="false" outlineLevel="0" collapsed="false">
      <c r="A462" s="0" t="n">
        <f aca="false">ROW()-1</f>
        <v>461</v>
      </c>
      <c r="B462" s="6" t="n">
        <f aca="false">Assumptions!$B$35</f>
        <v>441263.996662504</v>
      </c>
      <c r="C462" s="8" t="n">
        <f aca="true">NORMINV(RAND(),Assumptions!$B$14,Assumptions!$B$15)</f>
        <v>0.0747614988431065</v>
      </c>
      <c r="D462" s="8" t="n">
        <f aca="true">NORMINV(RAND(),Assumptions!$B$14,Assumptions!$B$15)</f>
        <v>0.0513441096848044</v>
      </c>
      <c r="E462" s="8" t="n">
        <f aca="true">NORMINV(RAND(),Assumptions!$B$14,Assumptions!$B$15)</f>
        <v>0.055779728048102</v>
      </c>
      <c r="F462" s="8" t="n">
        <f aca="true">NORMINV(RAND(),Assumptions!$B$14,Assumptions!$B$15)</f>
        <v>0.0793072269963136</v>
      </c>
      <c r="G462" s="8" t="n">
        <f aca="true">NORMINV(RAND(),Assumptions!$B$14,Assumptions!$B$15)</f>
        <v>0.052758836159306</v>
      </c>
      <c r="H462" s="8" t="n">
        <f aca="true">NORMINV(RAND(),Assumptions!$B$14,Assumptions!$B$15)</f>
        <v>0.10988471087645</v>
      </c>
      <c r="I462" s="8" t="n">
        <f aca="true">NORMINV(RAND(),Assumptions!$B$14,Assumptions!$B$15)</f>
        <v>0.0860523691947613</v>
      </c>
      <c r="J462" s="8" t="n">
        <f aca="true">NORMINV(RAND(),Assumptions!$B$14,Assumptions!$B$15)</f>
        <v>0.00524204572929384</v>
      </c>
      <c r="K462" s="8" t="n">
        <f aca="true">NORMINV(RAND(),Assumptions!$B$14,Assumptions!$B$15)</f>
        <v>0.0718294535799052</v>
      </c>
      <c r="L462" s="8" t="n">
        <f aca="true">NORMINV(RAND(),Assumptions!$B$14,Assumptions!$B$15)</f>
        <v>0.0451988712428099</v>
      </c>
      <c r="M462" s="6" t="n">
        <f aca="false">B462-Assumptions!$B$29</f>
        <v>391263.996662504</v>
      </c>
      <c r="N462" s="6" t="n">
        <f aca="false">W462-Assumptions!$B$29</f>
        <v>370515.479496337</v>
      </c>
      <c r="O462" s="6" t="n">
        <f aca="false">X462-Assumptions!$B$29</f>
        <v>339539.266915514</v>
      </c>
      <c r="P462" s="6" t="n">
        <f aca="false">Y462-Assumptions!$B$29</f>
        <v>308478.674885714</v>
      </c>
      <c r="Q462" s="6" t="n">
        <f aca="false">Z462-Assumptions!$B$29</f>
        <v>282943.263178397</v>
      </c>
      <c r="R462" s="6" t="n">
        <f aca="false">AA462-Assumptions!$B$29</f>
        <v>247871.020442805</v>
      </c>
      <c r="S462" s="6" t="n">
        <f aca="false">AB462-Assumptions!$B$29</f>
        <v>225108.255858814</v>
      </c>
      <c r="T462" s="6" t="n">
        <f aca="false">AC462-Assumptions!$B$29</f>
        <v>194479.354600765</v>
      </c>
      <c r="U462" s="6" t="n">
        <f aca="false">AD462-Assumptions!$B$29</f>
        <v>145498.824270986</v>
      </c>
      <c r="V462" s="6" t="n">
        <f aca="false">AE462-Assumptions!$B$29</f>
        <v>105949.925314889</v>
      </c>
      <c r="W462" s="6" t="n">
        <f aca="false">M462*(1+C462)</f>
        <v>420515.479496337</v>
      </c>
      <c r="X462" s="6" t="n">
        <f aca="false">N462*(1+D462)</f>
        <v>389539.266915514</v>
      </c>
      <c r="Y462" s="6" t="n">
        <f aca="false">O462*(1+E462)</f>
        <v>358478.674885714</v>
      </c>
      <c r="Z462" s="6" t="n">
        <f aca="false">P462*(1+F462)</f>
        <v>332943.263178397</v>
      </c>
      <c r="AA462" s="6" t="n">
        <f aca="false">Q462*(1+G462)</f>
        <v>297871.020442805</v>
      </c>
      <c r="AB462" s="6" t="n">
        <f aca="false">R462*(1+H462)</f>
        <v>275108.255858814</v>
      </c>
      <c r="AC462" s="6" t="n">
        <f aca="false">S462*(1+I462)</f>
        <v>244479.354600765</v>
      </c>
      <c r="AD462" s="6" t="n">
        <f aca="false">T462*(1+J462)</f>
        <v>195498.824270986</v>
      </c>
      <c r="AE462" s="6" t="n">
        <f aca="false">U462*(1+K462)</f>
        <v>155949.925314889</v>
      </c>
      <c r="AF462" s="6" t="n">
        <f aca="false">V462*(1+L462)</f>
        <v>110738.742347382</v>
      </c>
      <c r="AG462" s="6" t="n">
        <f aca="false">MIN(M462:V462)</f>
        <v>105949.925314889</v>
      </c>
      <c r="AH462" s="19" t="n">
        <f aca="false">IF(AG462&gt;=0,1,0)</f>
        <v>1</v>
      </c>
    </row>
    <row r="463" customFormat="false" ht="15" hidden="false" customHeight="false" outlineLevel="0" collapsed="false">
      <c r="A463" s="0" t="n">
        <f aca="false">ROW()-1</f>
        <v>462</v>
      </c>
      <c r="B463" s="6" t="n">
        <f aca="false">Assumptions!$B$35</f>
        <v>441263.996662504</v>
      </c>
      <c r="C463" s="8" t="n">
        <f aca="true">NORMINV(RAND(),Assumptions!$B$14,Assumptions!$B$15)</f>
        <v>0.0218996059528785</v>
      </c>
      <c r="D463" s="8" t="n">
        <f aca="true">NORMINV(RAND(),Assumptions!$B$14,Assumptions!$B$15)</f>
        <v>0.0143005277991001</v>
      </c>
      <c r="E463" s="8" t="n">
        <f aca="true">NORMINV(RAND(),Assumptions!$B$14,Assumptions!$B$15)</f>
        <v>0.0246360062847186</v>
      </c>
      <c r="F463" s="8" t="n">
        <f aca="true">NORMINV(RAND(),Assumptions!$B$14,Assumptions!$B$15)</f>
        <v>0.0119664593662909</v>
      </c>
      <c r="G463" s="8" t="n">
        <f aca="true">NORMINV(RAND(),Assumptions!$B$14,Assumptions!$B$15)</f>
        <v>0.072061667166448</v>
      </c>
      <c r="H463" s="8" t="n">
        <f aca="true">NORMINV(RAND(),Assumptions!$B$14,Assumptions!$B$15)</f>
        <v>0.00350720811884301</v>
      </c>
      <c r="I463" s="8" t="n">
        <f aca="true">NORMINV(RAND(),Assumptions!$B$14,Assumptions!$B$15)</f>
        <v>0.0187607540683012</v>
      </c>
      <c r="J463" s="8" t="n">
        <f aca="true">NORMINV(RAND(),Assumptions!$B$14,Assumptions!$B$15)</f>
        <v>0.06593117489594</v>
      </c>
      <c r="K463" s="8" t="n">
        <f aca="true">NORMINV(RAND(),Assumptions!$B$14,Assumptions!$B$15)</f>
        <v>0.0404917154947586</v>
      </c>
      <c r="L463" s="8" t="n">
        <f aca="true">NORMINV(RAND(),Assumptions!$B$14,Assumptions!$B$15)</f>
        <v>0.0299079472970882</v>
      </c>
      <c r="M463" s="6" t="n">
        <f aca="false">B463-Assumptions!$B$29</f>
        <v>391263.996662504</v>
      </c>
      <c r="N463" s="6" t="n">
        <f aca="false">W463-Assumptions!$B$29</f>
        <v>349832.524012961</v>
      </c>
      <c r="O463" s="6" t="n">
        <f aca="false">X463-Assumptions!$B$29</f>
        <v>304835.313747637</v>
      </c>
      <c r="P463" s="6" t="n">
        <f aca="false">Y463-Assumptions!$B$29</f>
        <v>262345.238452928</v>
      </c>
      <c r="Q463" s="6" t="n">
        <f aca="false">Z463-Assumptions!$B$29</f>
        <v>215484.582088815</v>
      </c>
      <c r="R463" s="6" t="n">
        <f aca="false">AA463-Assumptions!$B$29</f>
        <v>181012.760322801</v>
      </c>
      <c r="S463" s="6" t="n">
        <f aca="false">AB463-Assumptions!$B$29</f>
        <v>131647.609745419</v>
      </c>
      <c r="T463" s="6" t="n">
        <f aca="false">AC463-Assumptions!$B$29</f>
        <v>84117.4181755323</v>
      </c>
      <c r="U463" s="6" t="n">
        <f aca="false">AD463-Assumptions!$B$29</f>
        <v>39663.3783850583</v>
      </c>
      <c r="V463" s="6" t="n">
        <f aca="false">AE463-Assumptions!$B$29</f>
        <v>-8730.58338181296</v>
      </c>
      <c r="W463" s="6" t="n">
        <f aca="false">M463*(1+C463)</f>
        <v>399832.524012961</v>
      </c>
      <c r="X463" s="6" t="n">
        <f aca="false">N463*(1+D463)</f>
        <v>354835.313747637</v>
      </c>
      <c r="Y463" s="6" t="n">
        <f aca="false">O463*(1+E463)</f>
        <v>312345.238452928</v>
      </c>
      <c r="Z463" s="6" t="n">
        <f aca="false">P463*(1+F463)</f>
        <v>265484.582088815</v>
      </c>
      <c r="AA463" s="6" t="n">
        <f aca="false">Q463*(1+G463)</f>
        <v>231012.760322801</v>
      </c>
      <c r="AB463" s="6" t="n">
        <f aca="false">R463*(1+H463)</f>
        <v>181647.609745419</v>
      </c>
      <c r="AC463" s="6" t="n">
        <f aca="false">S463*(1+I463)</f>
        <v>134117.418175532</v>
      </c>
      <c r="AD463" s="6" t="n">
        <f aca="false">T463*(1+J463)</f>
        <v>89663.3783850583</v>
      </c>
      <c r="AE463" s="6" t="n">
        <f aca="false">U463*(1+K463)</f>
        <v>41269.416618187</v>
      </c>
      <c r="AF463" s="6" t="n">
        <f aca="false">V463*(1+L463)</f>
        <v>-8991.69720946906</v>
      </c>
      <c r="AG463" s="6" t="n">
        <f aca="false">MIN(M463:V463)</f>
        <v>-8730.58338181296</v>
      </c>
      <c r="AH463" s="19" t="n">
        <f aca="false">IF(AG463&gt;=0,1,0)</f>
        <v>0</v>
      </c>
    </row>
    <row r="464" customFormat="false" ht="15" hidden="false" customHeight="false" outlineLevel="0" collapsed="false">
      <c r="A464" s="0" t="n">
        <f aca="false">ROW()-1</f>
        <v>463</v>
      </c>
      <c r="B464" s="6" t="n">
        <f aca="false">Assumptions!$B$35</f>
        <v>441263.996662504</v>
      </c>
      <c r="C464" s="8" t="n">
        <f aca="true">NORMINV(RAND(),Assumptions!$B$14,Assumptions!$B$15)</f>
        <v>0.00500376475293498</v>
      </c>
      <c r="D464" s="8" t="n">
        <f aca="true">NORMINV(RAND(),Assumptions!$B$14,Assumptions!$B$15)</f>
        <v>0.0286405003826375</v>
      </c>
      <c r="E464" s="8" t="n">
        <f aca="true">NORMINV(RAND(),Assumptions!$B$14,Assumptions!$B$15)</f>
        <v>0.0297643552741013</v>
      </c>
      <c r="F464" s="8" t="n">
        <f aca="true">NORMINV(RAND(),Assumptions!$B$14,Assumptions!$B$15)</f>
        <v>0.0502448398031465</v>
      </c>
      <c r="G464" s="8" t="n">
        <f aca="true">NORMINV(RAND(),Assumptions!$B$14,Assumptions!$B$15)</f>
        <v>0.00947450420459226</v>
      </c>
      <c r="H464" s="8" t="n">
        <f aca="true">NORMINV(RAND(),Assumptions!$B$14,Assumptions!$B$15)</f>
        <v>0.0654612225232203</v>
      </c>
      <c r="I464" s="8" t="n">
        <f aca="true">NORMINV(RAND(),Assumptions!$B$14,Assumptions!$B$15)</f>
        <v>0.0631803212229848</v>
      </c>
      <c r="J464" s="8" t="n">
        <f aca="true">NORMINV(RAND(),Assumptions!$B$14,Assumptions!$B$15)</f>
        <v>0.08428495256081</v>
      </c>
      <c r="K464" s="8" t="n">
        <f aca="true">NORMINV(RAND(),Assumptions!$B$14,Assumptions!$B$15)</f>
        <v>-0.00057100475828361</v>
      </c>
      <c r="L464" s="8" t="n">
        <f aca="true">NORMINV(RAND(),Assumptions!$B$14,Assumptions!$B$15)</f>
        <v>0.055300850792274</v>
      </c>
      <c r="M464" s="6" t="n">
        <f aca="false">B464-Assumptions!$B$29</f>
        <v>391263.996662504</v>
      </c>
      <c r="N464" s="6" t="n">
        <f aca="false">W464-Assumptions!$B$29</f>
        <v>343221.789658096</v>
      </c>
      <c r="O464" s="6" t="n">
        <f aca="false">X464-Assumptions!$B$29</f>
        <v>303051.833456128</v>
      </c>
      <c r="P464" s="6" t="n">
        <f aca="false">Y464-Assumptions!$B$29</f>
        <v>262071.975893584</v>
      </c>
      <c r="Q464" s="6" t="n">
        <f aca="false">Z464-Assumptions!$B$29</f>
        <v>225239.740339251</v>
      </c>
      <c r="R464" s="6" t="n">
        <f aca="false">AA464-Assumptions!$B$29</f>
        <v>177373.775206137</v>
      </c>
      <c r="S464" s="6" t="n">
        <f aca="false">AB464-Assumptions!$B$29</f>
        <v>138984.879374689</v>
      </c>
      <c r="T464" s="6" t="n">
        <f aca="false">AC464-Assumptions!$B$29</f>
        <v>97765.9886987201</v>
      </c>
      <c r="U464" s="6" t="n">
        <f aca="false">AD464-Assumptions!$B$29</f>
        <v>56006.1904182524</v>
      </c>
      <c r="V464" s="6" t="n">
        <f aca="false">AE464-Assumptions!$B$29</f>
        <v>5974.21061703021</v>
      </c>
      <c r="W464" s="6" t="n">
        <f aca="false">M464*(1+C464)</f>
        <v>393221.789658096</v>
      </c>
      <c r="X464" s="6" t="n">
        <f aca="false">N464*(1+D464)</f>
        <v>353051.833456128</v>
      </c>
      <c r="Y464" s="6" t="n">
        <f aca="false">O464*(1+E464)</f>
        <v>312071.975893584</v>
      </c>
      <c r="Z464" s="6" t="n">
        <f aca="false">P464*(1+F464)</f>
        <v>275239.740339251</v>
      </c>
      <c r="AA464" s="6" t="n">
        <f aca="false">Q464*(1+G464)</f>
        <v>227373.775206137</v>
      </c>
      <c r="AB464" s="6" t="n">
        <f aca="false">R464*(1+H464)</f>
        <v>188984.879374689</v>
      </c>
      <c r="AC464" s="6" t="n">
        <f aca="false">S464*(1+I464)</f>
        <v>147765.98869872</v>
      </c>
      <c r="AD464" s="6" t="n">
        <f aca="false">T464*(1+J464)</f>
        <v>106006.190418252</v>
      </c>
      <c r="AE464" s="6" t="n">
        <f aca="false">U464*(1+K464)</f>
        <v>55974.2106170302</v>
      </c>
      <c r="AF464" s="6" t="n">
        <f aca="false">V464*(1+L464)</f>
        <v>6304.58954696421</v>
      </c>
      <c r="AG464" s="6" t="n">
        <f aca="false">MIN(M464:V464)</f>
        <v>5974.21061703021</v>
      </c>
      <c r="AH464" s="19" t="n">
        <f aca="false">IF(AG464&gt;=0,1,0)</f>
        <v>1</v>
      </c>
    </row>
    <row r="465" customFormat="false" ht="15" hidden="false" customHeight="false" outlineLevel="0" collapsed="false">
      <c r="A465" s="0" t="n">
        <f aca="false">ROW()-1</f>
        <v>464</v>
      </c>
      <c r="B465" s="6" t="n">
        <f aca="false">Assumptions!$B$35</f>
        <v>441263.996662504</v>
      </c>
      <c r="C465" s="8" t="n">
        <f aca="true">NORMINV(RAND(),Assumptions!$B$14,Assumptions!$B$15)</f>
        <v>0.0387287237045013</v>
      </c>
      <c r="D465" s="8" t="n">
        <f aca="true">NORMINV(RAND(),Assumptions!$B$14,Assumptions!$B$15)</f>
        <v>0.0548637514523694</v>
      </c>
      <c r="E465" s="8" t="n">
        <f aca="true">NORMINV(RAND(),Assumptions!$B$14,Assumptions!$B$15)</f>
        <v>0.0155584185715221</v>
      </c>
      <c r="F465" s="8" t="n">
        <f aca="true">NORMINV(RAND(),Assumptions!$B$14,Assumptions!$B$15)</f>
        <v>0.0690721220836751</v>
      </c>
      <c r="G465" s="8" t="n">
        <f aca="true">NORMINV(RAND(),Assumptions!$B$14,Assumptions!$B$15)</f>
        <v>0.0649213374791109</v>
      </c>
      <c r="H465" s="8" t="n">
        <f aca="true">NORMINV(RAND(),Assumptions!$B$14,Assumptions!$B$15)</f>
        <v>-0.0108270010879224</v>
      </c>
      <c r="I465" s="8" t="n">
        <f aca="true">NORMINV(RAND(),Assumptions!$B$14,Assumptions!$B$15)</f>
        <v>0.0737929312238652</v>
      </c>
      <c r="J465" s="8" t="n">
        <f aca="true">NORMINV(RAND(),Assumptions!$B$14,Assumptions!$B$15)</f>
        <v>0.0439656998010507</v>
      </c>
      <c r="K465" s="8" t="n">
        <f aca="true">NORMINV(RAND(),Assumptions!$B$14,Assumptions!$B$15)</f>
        <v>0.0871876656604856</v>
      </c>
      <c r="L465" s="8" t="n">
        <f aca="true">NORMINV(RAND(),Assumptions!$B$14,Assumptions!$B$15)</f>
        <v>0.0784597014452474</v>
      </c>
      <c r="M465" s="6" t="n">
        <f aca="false">B465-Assumptions!$B$29</f>
        <v>391263.996662504</v>
      </c>
      <c r="N465" s="6" t="n">
        <f aca="false">W465-Assumptions!$B$29</f>
        <v>356417.151884765</v>
      </c>
      <c r="O465" s="6" t="n">
        <f aca="false">X465-Assumptions!$B$29</f>
        <v>325971.533919132</v>
      </c>
      <c r="P465" s="6" t="n">
        <f aca="false">Y465-Assumptions!$B$29</f>
        <v>281043.135486247</v>
      </c>
      <c r="Q465" s="6" t="n">
        <f aca="false">Z465-Assumptions!$B$29</f>
        <v>250455.381251331</v>
      </c>
      <c r="R465" s="6" t="n">
        <f aca="false">AA465-Assumptions!$B$29</f>
        <v>216715.279581009</v>
      </c>
      <c r="S465" s="6" t="n">
        <f aca="false">AB465-Assumptions!$B$29</f>
        <v>164368.903013216</v>
      </c>
      <c r="T465" s="6" t="n">
        <f aca="false">AC465-Assumptions!$B$29</f>
        <v>126498.166168612</v>
      </c>
      <c r="U465" s="6" t="n">
        <f aca="false">AD465-Assumptions!$B$29</f>
        <v>82059.7465677646</v>
      </c>
      <c r="V465" s="6" t="n">
        <f aca="false">AE465-Assumptions!$B$29</f>
        <v>39214.344315699</v>
      </c>
      <c r="W465" s="6" t="n">
        <f aca="false">M465*(1+C465)</f>
        <v>406417.151884765</v>
      </c>
      <c r="X465" s="6" t="n">
        <f aca="false">N465*(1+D465)</f>
        <v>375971.533919132</v>
      </c>
      <c r="Y465" s="6" t="n">
        <f aca="false">O465*(1+E465)</f>
        <v>331043.135486247</v>
      </c>
      <c r="Z465" s="6" t="n">
        <f aca="false">P465*(1+F465)</f>
        <v>300455.381251332</v>
      </c>
      <c r="AA465" s="6" t="n">
        <f aca="false">Q465*(1+G465)</f>
        <v>266715.279581009</v>
      </c>
      <c r="AB465" s="6" t="n">
        <f aca="false">R465*(1+H465)</f>
        <v>214368.903013216</v>
      </c>
      <c r="AC465" s="6" t="n">
        <f aca="false">S465*(1+I465)</f>
        <v>176498.166168612</v>
      </c>
      <c r="AD465" s="6" t="n">
        <f aca="false">T465*(1+J465)</f>
        <v>132059.746567765</v>
      </c>
      <c r="AE465" s="6" t="n">
        <f aca="false">U465*(1+K465)</f>
        <v>89214.344315699</v>
      </c>
      <c r="AF465" s="6" t="n">
        <f aca="false">V465*(1+L465)</f>
        <v>42291.0900630799</v>
      </c>
      <c r="AG465" s="6" t="n">
        <f aca="false">MIN(M465:V465)</f>
        <v>39214.344315699</v>
      </c>
      <c r="AH465" s="19" t="n">
        <f aca="false">IF(AG465&gt;=0,1,0)</f>
        <v>1</v>
      </c>
    </row>
    <row r="466" customFormat="false" ht="15" hidden="false" customHeight="false" outlineLevel="0" collapsed="false">
      <c r="A466" s="0" t="n">
        <f aca="false">ROW()-1</f>
        <v>465</v>
      </c>
      <c r="B466" s="6" t="n">
        <f aca="false">Assumptions!$B$35</f>
        <v>441263.996662504</v>
      </c>
      <c r="C466" s="8" t="n">
        <f aca="true">NORMINV(RAND(),Assumptions!$B$14,Assumptions!$B$15)</f>
        <v>0.0620354828069425</v>
      </c>
      <c r="D466" s="8" t="n">
        <f aca="true">NORMINV(RAND(),Assumptions!$B$14,Assumptions!$B$15)</f>
        <v>0.0454556026950179</v>
      </c>
      <c r="E466" s="8" t="n">
        <f aca="true">NORMINV(RAND(),Assumptions!$B$14,Assumptions!$B$15)</f>
        <v>0.0406928809076936</v>
      </c>
      <c r="F466" s="8" t="n">
        <f aca="true">NORMINV(RAND(),Assumptions!$B$14,Assumptions!$B$15)</f>
        <v>0.0321620331719329</v>
      </c>
      <c r="G466" s="8" t="n">
        <f aca="true">NORMINV(RAND(),Assumptions!$B$14,Assumptions!$B$15)</f>
        <v>0.0325906000120415</v>
      </c>
      <c r="H466" s="8" t="n">
        <f aca="true">NORMINV(RAND(),Assumptions!$B$14,Assumptions!$B$15)</f>
        <v>0.119649095350273</v>
      </c>
      <c r="I466" s="8" t="n">
        <f aca="true">NORMINV(RAND(),Assumptions!$B$14,Assumptions!$B$15)</f>
        <v>0.0349266582626397</v>
      </c>
      <c r="J466" s="8" t="n">
        <f aca="true">NORMINV(RAND(),Assumptions!$B$14,Assumptions!$B$15)</f>
        <v>0.100535467508377</v>
      </c>
      <c r="K466" s="8" t="n">
        <f aca="true">NORMINV(RAND(),Assumptions!$B$14,Assumptions!$B$15)</f>
        <v>0.0701543871955635</v>
      </c>
      <c r="L466" s="8" t="n">
        <f aca="true">NORMINV(RAND(),Assumptions!$B$14,Assumptions!$B$15)</f>
        <v>0.0999819864155012</v>
      </c>
      <c r="M466" s="6" t="n">
        <f aca="false">B466-Assumptions!$B$29</f>
        <v>391263.996662504</v>
      </c>
      <c r="N466" s="6" t="n">
        <f aca="false">W466-Assumptions!$B$29</f>
        <v>365536.247600436</v>
      </c>
      <c r="O466" s="6" t="n">
        <f aca="false">X466-Assumptions!$B$29</f>
        <v>332151.918041989</v>
      </c>
      <c r="P466" s="6" t="n">
        <f aca="false">Y466-Assumptions!$B$29</f>
        <v>295668.136486134</v>
      </c>
      <c r="Q466" s="6" t="n">
        <f aca="false">Z466-Assumptions!$B$29</f>
        <v>255177.424899684</v>
      </c>
      <c r="R466" s="6" t="n">
        <f aca="false">AA466-Assumptions!$B$29</f>
        <v>213493.810286693</v>
      </c>
      <c r="S466" s="6" t="n">
        <f aca="false">AB466-Assumptions!$B$29</f>
        <v>189038.151550378</v>
      </c>
      <c r="T466" s="6" t="n">
        <f aca="false">AC466-Assumptions!$B$29</f>
        <v>145640.622468179</v>
      </c>
      <c r="U466" s="6" t="n">
        <f aca="false">AD466-Assumptions!$B$29</f>
        <v>110282.670536229</v>
      </c>
      <c r="V466" s="6" t="n">
        <f aca="false">AE466-Assumptions!$B$29</f>
        <v>68019.483705988</v>
      </c>
      <c r="W466" s="6" t="n">
        <f aca="false">M466*(1+C466)</f>
        <v>415536.247600436</v>
      </c>
      <c r="X466" s="6" t="n">
        <f aca="false">N466*(1+D466)</f>
        <v>382151.918041989</v>
      </c>
      <c r="Y466" s="6" t="n">
        <f aca="false">O466*(1+E466)</f>
        <v>345668.136486134</v>
      </c>
      <c r="Z466" s="6" t="n">
        <f aca="false">P466*(1+F466)</f>
        <v>305177.424899684</v>
      </c>
      <c r="AA466" s="6" t="n">
        <f aca="false">Q466*(1+G466)</f>
        <v>263493.810286693</v>
      </c>
      <c r="AB466" s="6" t="n">
        <f aca="false">R466*(1+H466)</f>
        <v>239038.151550378</v>
      </c>
      <c r="AC466" s="6" t="n">
        <f aca="false">S466*(1+I466)</f>
        <v>195640.622468179</v>
      </c>
      <c r="AD466" s="6" t="n">
        <f aca="false">T466*(1+J466)</f>
        <v>160282.670536229</v>
      </c>
      <c r="AE466" s="6" t="n">
        <f aca="false">U466*(1+K466)</f>
        <v>118019.483705988</v>
      </c>
      <c r="AF466" s="6" t="n">
        <f aca="false">V466*(1+L466)</f>
        <v>74820.2068018695</v>
      </c>
      <c r="AG466" s="6" t="n">
        <f aca="false">MIN(M466:V466)</f>
        <v>68019.483705988</v>
      </c>
      <c r="AH466" s="19" t="n">
        <f aca="false">IF(AG466&gt;=0,1,0)</f>
        <v>1</v>
      </c>
    </row>
    <row r="467" customFormat="false" ht="15" hidden="false" customHeight="false" outlineLevel="0" collapsed="false">
      <c r="A467" s="0" t="n">
        <f aca="false">ROW()-1</f>
        <v>466</v>
      </c>
      <c r="B467" s="6" t="n">
        <f aca="false">Assumptions!$B$35</f>
        <v>441263.996662504</v>
      </c>
      <c r="C467" s="8" t="n">
        <f aca="true">NORMINV(RAND(),Assumptions!$B$14,Assumptions!$B$15)</f>
        <v>0.0534931091876185</v>
      </c>
      <c r="D467" s="8" t="n">
        <f aca="true">NORMINV(RAND(),Assumptions!$B$14,Assumptions!$B$15)</f>
        <v>0.0299581787651323</v>
      </c>
      <c r="E467" s="8" t="n">
        <f aca="true">NORMINV(RAND(),Assumptions!$B$14,Assumptions!$B$15)</f>
        <v>0.0867563034431341</v>
      </c>
      <c r="F467" s="8" t="n">
        <f aca="true">NORMINV(RAND(),Assumptions!$B$14,Assumptions!$B$15)</f>
        <v>0.0638382488001995</v>
      </c>
      <c r="G467" s="8" t="n">
        <f aca="true">NORMINV(RAND(),Assumptions!$B$14,Assumptions!$B$15)</f>
        <v>0.0600212123868911</v>
      </c>
      <c r="H467" s="8" t="n">
        <f aca="true">NORMINV(RAND(),Assumptions!$B$14,Assumptions!$B$15)</f>
        <v>0.00640968486468813</v>
      </c>
      <c r="I467" s="8" t="n">
        <f aca="true">NORMINV(RAND(),Assumptions!$B$14,Assumptions!$B$15)</f>
        <v>0.0266438376781784</v>
      </c>
      <c r="J467" s="8" t="n">
        <f aca="true">NORMINV(RAND(),Assumptions!$B$14,Assumptions!$B$15)</f>
        <v>0.101441498118116</v>
      </c>
      <c r="K467" s="8" t="n">
        <f aca="true">NORMINV(RAND(),Assumptions!$B$14,Assumptions!$B$15)</f>
        <v>0.101743705551833</v>
      </c>
      <c r="L467" s="8" t="n">
        <f aca="true">NORMINV(RAND(),Assumptions!$B$14,Assumptions!$B$15)</f>
        <v>0.0307858098240315</v>
      </c>
      <c r="M467" s="6" t="n">
        <f aca="false">B467-Assumptions!$B$29</f>
        <v>391263.996662504</v>
      </c>
      <c r="N467" s="6" t="n">
        <f aca="false">W467-Assumptions!$B$29</f>
        <v>362193.924357155</v>
      </c>
      <c r="O467" s="6" t="n">
        <f aca="false">X467-Assumptions!$B$29</f>
        <v>323044.594690691</v>
      </c>
      <c r="P467" s="6" t="n">
        <f aca="false">Y467-Assumptions!$B$29</f>
        <v>301070.749573341</v>
      </c>
      <c r="Q467" s="6" t="n">
        <f aca="false">Z467-Assumptions!$B$29</f>
        <v>270290.578991067</v>
      </c>
      <c r="R467" s="6" t="n">
        <f aca="false">AA467-Assumptions!$B$29</f>
        <v>236513.747238865</v>
      </c>
      <c r="S467" s="6" t="n">
        <f aca="false">AB467-Assumptions!$B$29</f>
        <v>188029.725824833</v>
      </c>
      <c r="T467" s="6" t="n">
        <f aca="false">AC467-Assumptions!$B$29</f>
        <v>143039.559318382</v>
      </c>
      <c r="U467" s="6" t="n">
        <f aca="false">AD467-Assumptions!$B$29</f>
        <v>107549.706505794</v>
      </c>
      <c r="V467" s="6" t="n">
        <f aca="false">AE467-Assumptions!$B$29</f>
        <v>68492.2121767054</v>
      </c>
      <c r="W467" s="6" t="n">
        <f aca="false">M467*(1+C467)</f>
        <v>412193.924357155</v>
      </c>
      <c r="X467" s="6" t="n">
        <f aca="false">N467*(1+D467)</f>
        <v>373044.594690691</v>
      </c>
      <c r="Y467" s="6" t="n">
        <f aca="false">O467*(1+E467)</f>
        <v>351070.749573341</v>
      </c>
      <c r="Z467" s="6" t="n">
        <f aca="false">P467*(1+F467)</f>
        <v>320290.578991067</v>
      </c>
      <c r="AA467" s="6" t="n">
        <f aca="false">Q467*(1+G467)</f>
        <v>286513.747238865</v>
      </c>
      <c r="AB467" s="6" t="n">
        <f aca="false">R467*(1+H467)</f>
        <v>238029.725824833</v>
      </c>
      <c r="AC467" s="6" t="n">
        <f aca="false">S467*(1+I467)</f>
        <v>193039.559318382</v>
      </c>
      <c r="AD467" s="6" t="n">
        <f aca="false">T467*(1+J467)</f>
        <v>157549.706505794</v>
      </c>
      <c r="AE467" s="6" t="n">
        <f aca="false">U467*(1+K467)</f>
        <v>118492.212176705</v>
      </c>
      <c r="AF467" s="6" t="n">
        <f aca="false">V467*(1+L467)</f>
        <v>70600.8003952047</v>
      </c>
      <c r="AG467" s="6" t="n">
        <f aca="false">MIN(M467:V467)</f>
        <v>68492.2121767054</v>
      </c>
      <c r="AH467" s="19" t="n">
        <f aca="false">IF(AG467&gt;=0,1,0)</f>
        <v>1</v>
      </c>
    </row>
    <row r="468" customFormat="false" ht="15" hidden="false" customHeight="false" outlineLevel="0" collapsed="false">
      <c r="A468" s="0" t="n">
        <f aca="false">ROW()-1</f>
        <v>467</v>
      </c>
      <c r="B468" s="6" t="n">
        <f aca="false">Assumptions!$B$35</f>
        <v>441263.996662504</v>
      </c>
      <c r="C468" s="8" t="n">
        <f aca="true">NORMINV(RAND(),Assumptions!$B$14,Assumptions!$B$15)</f>
        <v>0.08592798004274</v>
      </c>
      <c r="D468" s="8" t="n">
        <f aca="true">NORMINV(RAND(),Assumptions!$B$14,Assumptions!$B$15)</f>
        <v>0.0617183043267153</v>
      </c>
      <c r="E468" s="8" t="n">
        <f aca="true">NORMINV(RAND(),Assumptions!$B$14,Assumptions!$B$15)</f>
        <v>0.0143657925974432</v>
      </c>
      <c r="F468" s="8" t="n">
        <f aca="true">NORMINV(RAND(),Assumptions!$B$14,Assumptions!$B$15)</f>
        <v>0.0458067087032334</v>
      </c>
      <c r="G468" s="8" t="n">
        <f aca="true">NORMINV(RAND(),Assumptions!$B$14,Assumptions!$B$15)</f>
        <v>0.0598099333025137</v>
      </c>
      <c r="H468" s="8" t="n">
        <f aca="true">NORMINV(RAND(),Assumptions!$B$14,Assumptions!$B$15)</f>
        <v>0.0766238454779316</v>
      </c>
      <c r="I468" s="8" t="n">
        <f aca="true">NORMINV(RAND(),Assumptions!$B$14,Assumptions!$B$15)</f>
        <v>0.0322775294982305</v>
      </c>
      <c r="J468" s="8" t="n">
        <f aca="true">NORMINV(RAND(),Assumptions!$B$14,Assumptions!$B$15)</f>
        <v>0.0119394555898513</v>
      </c>
      <c r="K468" s="8" t="n">
        <f aca="true">NORMINV(RAND(),Assumptions!$B$14,Assumptions!$B$15)</f>
        <v>0.0218955891061354</v>
      </c>
      <c r="L468" s="8" t="n">
        <f aca="true">NORMINV(RAND(),Assumptions!$B$14,Assumptions!$B$15)</f>
        <v>0.0598431118685334</v>
      </c>
      <c r="M468" s="6" t="n">
        <f aca="false">B468-Assumptions!$B$29</f>
        <v>391263.996662504</v>
      </c>
      <c r="N468" s="6" t="n">
        <f aca="false">W468-Assumptions!$B$29</f>
        <v>374884.521559162</v>
      </c>
      <c r="O468" s="6" t="n">
        <f aca="false">X468-Assumptions!$B$29</f>
        <v>348021.758548125</v>
      </c>
      <c r="P468" s="6" t="n">
        <f aca="false">Y468-Assumptions!$B$29</f>
        <v>303021.366950825</v>
      </c>
      <c r="Q468" s="6" t="n">
        <f aca="false">Z468-Assumptions!$B$29</f>
        <v>266901.778437597</v>
      </c>
      <c r="R468" s="6" t="n">
        <f aca="false">AA468-Assumptions!$B$29</f>
        <v>232865.156004272</v>
      </c>
      <c r="S468" s="6" t="n">
        <f aca="false">AB468-Assumptions!$B$29</f>
        <v>200708.179735138</v>
      </c>
      <c r="T468" s="6" t="n">
        <f aca="false">AC468-Assumptions!$B$29</f>
        <v>157186.543927075</v>
      </c>
      <c r="U468" s="6" t="n">
        <f aca="false">AD468-Assumptions!$B$29</f>
        <v>109063.265687614</v>
      </c>
      <c r="V468" s="6" t="n">
        <f aca="false">AE468-Assumptions!$B$29</f>
        <v>61451.2701396837</v>
      </c>
      <c r="W468" s="6" t="n">
        <f aca="false">M468*(1+C468)</f>
        <v>424884.521559162</v>
      </c>
      <c r="X468" s="6" t="n">
        <f aca="false">N468*(1+D468)</f>
        <v>398021.758548125</v>
      </c>
      <c r="Y468" s="6" t="n">
        <f aca="false">O468*(1+E468)</f>
        <v>353021.366950825</v>
      </c>
      <c r="Z468" s="6" t="n">
        <f aca="false">P468*(1+F468)</f>
        <v>316901.778437597</v>
      </c>
      <c r="AA468" s="6" t="n">
        <f aca="false">Q468*(1+G468)</f>
        <v>282865.156004272</v>
      </c>
      <c r="AB468" s="6" t="n">
        <f aca="false">R468*(1+H468)</f>
        <v>250708.179735138</v>
      </c>
      <c r="AC468" s="6" t="n">
        <f aca="false">S468*(1+I468)</f>
        <v>207186.543927075</v>
      </c>
      <c r="AD468" s="6" t="n">
        <f aca="false">T468*(1+J468)</f>
        <v>159063.265687614</v>
      </c>
      <c r="AE468" s="6" t="n">
        <f aca="false">U468*(1+K468)</f>
        <v>111451.270139684</v>
      </c>
      <c r="AF468" s="6" t="n">
        <f aca="false">V468*(1+L468)</f>
        <v>65128.7053731162</v>
      </c>
      <c r="AG468" s="6" t="n">
        <f aca="false">MIN(M468:V468)</f>
        <v>61451.2701396837</v>
      </c>
      <c r="AH468" s="19" t="n">
        <f aca="false">IF(AG468&gt;=0,1,0)</f>
        <v>1</v>
      </c>
    </row>
    <row r="469" customFormat="false" ht="15" hidden="false" customHeight="false" outlineLevel="0" collapsed="false">
      <c r="A469" s="0" t="n">
        <f aca="false">ROW()-1</f>
        <v>468</v>
      </c>
      <c r="B469" s="6" t="n">
        <f aca="false">Assumptions!$B$35</f>
        <v>441263.996662504</v>
      </c>
      <c r="C469" s="8" t="n">
        <f aca="true">NORMINV(RAND(),Assumptions!$B$14,Assumptions!$B$15)</f>
        <v>0.0652106239547333</v>
      </c>
      <c r="D469" s="8" t="n">
        <f aca="true">NORMINV(RAND(),Assumptions!$B$14,Assumptions!$B$15)</f>
        <v>0.0533099115001885</v>
      </c>
      <c r="E469" s="8" t="n">
        <f aca="true">NORMINV(RAND(),Assumptions!$B$14,Assumptions!$B$15)</f>
        <v>0.0568543409907605</v>
      </c>
      <c r="F469" s="8" t="n">
        <f aca="true">NORMINV(RAND(),Assumptions!$B$14,Assumptions!$B$15)</f>
        <v>0.0199913948720657</v>
      </c>
      <c r="G469" s="8" t="n">
        <f aca="true">NORMINV(RAND(),Assumptions!$B$14,Assumptions!$B$15)</f>
        <v>0.0374237972853972</v>
      </c>
      <c r="H469" s="8" t="n">
        <f aca="true">NORMINV(RAND(),Assumptions!$B$14,Assumptions!$B$15)</f>
        <v>0.0636369528976826</v>
      </c>
      <c r="I469" s="8" t="n">
        <f aca="true">NORMINV(RAND(),Assumptions!$B$14,Assumptions!$B$15)</f>
        <v>0.0890251802956213</v>
      </c>
      <c r="J469" s="8" t="n">
        <f aca="true">NORMINV(RAND(),Assumptions!$B$14,Assumptions!$B$15)</f>
        <v>0.0398315513676354</v>
      </c>
      <c r="K469" s="8" t="n">
        <f aca="true">NORMINV(RAND(),Assumptions!$B$14,Assumptions!$B$15)</f>
        <v>0.0402809479233949</v>
      </c>
      <c r="L469" s="8" t="n">
        <f aca="true">NORMINV(RAND(),Assumptions!$B$14,Assumptions!$B$15)</f>
        <v>0.0408205826739165</v>
      </c>
      <c r="M469" s="6" t="n">
        <f aca="false">B469-Assumptions!$B$29</f>
        <v>391263.996662504</v>
      </c>
      <c r="N469" s="6" t="n">
        <f aca="false">W469-Assumptions!$B$29</f>
        <v>366778.566015888</v>
      </c>
      <c r="O469" s="6" t="n">
        <f aca="false">X469-Assumptions!$B$29</f>
        <v>336331.498910361</v>
      </c>
      <c r="P469" s="6" t="n">
        <f aca="false">Y469-Assumptions!$B$29</f>
        <v>305453.404635344</v>
      </c>
      <c r="Q469" s="6" t="n">
        <f aca="false">Z469-Assumptions!$B$29</f>
        <v>261559.844262426</v>
      </c>
      <c r="R469" s="6" t="n">
        <f aca="false">AA469-Assumptions!$B$29</f>
        <v>221348.406852103</v>
      </c>
      <c r="S469" s="6" t="n">
        <f aca="false">AB469-Assumptions!$B$29</f>
        <v>185434.344992928</v>
      </c>
      <c r="T469" s="6" t="n">
        <f aca="false">AC469-Assumptions!$B$29</f>
        <v>151942.670988924</v>
      </c>
      <c r="U469" s="6" t="n">
        <f aca="false">AD469-Assumptions!$B$29</f>
        <v>107994.783293355</v>
      </c>
      <c r="V469" s="6" t="n">
        <f aca="false">AE469-Assumptions!$B$29</f>
        <v>62344.9155351925</v>
      </c>
      <c r="W469" s="6" t="n">
        <f aca="false">M469*(1+C469)</f>
        <v>416778.566015888</v>
      </c>
      <c r="X469" s="6" t="n">
        <f aca="false">N469*(1+D469)</f>
        <v>386331.498910361</v>
      </c>
      <c r="Y469" s="6" t="n">
        <f aca="false">O469*(1+E469)</f>
        <v>355453.404635344</v>
      </c>
      <c r="Z469" s="6" t="n">
        <f aca="false">P469*(1+F469)</f>
        <v>311559.844262426</v>
      </c>
      <c r="AA469" s="6" t="n">
        <f aca="false">Q469*(1+G469)</f>
        <v>271348.406852103</v>
      </c>
      <c r="AB469" s="6" t="n">
        <f aca="false">R469*(1+H469)</f>
        <v>235434.344992928</v>
      </c>
      <c r="AC469" s="6" t="n">
        <f aca="false">S469*(1+I469)</f>
        <v>201942.670988924</v>
      </c>
      <c r="AD469" s="6" t="n">
        <f aca="false">T469*(1+J469)</f>
        <v>157994.783293355</v>
      </c>
      <c r="AE469" s="6" t="n">
        <f aca="false">U469*(1+K469)</f>
        <v>112344.915535193</v>
      </c>
      <c r="AF469" s="6" t="n">
        <f aca="false">V469*(1+L469)</f>
        <v>64889.8713140952</v>
      </c>
      <c r="AG469" s="6" t="n">
        <f aca="false">MIN(M469:V469)</f>
        <v>62344.9155351925</v>
      </c>
      <c r="AH469" s="19" t="n">
        <f aca="false">IF(AG469&gt;=0,1,0)</f>
        <v>1</v>
      </c>
    </row>
    <row r="470" customFormat="false" ht="15" hidden="false" customHeight="false" outlineLevel="0" collapsed="false">
      <c r="A470" s="0" t="n">
        <f aca="false">ROW()-1</f>
        <v>469</v>
      </c>
      <c r="B470" s="6" t="n">
        <f aca="false">Assumptions!$B$35</f>
        <v>441263.996662504</v>
      </c>
      <c r="C470" s="8" t="n">
        <f aca="true">NORMINV(RAND(),Assumptions!$B$14,Assumptions!$B$15)</f>
        <v>0.0670377119305648</v>
      </c>
      <c r="D470" s="8" t="n">
        <f aca="true">NORMINV(RAND(),Assumptions!$B$14,Assumptions!$B$15)</f>
        <v>0.0513407482593295</v>
      </c>
      <c r="E470" s="8" t="n">
        <f aca="true">NORMINV(RAND(),Assumptions!$B$14,Assumptions!$B$15)</f>
        <v>0.0498161332768993</v>
      </c>
      <c r="F470" s="8" t="n">
        <f aca="true">NORMINV(RAND(),Assumptions!$B$14,Assumptions!$B$15)</f>
        <v>0.0276957156016736</v>
      </c>
      <c r="G470" s="8" t="n">
        <f aca="true">NORMINV(RAND(),Assumptions!$B$14,Assumptions!$B$15)</f>
        <v>0.0169506868854809</v>
      </c>
      <c r="H470" s="8" t="n">
        <f aca="true">NORMINV(RAND(),Assumptions!$B$14,Assumptions!$B$15)</f>
        <v>0.00243468576260827</v>
      </c>
      <c r="I470" s="8" t="n">
        <f aca="true">NORMINV(RAND(),Assumptions!$B$14,Assumptions!$B$15)</f>
        <v>-0.0221564632419293</v>
      </c>
      <c r="J470" s="8" t="n">
        <f aca="true">NORMINV(RAND(),Assumptions!$B$14,Assumptions!$B$15)</f>
        <v>0.065375577691241</v>
      </c>
      <c r="K470" s="8" t="n">
        <f aca="true">NORMINV(RAND(),Assumptions!$B$14,Assumptions!$B$15)</f>
        <v>0.0413769873468555</v>
      </c>
      <c r="L470" s="8" t="n">
        <f aca="true">NORMINV(RAND(),Assumptions!$B$14,Assumptions!$B$15)</f>
        <v>0.040701246972584</v>
      </c>
      <c r="M470" s="6" t="n">
        <f aca="false">B470-Assumptions!$B$29</f>
        <v>391263.996662504</v>
      </c>
      <c r="N470" s="6" t="n">
        <f aca="false">W470-Assumptions!$B$29</f>
        <v>367493.439759566</v>
      </c>
      <c r="O470" s="6" t="n">
        <f aca="false">X470-Assumptions!$B$29</f>
        <v>336360.827937217</v>
      </c>
      <c r="P470" s="6" t="n">
        <f aca="false">Y470-Assumptions!$B$29</f>
        <v>303117.023770865</v>
      </c>
      <c r="Q470" s="6" t="n">
        <f aca="false">Z470-Assumptions!$B$29</f>
        <v>261512.066655249</v>
      </c>
      <c r="R470" s="6" t="n">
        <f aca="false">AA470-Assumptions!$B$29</f>
        <v>215944.875813897</v>
      </c>
      <c r="S470" s="6" t="n">
        <f aca="false">AB470-Assumptions!$B$29</f>
        <v>166470.63372855</v>
      </c>
      <c r="T470" s="6" t="n">
        <f aca="false">AC470-Assumptions!$B$29</f>
        <v>112782.233251482</v>
      </c>
      <c r="U470" s="6" t="n">
        <f aca="false">AD470-Assumptions!$B$29</f>
        <v>70155.4369036062</v>
      </c>
      <c r="V470" s="6" t="n">
        <f aca="false">AE470-Assumptions!$B$29</f>
        <v>23058.2575286799</v>
      </c>
      <c r="W470" s="6" t="n">
        <f aca="false">M470*(1+C470)</f>
        <v>417493.439759566</v>
      </c>
      <c r="X470" s="6" t="n">
        <f aca="false">N470*(1+D470)</f>
        <v>386360.827937217</v>
      </c>
      <c r="Y470" s="6" t="n">
        <f aca="false">O470*(1+E470)</f>
        <v>353117.023770865</v>
      </c>
      <c r="Z470" s="6" t="n">
        <f aca="false">P470*(1+F470)</f>
        <v>311512.066655249</v>
      </c>
      <c r="AA470" s="6" t="n">
        <f aca="false">Q470*(1+G470)</f>
        <v>265944.875813897</v>
      </c>
      <c r="AB470" s="6" t="n">
        <f aca="false">R470*(1+H470)</f>
        <v>216470.63372855</v>
      </c>
      <c r="AC470" s="6" t="n">
        <f aca="false">S470*(1+I470)</f>
        <v>162782.233251482</v>
      </c>
      <c r="AD470" s="6" t="n">
        <f aca="false">T470*(1+J470)</f>
        <v>120155.436903606</v>
      </c>
      <c r="AE470" s="6" t="n">
        <f aca="false">U470*(1+K470)</f>
        <v>73058.2575286799</v>
      </c>
      <c r="AF470" s="6" t="n">
        <f aca="false">V470*(1+L470)</f>
        <v>23996.7573631121</v>
      </c>
      <c r="AG470" s="6" t="n">
        <f aca="false">MIN(M470:V470)</f>
        <v>23058.2575286799</v>
      </c>
      <c r="AH470" s="19" t="n">
        <f aca="false">IF(AG470&gt;=0,1,0)</f>
        <v>1</v>
      </c>
    </row>
    <row r="471" customFormat="false" ht="15" hidden="false" customHeight="false" outlineLevel="0" collapsed="false">
      <c r="A471" s="0" t="n">
        <f aca="false">ROW()-1</f>
        <v>470</v>
      </c>
      <c r="B471" s="6" t="n">
        <f aca="false">Assumptions!$B$35</f>
        <v>441263.996662504</v>
      </c>
      <c r="C471" s="8" t="n">
        <f aca="true">NORMINV(RAND(),Assumptions!$B$14,Assumptions!$B$15)</f>
        <v>0.0605167019998176</v>
      </c>
      <c r="D471" s="8" t="n">
        <f aca="true">NORMINV(RAND(),Assumptions!$B$14,Assumptions!$B$15)</f>
        <v>0.00962890255737663</v>
      </c>
      <c r="E471" s="8" t="n">
        <f aca="true">NORMINV(RAND(),Assumptions!$B$14,Assumptions!$B$15)</f>
        <v>0.024535798966835</v>
      </c>
      <c r="F471" s="8" t="n">
        <f aca="true">NORMINV(RAND(),Assumptions!$B$14,Assumptions!$B$15)</f>
        <v>0.0370208689015695</v>
      </c>
      <c r="G471" s="8" t="n">
        <f aca="true">NORMINV(RAND(),Assumptions!$B$14,Assumptions!$B$15)</f>
        <v>0.072136665199938</v>
      </c>
      <c r="H471" s="8" t="n">
        <f aca="true">NORMINV(RAND(),Assumptions!$B$14,Assumptions!$B$15)</f>
        <v>0.112049958123616</v>
      </c>
      <c r="I471" s="8" t="n">
        <f aca="true">NORMINV(RAND(),Assumptions!$B$14,Assumptions!$B$15)</f>
        <v>0.0607788997002125</v>
      </c>
      <c r="J471" s="8" t="n">
        <f aca="true">NORMINV(RAND(),Assumptions!$B$14,Assumptions!$B$15)</f>
        <v>0.0575979842773353</v>
      </c>
      <c r="K471" s="8" t="n">
        <f aca="true">NORMINV(RAND(),Assumptions!$B$14,Assumptions!$B$15)</f>
        <v>0.0536904907967844</v>
      </c>
      <c r="L471" s="8" t="n">
        <f aca="true">NORMINV(RAND(),Assumptions!$B$14,Assumptions!$B$15)</f>
        <v>0.0696939313572016</v>
      </c>
      <c r="M471" s="6" t="n">
        <f aca="false">B471-Assumptions!$B$29</f>
        <v>391263.996662504</v>
      </c>
      <c r="N471" s="6" t="n">
        <f aca="false">W471-Assumptions!$B$29</f>
        <v>364942.003351786</v>
      </c>
      <c r="O471" s="6" t="n">
        <f aca="false">X471-Assumptions!$B$29</f>
        <v>318455.994341154</v>
      </c>
      <c r="P471" s="6" t="n">
        <f aca="false">Y471-Assumptions!$B$29</f>
        <v>276269.566598092</v>
      </c>
      <c r="Q471" s="6" t="n">
        <f aca="false">Z471-Assumptions!$B$29</f>
        <v>236497.306004614</v>
      </c>
      <c r="R471" s="6" t="n">
        <f aca="false">AA471-Assumptions!$B$29</f>
        <v>203557.432988556</v>
      </c>
      <c r="S471" s="6" t="n">
        <f aca="false">AB471-Assumptions!$B$29</f>
        <v>176366.034830674</v>
      </c>
      <c r="T471" s="6" t="n">
        <f aca="false">AC471-Assumptions!$B$29</f>
        <v>137085.368372172</v>
      </c>
      <c r="U471" s="6" t="n">
        <f aca="false">AD471-Assumptions!$B$29</f>
        <v>94981.2092643248</v>
      </c>
      <c r="V471" s="6" t="n">
        <f aca="false">AE471-Assumptions!$B$29</f>
        <v>50080.7970061985</v>
      </c>
      <c r="W471" s="6" t="n">
        <f aca="false">M471*(1+C471)</f>
        <v>414942.003351786</v>
      </c>
      <c r="X471" s="6" t="n">
        <f aca="false">N471*(1+D471)</f>
        <v>368455.994341154</v>
      </c>
      <c r="Y471" s="6" t="n">
        <f aca="false">O471*(1+E471)</f>
        <v>326269.566598092</v>
      </c>
      <c r="Z471" s="6" t="n">
        <f aca="false">P471*(1+F471)</f>
        <v>286497.306004614</v>
      </c>
      <c r="AA471" s="6" t="n">
        <f aca="false">Q471*(1+G471)</f>
        <v>253557.432988556</v>
      </c>
      <c r="AB471" s="6" t="n">
        <f aca="false">R471*(1+H471)</f>
        <v>226366.034830674</v>
      </c>
      <c r="AC471" s="6" t="n">
        <f aca="false">S471*(1+I471)</f>
        <v>187085.368372172</v>
      </c>
      <c r="AD471" s="6" t="n">
        <f aca="false">T471*(1+J471)</f>
        <v>144981.209264325</v>
      </c>
      <c r="AE471" s="6" t="n">
        <f aca="false">U471*(1+K471)</f>
        <v>100080.797006199</v>
      </c>
      <c r="AF471" s="6" t="n">
        <f aca="false">V471*(1+L471)</f>
        <v>53571.1246350625</v>
      </c>
      <c r="AG471" s="6" t="n">
        <f aca="false">MIN(M471:V471)</f>
        <v>50080.7970061985</v>
      </c>
      <c r="AH471" s="19" t="n">
        <f aca="false">IF(AG471&gt;=0,1,0)</f>
        <v>1</v>
      </c>
    </row>
    <row r="472" customFormat="false" ht="15" hidden="false" customHeight="false" outlineLevel="0" collapsed="false">
      <c r="A472" s="0" t="n">
        <f aca="false">ROW()-1</f>
        <v>471</v>
      </c>
      <c r="B472" s="6" t="n">
        <f aca="false">Assumptions!$B$35</f>
        <v>441263.996662504</v>
      </c>
      <c r="C472" s="8" t="n">
        <f aca="true">NORMINV(RAND(),Assumptions!$B$14,Assumptions!$B$15)</f>
        <v>0.0307772481639756</v>
      </c>
      <c r="D472" s="8" t="n">
        <f aca="true">NORMINV(RAND(),Assumptions!$B$14,Assumptions!$B$15)</f>
        <v>0.0693632423835456</v>
      </c>
      <c r="E472" s="8" t="n">
        <f aca="true">NORMINV(RAND(),Assumptions!$B$14,Assumptions!$B$15)</f>
        <v>0.0646575086934052</v>
      </c>
      <c r="F472" s="8" t="n">
        <f aca="true">NORMINV(RAND(),Assumptions!$B$14,Assumptions!$B$15)</f>
        <v>0.0834228600805235</v>
      </c>
      <c r="G472" s="8" t="n">
        <f aca="true">NORMINV(RAND(),Assumptions!$B$14,Assumptions!$B$15)</f>
        <v>-0.000714104063457816</v>
      </c>
      <c r="H472" s="8" t="n">
        <f aca="true">NORMINV(RAND(),Assumptions!$B$14,Assumptions!$B$15)</f>
        <v>0.025794274362638</v>
      </c>
      <c r="I472" s="8" t="n">
        <f aca="true">NORMINV(RAND(),Assumptions!$B$14,Assumptions!$B$15)</f>
        <v>0.0376096574286428</v>
      </c>
      <c r="J472" s="8" t="n">
        <f aca="true">NORMINV(RAND(),Assumptions!$B$14,Assumptions!$B$15)</f>
        <v>0.0959707303723027</v>
      </c>
      <c r="K472" s="8" t="n">
        <f aca="true">NORMINV(RAND(),Assumptions!$B$14,Assumptions!$B$15)</f>
        <v>0.0417634667438852</v>
      </c>
      <c r="L472" s="8" t="n">
        <f aca="true">NORMINV(RAND(),Assumptions!$B$14,Assumptions!$B$15)</f>
        <v>0.0239591545904209</v>
      </c>
      <c r="M472" s="6" t="n">
        <f aca="false">B472-Assumptions!$B$29</f>
        <v>391263.996662504</v>
      </c>
      <c r="N472" s="6" t="n">
        <f aca="false">W472-Assumptions!$B$29</f>
        <v>353306.025785414</v>
      </c>
      <c r="O472" s="6" t="n">
        <f aca="false">X472-Assumptions!$B$29</f>
        <v>327812.477287535</v>
      </c>
      <c r="P472" s="6" t="n">
        <f aca="false">Y472-Assumptions!$B$29</f>
        <v>299008.015387561</v>
      </c>
      <c r="Q472" s="6" t="n">
        <f aca="false">Z472-Assumptions!$B$29</f>
        <v>273952.119218192</v>
      </c>
      <c r="R472" s="6" t="n">
        <f aca="false">AA472-Assumptions!$B$29</f>
        <v>223756.488896666</v>
      </c>
      <c r="S472" s="6" t="n">
        <f aca="false">AB472-Assumptions!$B$29</f>
        <v>179528.125161687</v>
      </c>
      <c r="T472" s="6" t="n">
        <f aca="false">AC472-Assumptions!$B$29</f>
        <v>136280.116447824</v>
      </c>
      <c r="U472" s="6" t="n">
        <f aca="false">AD472-Assumptions!$B$29</f>
        <v>99359.0187585445</v>
      </c>
      <c r="V472" s="6" t="n">
        <f aca="false">AE472-Assumptions!$B$29</f>
        <v>53508.5958341721</v>
      </c>
      <c r="W472" s="6" t="n">
        <f aca="false">M472*(1+C472)</f>
        <v>403306.025785414</v>
      </c>
      <c r="X472" s="6" t="n">
        <f aca="false">N472*(1+D472)</f>
        <v>377812.477287535</v>
      </c>
      <c r="Y472" s="6" t="n">
        <f aca="false">O472*(1+E472)</f>
        <v>349008.015387561</v>
      </c>
      <c r="Z472" s="6" t="n">
        <f aca="false">P472*(1+F472)</f>
        <v>323952.119218192</v>
      </c>
      <c r="AA472" s="6" t="n">
        <f aca="false">Q472*(1+G472)</f>
        <v>273756.488896666</v>
      </c>
      <c r="AB472" s="6" t="n">
        <f aca="false">R472*(1+H472)</f>
        <v>229528.125161687</v>
      </c>
      <c r="AC472" s="6" t="n">
        <f aca="false">S472*(1+I472)</f>
        <v>186280.116447824</v>
      </c>
      <c r="AD472" s="6" t="n">
        <f aca="false">T472*(1+J472)</f>
        <v>149359.018758545</v>
      </c>
      <c r="AE472" s="6" t="n">
        <f aca="false">U472*(1+K472)</f>
        <v>103508.595834172</v>
      </c>
      <c r="AF472" s="6" t="n">
        <f aca="false">V472*(1+L472)</f>
        <v>54790.6165536794</v>
      </c>
      <c r="AG472" s="6" t="n">
        <f aca="false">MIN(M472:V472)</f>
        <v>53508.5958341721</v>
      </c>
      <c r="AH472" s="19" t="n">
        <f aca="false">IF(AG472&gt;=0,1,0)</f>
        <v>1</v>
      </c>
    </row>
    <row r="473" customFormat="false" ht="15" hidden="false" customHeight="false" outlineLevel="0" collapsed="false">
      <c r="A473" s="0" t="n">
        <f aca="false">ROW()-1</f>
        <v>472</v>
      </c>
      <c r="B473" s="6" t="n">
        <f aca="false">Assumptions!$B$35</f>
        <v>441263.996662504</v>
      </c>
      <c r="C473" s="8" t="n">
        <f aca="true">NORMINV(RAND(),Assumptions!$B$14,Assumptions!$B$15)</f>
        <v>0.0743105957305416</v>
      </c>
      <c r="D473" s="8" t="n">
        <f aca="true">NORMINV(RAND(),Assumptions!$B$14,Assumptions!$B$15)</f>
        <v>0.0532089126452459</v>
      </c>
      <c r="E473" s="8" t="n">
        <f aca="true">NORMINV(RAND(),Assumptions!$B$14,Assumptions!$B$15)</f>
        <v>0.0409964114171569</v>
      </c>
      <c r="F473" s="8" t="n">
        <f aca="true">NORMINV(RAND(),Assumptions!$B$14,Assumptions!$B$15)</f>
        <v>0.0920880424607738</v>
      </c>
      <c r="G473" s="8" t="n">
        <f aca="true">NORMINV(RAND(),Assumptions!$B$14,Assumptions!$B$15)</f>
        <v>0.0084957868078317</v>
      </c>
      <c r="H473" s="8" t="n">
        <f aca="true">NORMINV(RAND(),Assumptions!$B$14,Assumptions!$B$15)</f>
        <v>0.016553469269298</v>
      </c>
      <c r="I473" s="8" t="n">
        <f aca="true">NORMINV(RAND(),Assumptions!$B$14,Assumptions!$B$15)</f>
        <v>0.0500286632607571</v>
      </c>
      <c r="J473" s="8" t="n">
        <f aca="true">NORMINV(RAND(),Assumptions!$B$14,Assumptions!$B$15)</f>
        <v>0.0418104975118185</v>
      </c>
      <c r="K473" s="8" t="n">
        <f aca="true">NORMINV(RAND(),Assumptions!$B$14,Assumptions!$B$15)</f>
        <v>0.0581726538083177</v>
      </c>
      <c r="L473" s="8" t="n">
        <f aca="true">NORMINV(RAND(),Assumptions!$B$14,Assumptions!$B$15)</f>
        <v>0.0180703292976067</v>
      </c>
      <c r="M473" s="6" t="n">
        <f aca="false">B473-Assumptions!$B$29</f>
        <v>391263.996662504</v>
      </c>
      <c r="N473" s="6" t="n">
        <f aca="false">W473-Assumptions!$B$29</f>
        <v>370339.057342407</v>
      </c>
      <c r="O473" s="6" t="n">
        <f aca="false">X473-Assumptions!$B$29</f>
        <v>340044.395893662</v>
      </c>
      <c r="P473" s="6" t="n">
        <f aca="false">Y473-Assumptions!$B$29</f>
        <v>303984.995847817</v>
      </c>
      <c r="Q473" s="6" t="n">
        <f aca="false">Z473-Assumptions!$B$29</f>
        <v>281978.379052889</v>
      </c>
      <c r="R473" s="6" t="n">
        <f aca="false">AA473-Assumptions!$B$29</f>
        <v>234374.00724574</v>
      </c>
      <c r="S473" s="6" t="n">
        <f aca="false">AB473-Assumptions!$B$29</f>
        <v>188253.710172204</v>
      </c>
      <c r="T473" s="6" t="n">
        <f aca="false">AC473-Assumptions!$B$29</f>
        <v>147671.791645998</v>
      </c>
      <c r="U473" s="6" t="n">
        <f aca="false">AD473-Assumptions!$B$29</f>
        <v>103846.022723179</v>
      </c>
      <c r="V473" s="6" t="n">
        <f aca="false">AE473-Assumptions!$B$29</f>
        <v>59887.0214524247</v>
      </c>
      <c r="W473" s="6" t="n">
        <f aca="false">M473*(1+C473)</f>
        <v>420339.057342407</v>
      </c>
      <c r="X473" s="6" t="n">
        <f aca="false">N473*(1+D473)</f>
        <v>390044.395893662</v>
      </c>
      <c r="Y473" s="6" t="n">
        <f aca="false">O473*(1+E473)</f>
        <v>353984.995847817</v>
      </c>
      <c r="Z473" s="6" t="n">
        <f aca="false">P473*(1+F473)</f>
        <v>331978.379052889</v>
      </c>
      <c r="AA473" s="6" t="n">
        <f aca="false">Q473*(1+G473)</f>
        <v>284374.00724574</v>
      </c>
      <c r="AB473" s="6" t="n">
        <f aca="false">R473*(1+H473)</f>
        <v>238253.710172204</v>
      </c>
      <c r="AC473" s="6" t="n">
        <f aca="false">S473*(1+I473)</f>
        <v>197671.791645998</v>
      </c>
      <c r="AD473" s="6" t="n">
        <f aca="false">T473*(1+J473)</f>
        <v>153846.022723179</v>
      </c>
      <c r="AE473" s="6" t="n">
        <f aca="false">U473*(1+K473)</f>
        <v>109887.021452425</v>
      </c>
      <c r="AF473" s="6" t="n">
        <f aca="false">V473*(1+L473)</f>
        <v>60969.1996507229</v>
      </c>
      <c r="AG473" s="6" t="n">
        <f aca="false">MIN(M473:V473)</f>
        <v>59887.0214524247</v>
      </c>
      <c r="AH473" s="19" t="n">
        <f aca="false">IF(AG473&gt;=0,1,0)</f>
        <v>1</v>
      </c>
    </row>
    <row r="474" customFormat="false" ht="15" hidden="false" customHeight="false" outlineLevel="0" collapsed="false">
      <c r="A474" s="0" t="n">
        <f aca="false">ROW()-1</f>
        <v>473</v>
      </c>
      <c r="B474" s="6" t="n">
        <f aca="false">Assumptions!$B$35</f>
        <v>441263.996662504</v>
      </c>
      <c r="C474" s="8" t="n">
        <f aca="true">NORMINV(RAND(),Assumptions!$B$14,Assumptions!$B$15)</f>
        <v>0.088319137186027</v>
      </c>
      <c r="D474" s="8" t="n">
        <f aca="true">NORMINV(RAND(),Assumptions!$B$14,Assumptions!$B$15)</f>
        <v>0.0361291504695304</v>
      </c>
      <c r="E474" s="8" t="n">
        <f aca="true">NORMINV(RAND(),Assumptions!$B$14,Assumptions!$B$15)</f>
        <v>0.0807333377557985</v>
      </c>
      <c r="F474" s="8" t="n">
        <f aca="true">NORMINV(RAND(),Assumptions!$B$14,Assumptions!$B$15)</f>
        <v>0.0843306747153887</v>
      </c>
      <c r="G474" s="8" t="n">
        <f aca="true">NORMINV(RAND(),Assumptions!$B$14,Assumptions!$B$15)</f>
        <v>-0.00172789307069979</v>
      </c>
      <c r="H474" s="8" t="n">
        <f aca="true">NORMINV(RAND(),Assumptions!$B$14,Assumptions!$B$15)</f>
        <v>0.0417447669062095</v>
      </c>
      <c r="I474" s="8" t="n">
        <f aca="true">NORMINV(RAND(),Assumptions!$B$14,Assumptions!$B$15)</f>
        <v>0.0245790740274012</v>
      </c>
      <c r="J474" s="8" t="n">
        <f aca="true">NORMINV(RAND(),Assumptions!$B$14,Assumptions!$B$15)</f>
        <v>0.0858683112686558</v>
      </c>
      <c r="K474" s="8" t="n">
        <f aca="true">NORMINV(RAND(),Assumptions!$B$14,Assumptions!$B$15)</f>
        <v>0.032249437918615</v>
      </c>
      <c r="L474" s="8" t="n">
        <f aca="true">NORMINV(RAND(),Assumptions!$B$14,Assumptions!$B$15)</f>
        <v>0.00950445743309562</v>
      </c>
      <c r="M474" s="6" t="n">
        <f aca="false">B474-Assumptions!$B$29</f>
        <v>391263.996662504</v>
      </c>
      <c r="N474" s="6" t="n">
        <f aca="false">W474-Assumptions!$B$29</f>
        <v>375820.095259692</v>
      </c>
      <c r="O474" s="6" t="n">
        <f aca="false">X474-Assumptions!$B$29</f>
        <v>339398.156030803</v>
      </c>
      <c r="P474" s="6" t="n">
        <f aca="false">Y474-Assumptions!$B$29</f>
        <v>316798.901995333</v>
      </c>
      <c r="Q474" s="6" t="n">
        <f aca="false">Z474-Assumptions!$B$29</f>
        <v>293514.767149694</v>
      </c>
      <c r="R474" s="6" t="n">
        <f aca="false">AA474-Assumptions!$B$29</f>
        <v>243007.605017388</v>
      </c>
      <c r="S474" s="6" t="n">
        <f aca="false">AB474-Assumptions!$B$29</f>
        <v>203151.900845275</v>
      </c>
      <c r="T474" s="6" t="n">
        <f aca="false">AC474-Assumptions!$B$29</f>
        <v>158145.186454958</v>
      </c>
      <c r="U474" s="6" t="n">
        <f aca="false">AD474-Assumptions!$B$29</f>
        <v>121724.846551112</v>
      </c>
      <c r="V474" s="6" t="n">
        <f aca="false">AE474-Assumptions!$B$29</f>
        <v>75650.4044331151</v>
      </c>
      <c r="W474" s="6" t="n">
        <f aca="false">M474*(1+C474)</f>
        <v>425820.095259692</v>
      </c>
      <c r="X474" s="6" t="n">
        <f aca="false">N474*(1+D474)</f>
        <v>389398.156030803</v>
      </c>
      <c r="Y474" s="6" t="n">
        <f aca="false">O474*(1+E474)</f>
        <v>366798.901995333</v>
      </c>
      <c r="Z474" s="6" t="n">
        <f aca="false">P474*(1+F474)</f>
        <v>343514.767149694</v>
      </c>
      <c r="AA474" s="6" t="n">
        <f aca="false">Q474*(1+G474)</f>
        <v>293007.605017388</v>
      </c>
      <c r="AB474" s="6" t="n">
        <f aca="false">R474*(1+H474)</f>
        <v>253151.900845275</v>
      </c>
      <c r="AC474" s="6" t="n">
        <f aca="false">S474*(1+I474)</f>
        <v>208145.186454958</v>
      </c>
      <c r="AD474" s="6" t="n">
        <f aca="false">T474*(1+J474)</f>
        <v>171724.846551112</v>
      </c>
      <c r="AE474" s="6" t="n">
        <f aca="false">U474*(1+K474)</f>
        <v>125650.404433115</v>
      </c>
      <c r="AF474" s="6" t="n">
        <f aca="false">V474*(1+L474)</f>
        <v>76369.4204818461</v>
      </c>
      <c r="AG474" s="6" t="n">
        <f aca="false">MIN(M474:V474)</f>
        <v>75650.4044331151</v>
      </c>
      <c r="AH474" s="19" t="n">
        <f aca="false">IF(AG474&gt;=0,1,0)</f>
        <v>1</v>
      </c>
    </row>
    <row r="475" customFormat="false" ht="15" hidden="false" customHeight="false" outlineLevel="0" collapsed="false">
      <c r="A475" s="0" t="n">
        <f aca="false">ROW()-1</f>
        <v>474</v>
      </c>
      <c r="B475" s="6" t="n">
        <f aca="false">Assumptions!$B$35</f>
        <v>441263.996662504</v>
      </c>
      <c r="C475" s="8" t="n">
        <f aca="true">NORMINV(RAND(),Assumptions!$B$14,Assumptions!$B$15)</f>
        <v>0.0110288606745558</v>
      </c>
      <c r="D475" s="8" t="n">
        <f aca="true">NORMINV(RAND(),Assumptions!$B$14,Assumptions!$B$15)</f>
        <v>0.0669138098817866</v>
      </c>
      <c r="E475" s="8" t="n">
        <f aca="true">NORMINV(RAND(),Assumptions!$B$14,Assumptions!$B$15)</f>
        <v>0.0852795827806274</v>
      </c>
      <c r="F475" s="8" t="n">
        <f aca="true">NORMINV(RAND(),Assumptions!$B$14,Assumptions!$B$15)</f>
        <v>0.0972445805733985</v>
      </c>
      <c r="G475" s="8" t="n">
        <f aca="true">NORMINV(RAND(),Assumptions!$B$14,Assumptions!$B$15)</f>
        <v>0.0443187503264342</v>
      </c>
      <c r="H475" s="8" t="n">
        <f aca="true">NORMINV(RAND(),Assumptions!$B$14,Assumptions!$B$15)</f>
        <v>0.0655518415547887</v>
      </c>
      <c r="I475" s="8" t="n">
        <f aca="true">NORMINV(RAND(),Assumptions!$B$14,Assumptions!$B$15)</f>
        <v>0.0818084495785797</v>
      </c>
      <c r="J475" s="8" t="n">
        <f aca="true">NORMINV(RAND(),Assumptions!$B$14,Assumptions!$B$15)</f>
        <v>0.061521605010968</v>
      </c>
      <c r="K475" s="8" t="n">
        <f aca="true">NORMINV(RAND(),Assumptions!$B$14,Assumptions!$B$15)</f>
        <v>0.0988956267878716</v>
      </c>
      <c r="L475" s="8" t="n">
        <f aca="true">NORMINV(RAND(),Assumptions!$B$14,Assumptions!$B$15)</f>
        <v>0.0351937500265588</v>
      </c>
      <c r="M475" s="6" t="n">
        <f aca="false">B475-Assumptions!$B$29</f>
        <v>391263.996662504</v>
      </c>
      <c r="N475" s="6" t="n">
        <f aca="false">W475-Assumptions!$B$29</f>
        <v>345579.192768664</v>
      </c>
      <c r="O475" s="6" t="n">
        <f aca="false">X475-Assumptions!$B$29</f>
        <v>318703.213172688</v>
      </c>
      <c r="P475" s="6" t="n">
        <f aca="false">Y475-Assumptions!$B$29</f>
        <v>295882.0902229</v>
      </c>
      <c r="Q475" s="6" t="n">
        <f aca="false">Z475-Assumptions!$B$29</f>
        <v>274655.019985806</v>
      </c>
      <c r="R475" s="6" t="n">
        <f aca="false">AA475-Assumptions!$B$29</f>
        <v>236827.387242459</v>
      </c>
      <c r="S475" s="6" t="n">
        <f aca="false">AB475-Assumptions!$B$29</f>
        <v>202351.858606811</v>
      </c>
      <c r="T475" s="6" t="n">
        <f aca="false">AC475-Assumptions!$B$29</f>
        <v>168905.950428779</v>
      </c>
      <c r="U475" s="6" t="n">
        <f aca="false">AD475-Assumptions!$B$29</f>
        <v>129297.31559506</v>
      </c>
      <c r="V475" s="6" t="n">
        <f aca="false">AE475-Assumptions!$B$29</f>
        <v>92084.2546628228</v>
      </c>
      <c r="W475" s="6" t="n">
        <f aca="false">M475*(1+C475)</f>
        <v>395579.192768664</v>
      </c>
      <c r="X475" s="6" t="n">
        <f aca="false">N475*(1+D475)</f>
        <v>368703.213172688</v>
      </c>
      <c r="Y475" s="6" t="n">
        <f aca="false">O475*(1+E475)</f>
        <v>345882.0902229</v>
      </c>
      <c r="Z475" s="6" t="n">
        <f aca="false">P475*(1+F475)</f>
        <v>324655.019985806</v>
      </c>
      <c r="AA475" s="6" t="n">
        <f aca="false">Q475*(1+G475)</f>
        <v>286827.387242459</v>
      </c>
      <c r="AB475" s="6" t="n">
        <f aca="false">R475*(1+H475)</f>
        <v>252351.858606811</v>
      </c>
      <c r="AC475" s="6" t="n">
        <f aca="false">S475*(1+I475)</f>
        <v>218905.950428779</v>
      </c>
      <c r="AD475" s="6" t="n">
        <f aca="false">T475*(1+J475)</f>
        <v>179297.31559506</v>
      </c>
      <c r="AE475" s="6" t="n">
        <f aca="false">U475*(1+K475)</f>
        <v>142084.254662823</v>
      </c>
      <c r="AF475" s="6" t="n">
        <f aca="false">V475*(1+L475)</f>
        <v>95325.0449028081</v>
      </c>
      <c r="AG475" s="6" t="n">
        <f aca="false">MIN(M475:V475)</f>
        <v>92084.2546628228</v>
      </c>
      <c r="AH475" s="19" t="n">
        <f aca="false">IF(AG475&gt;=0,1,0)</f>
        <v>1</v>
      </c>
    </row>
    <row r="476" customFormat="false" ht="15" hidden="false" customHeight="false" outlineLevel="0" collapsed="false">
      <c r="A476" s="0" t="n">
        <f aca="false">ROW()-1</f>
        <v>475</v>
      </c>
      <c r="B476" s="6" t="n">
        <f aca="false">Assumptions!$B$35</f>
        <v>441263.996662504</v>
      </c>
      <c r="C476" s="8" t="n">
        <f aca="true">NORMINV(RAND(),Assumptions!$B$14,Assumptions!$B$15)</f>
        <v>0.0528542559199783</v>
      </c>
      <c r="D476" s="8" t="n">
        <f aca="true">NORMINV(RAND(),Assumptions!$B$14,Assumptions!$B$15)</f>
        <v>0.0464078891488068</v>
      </c>
      <c r="E476" s="8" t="n">
        <f aca="true">NORMINV(RAND(),Assumptions!$B$14,Assumptions!$B$15)</f>
        <v>0.0915611463809521</v>
      </c>
      <c r="F476" s="8" t="n">
        <f aca="true">NORMINV(RAND(),Assumptions!$B$14,Assumptions!$B$15)</f>
        <v>0.0599097060381296</v>
      </c>
      <c r="G476" s="8" t="n">
        <f aca="true">NORMINV(RAND(),Assumptions!$B$14,Assumptions!$B$15)</f>
        <v>0.0431138516410626</v>
      </c>
      <c r="H476" s="8" t="n">
        <f aca="true">NORMINV(RAND(),Assumptions!$B$14,Assumptions!$B$15)</f>
        <v>0.101132360824355</v>
      </c>
      <c r="I476" s="8" t="n">
        <f aca="true">NORMINV(RAND(),Assumptions!$B$14,Assumptions!$B$15)</f>
        <v>0.00336983648748709</v>
      </c>
      <c r="J476" s="8" t="n">
        <f aca="true">NORMINV(RAND(),Assumptions!$B$14,Assumptions!$B$15)</f>
        <v>0.02233671021048</v>
      </c>
      <c r="K476" s="8" t="n">
        <f aca="true">NORMINV(RAND(),Assumptions!$B$14,Assumptions!$B$15)</f>
        <v>0.0548834405794574</v>
      </c>
      <c r="L476" s="8" t="n">
        <f aca="true">NORMINV(RAND(),Assumptions!$B$14,Assumptions!$B$15)</f>
        <v>0.0201772967221774</v>
      </c>
      <c r="M476" s="6" t="n">
        <f aca="false">B476-Assumptions!$B$29</f>
        <v>391263.996662504</v>
      </c>
      <c r="N476" s="6" t="n">
        <f aca="false">W476-Assumptions!$B$29</f>
        <v>361943.964074377</v>
      </c>
      <c r="O476" s="6" t="n">
        <f aca="false">X476-Assumptions!$B$29</f>
        <v>328741.019437221</v>
      </c>
      <c r="P476" s="6" t="n">
        <f aca="false">Y476-Assumptions!$B$29</f>
        <v>308840.924039335</v>
      </c>
      <c r="Q476" s="6" t="n">
        <f aca="false">Z476-Assumptions!$B$29</f>
        <v>277343.493011076</v>
      </c>
      <c r="R476" s="6" t="n">
        <f aca="false">AA476-Assumptions!$B$29</f>
        <v>239300.83922237</v>
      </c>
      <c r="S476" s="6" t="n">
        <f aca="false">AB476-Assumptions!$B$29</f>
        <v>213501.898040177</v>
      </c>
      <c r="T476" s="6" t="n">
        <f aca="false">AC476-Assumptions!$B$29</f>
        <v>164221.364526341</v>
      </c>
      <c r="U476" s="6" t="n">
        <f aca="false">AD476-Assumptions!$B$29</f>
        <v>117889.529556135</v>
      </c>
      <c r="V476" s="6" t="n">
        <f aca="false">AE476-Assumptions!$B$29</f>
        <v>74359.7125464697</v>
      </c>
      <c r="W476" s="6" t="n">
        <f aca="false">M476*(1+C476)</f>
        <v>411943.964074377</v>
      </c>
      <c r="X476" s="6" t="n">
        <f aca="false">N476*(1+D476)</f>
        <v>378741.019437221</v>
      </c>
      <c r="Y476" s="6" t="n">
        <f aca="false">O476*(1+E476)</f>
        <v>358840.924039335</v>
      </c>
      <c r="Z476" s="6" t="n">
        <f aca="false">P476*(1+F476)</f>
        <v>327343.493011076</v>
      </c>
      <c r="AA476" s="6" t="n">
        <f aca="false">Q476*(1+G476)</f>
        <v>289300.83922237</v>
      </c>
      <c r="AB476" s="6" t="n">
        <f aca="false">R476*(1+H476)</f>
        <v>263501.898040177</v>
      </c>
      <c r="AC476" s="6" t="n">
        <f aca="false">S476*(1+I476)</f>
        <v>214221.364526341</v>
      </c>
      <c r="AD476" s="6" t="n">
        <f aca="false">T476*(1+J476)</f>
        <v>167889.529556135</v>
      </c>
      <c r="AE476" s="6" t="n">
        <f aca="false">U476*(1+K476)</f>
        <v>124359.71254647</v>
      </c>
      <c r="AF476" s="6" t="n">
        <f aca="false">V476*(1+L476)</f>
        <v>75860.0905306956</v>
      </c>
      <c r="AG476" s="6" t="n">
        <f aca="false">MIN(M476:V476)</f>
        <v>74359.7125464697</v>
      </c>
      <c r="AH476" s="19" t="n">
        <f aca="false">IF(AG476&gt;=0,1,0)</f>
        <v>1</v>
      </c>
    </row>
    <row r="477" customFormat="false" ht="15" hidden="false" customHeight="false" outlineLevel="0" collapsed="false">
      <c r="A477" s="0" t="n">
        <f aca="false">ROW()-1</f>
        <v>476</v>
      </c>
      <c r="B477" s="6" t="n">
        <f aca="false">Assumptions!$B$35</f>
        <v>441263.996662504</v>
      </c>
      <c r="C477" s="8" t="n">
        <f aca="true">NORMINV(RAND(),Assumptions!$B$14,Assumptions!$B$15)</f>
        <v>0.0438609481575752</v>
      </c>
      <c r="D477" s="8" t="n">
        <f aca="true">NORMINV(RAND(),Assumptions!$B$14,Assumptions!$B$15)</f>
        <v>0.101017269109346</v>
      </c>
      <c r="E477" s="8" t="n">
        <f aca="true">NORMINV(RAND(),Assumptions!$B$14,Assumptions!$B$15)</f>
        <v>0.0393663160807277</v>
      </c>
      <c r="F477" s="8" t="n">
        <f aca="true">NORMINV(RAND(),Assumptions!$B$14,Assumptions!$B$15)</f>
        <v>0.0656506048330711</v>
      </c>
      <c r="G477" s="8" t="n">
        <f aca="true">NORMINV(RAND(),Assumptions!$B$14,Assumptions!$B$15)</f>
        <v>0.0932514302769823</v>
      </c>
      <c r="H477" s="8" t="n">
        <f aca="true">NORMINV(RAND(),Assumptions!$B$14,Assumptions!$B$15)</f>
        <v>0.0354547464473059</v>
      </c>
      <c r="I477" s="8" t="n">
        <f aca="true">NORMINV(RAND(),Assumptions!$B$14,Assumptions!$B$15)</f>
        <v>0.0640833167325758</v>
      </c>
      <c r="J477" s="8" t="n">
        <f aca="true">NORMINV(RAND(),Assumptions!$B$14,Assumptions!$B$15)</f>
        <v>0.0327947157520221</v>
      </c>
      <c r="K477" s="8" t="n">
        <f aca="true">NORMINV(RAND(),Assumptions!$B$14,Assumptions!$B$15)</f>
        <v>0.0457931810043732</v>
      </c>
      <c r="L477" s="8" t="n">
        <f aca="true">NORMINV(RAND(),Assumptions!$B$14,Assumptions!$B$15)</f>
        <v>0.0952791865921188</v>
      </c>
      <c r="M477" s="6" t="n">
        <f aca="false">B477-Assumptions!$B$29</f>
        <v>391263.996662504</v>
      </c>
      <c r="N477" s="6" t="n">
        <f aca="false">W477-Assumptions!$B$29</f>
        <v>358425.206536043</v>
      </c>
      <c r="O477" s="6" t="n">
        <f aca="false">X477-Assumptions!$B$29</f>
        <v>344632.342080267</v>
      </c>
      <c r="P477" s="6" t="n">
        <f aca="false">Y477-Assumptions!$B$29</f>
        <v>308199.247790241</v>
      </c>
      <c r="Q477" s="6" t="n">
        <f aca="false">Z477-Assumptions!$B$29</f>
        <v>278432.714816768</v>
      </c>
      <c r="R477" s="6" t="n">
        <f aca="false">AA477-Assumptions!$B$29</f>
        <v>254396.963709334</v>
      </c>
      <c r="S477" s="6" t="n">
        <f aca="false">AB477-Assumptions!$B$29</f>
        <v>213416.543554613</v>
      </c>
      <c r="T477" s="6" t="n">
        <f aca="false">AC477-Assumptions!$B$29</f>
        <v>177092.983511195</v>
      </c>
      <c r="U477" s="6" t="n">
        <f aca="false">AD477-Assumptions!$B$29</f>
        <v>132900.697567122</v>
      </c>
      <c r="V477" s="6" t="n">
        <f aca="false">AE477-Assumptions!$B$29</f>
        <v>88986.643266421</v>
      </c>
      <c r="W477" s="6" t="n">
        <f aca="false">M477*(1+C477)</f>
        <v>408425.206536043</v>
      </c>
      <c r="X477" s="6" t="n">
        <f aca="false">N477*(1+D477)</f>
        <v>394632.342080267</v>
      </c>
      <c r="Y477" s="6" t="n">
        <f aca="false">O477*(1+E477)</f>
        <v>358199.247790241</v>
      </c>
      <c r="Z477" s="6" t="n">
        <f aca="false">P477*(1+F477)</f>
        <v>328432.714816768</v>
      </c>
      <c r="AA477" s="6" t="n">
        <f aca="false">Q477*(1+G477)</f>
        <v>304396.963709334</v>
      </c>
      <c r="AB477" s="6" t="n">
        <f aca="false">R477*(1+H477)</f>
        <v>263416.543554613</v>
      </c>
      <c r="AC477" s="6" t="n">
        <f aca="false">S477*(1+I477)</f>
        <v>227092.983511195</v>
      </c>
      <c r="AD477" s="6" t="n">
        <f aca="false">T477*(1+J477)</f>
        <v>182900.697567122</v>
      </c>
      <c r="AE477" s="6" t="n">
        <f aca="false">U477*(1+K477)</f>
        <v>138986.643266421</v>
      </c>
      <c r="AF477" s="6" t="n">
        <f aca="false">V477*(1+L477)</f>
        <v>97465.2182544086</v>
      </c>
      <c r="AG477" s="6" t="n">
        <f aca="false">MIN(M477:V477)</f>
        <v>88986.643266421</v>
      </c>
      <c r="AH477" s="19" t="n">
        <f aca="false">IF(AG477&gt;=0,1,0)</f>
        <v>1</v>
      </c>
    </row>
    <row r="478" customFormat="false" ht="15" hidden="false" customHeight="false" outlineLevel="0" collapsed="false">
      <c r="A478" s="0" t="n">
        <f aca="false">ROW()-1</f>
        <v>477</v>
      </c>
      <c r="B478" s="6" t="n">
        <f aca="false">Assumptions!$B$35</f>
        <v>441263.996662504</v>
      </c>
      <c r="C478" s="8" t="n">
        <f aca="true">NORMINV(RAND(),Assumptions!$B$14,Assumptions!$B$15)</f>
        <v>0.0954281974997042</v>
      </c>
      <c r="D478" s="8" t="n">
        <f aca="true">NORMINV(RAND(),Assumptions!$B$14,Assumptions!$B$15)</f>
        <v>0.065417195320154</v>
      </c>
      <c r="E478" s="8" t="n">
        <f aca="true">NORMINV(RAND(),Assumptions!$B$14,Assumptions!$B$15)</f>
        <v>0.0456347297705042</v>
      </c>
      <c r="F478" s="8" t="n">
        <f aca="true">NORMINV(RAND(),Assumptions!$B$14,Assumptions!$B$15)</f>
        <v>0.0549107368309242</v>
      </c>
      <c r="G478" s="8" t="n">
        <f aca="true">NORMINV(RAND(),Assumptions!$B$14,Assumptions!$B$15)</f>
        <v>0.0667262305882253</v>
      </c>
      <c r="H478" s="8" t="n">
        <f aca="true">NORMINV(RAND(),Assumptions!$B$14,Assumptions!$B$15)</f>
        <v>0.0457686879742056</v>
      </c>
      <c r="I478" s="8" t="n">
        <f aca="true">NORMINV(RAND(),Assumptions!$B$14,Assumptions!$B$15)</f>
        <v>0.00258509767470901</v>
      </c>
      <c r="J478" s="8" t="n">
        <f aca="true">NORMINV(RAND(),Assumptions!$B$14,Assumptions!$B$15)</f>
        <v>0.0228382787287884</v>
      </c>
      <c r="K478" s="8" t="n">
        <f aca="true">NORMINV(RAND(),Assumptions!$B$14,Assumptions!$B$15)</f>
        <v>0.0744809954912365</v>
      </c>
      <c r="L478" s="8" t="n">
        <f aca="true">NORMINV(RAND(),Assumptions!$B$14,Assumptions!$B$15)</f>
        <v>0.028425498203055</v>
      </c>
      <c r="M478" s="6" t="n">
        <f aca="false">B478-Assumptions!$B$29</f>
        <v>391263.996662504</v>
      </c>
      <c r="N478" s="6" t="n">
        <f aca="false">W478-Assumptions!$B$29</f>
        <v>378601.614610537</v>
      </c>
      <c r="O478" s="6" t="n">
        <f aca="false">X478-Assumptions!$B$29</f>
        <v>353368.67038204</v>
      </c>
      <c r="P478" s="6" t="n">
        <f aca="false">Y478-Assumptions!$B$29</f>
        <v>319494.554164286</v>
      </c>
      <c r="Q478" s="6" t="n">
        <f aca="false">Z478-Assumptions!$B$29</f>
        <v>287038.235546915</v>
      </c>
      <c r="R478" s="6" t="n">
        <f aca="false">AA478-Assumptions!$B$29</f>
        <v>256191.215039656</v>
      </c>
      <c r="S478" s="6" t="n">
        <f aca="false">AB478-Assumptions!$B$29</f>
        <v>217916.750822538</v>
      </c>
      <c r="T478" s="6" t="n">
        <f aca="false">AC478-Assumptions!$B$29</f>
        <v>168480.08690837</v>
      </c>
      <c r="U478" s="6" t="n">
        <f aca="false">AD478-Assumptions!$B$29</f>
        <v>122327.882093434</v>
      </c>
      <c r="V478" s="6" t="n">
        <f aca="false">AE478-Assumptions!$B$29</f>
        <v>81438.9845280871</v>
      </c>
      <c r="W478" s="6" t="n">
        <f aca="false">M478*(1+C478)</f>
        <v>428601.614610537</v>
      </c>
      <c r="X478" s="6" t="n">
        <f aca="false">N478*(1+D478)</f>
        <v>403368.67038204</v>
      </c>
      <c r="Y478" s="6" t="n">
        <f aca="false">O478*(1+E478)</f>
        <v>369494.554164286</v>
      </c>
      <c r="Z478" s="6" t="n">
        <f aca="false">P478*(1+F478)</f>
        <v>337038.235546915</v>
      </c>
      <c r="AA478" s="6" t="n">
        <f aca="false">Q478*(1+G478)</f>
        <v>306191.215039656</v>
      </c>
      <c r="AB478" s="6" t="n">
        <f aca="false">R478*(1+H478)</f>
        <v>267916.750822538</v>
      </c>
      <c r="AC478" s="6" t="n">
        <f aca="false">S478*(1+I478)</f>
        <v>218480.08690837</v>
      </c>
      <c r="AD478" s="6" t="n">
        <f aca="false">T478*(1+J478)</f>
        <v>172327.882093434</v>
      </c>
      <c r="AE478" s="6" t="n">
        <f aca="false">U478*(1+K478)</f>
        <v>131438.984528087</v>
      </c>
      <c r="AF478" s="6" t="n">
        <f aca="false">V478*(1+L478)</f>
        <v>83753.9282364489</v>
      </c>
      <c r="AG478" s="6" t="n">
        <f aca="false">MIN(M478:V478)</f>
        <v>81438.9845280871</v>
      </c>
      <c r="AH478" s="19" t="n">
        <f aca="false">IF(AG478&gt;=0,1,0)</f>
        <v>1</v>
      </c>
    </row>
    <row r="479" customFormat="false" ht="15" hidden="false" customHeight="false" outlineLevel="0" collapsed="false">
      <c r="A479" s="0" t="n">
        <f aca="false">ROW()-1</f>
        <v>478</v>
      </c>
      <c r="B479" s="6" t="n">
        <f aca="false">Assumptions!$B$35</f>
        <v>441263.996662504</v>
      </c>
      <c r="C479" s="8" t="n">
        <f aca="true">NORMINV(RAND(),Assumptions!$B$14,Assumptions!$B$15)</f>
        <v>0.0832912203789659</v>
      </c>
      <c r="D479" s="8" t="n">
        <f aca="true">NORMINV(RAND(),Assumptions!$B$14,Assumptions!$B$15)</f>
        <v>0.0450227461117625</v>
      </c>
      <c r="E479" s="8" t="n">
        <f aca="true">NORMINV(RAND(),Assumptions!$B$14,Assumptions!$B$15)</f>
        <v>0.0541709059594163</v>
      </c>
      <c r="F479" s="8" t="n">
        <f aca="true">NORMINV(RAND(),Assumptions!$B$14,Assumptions!$B$15)</f>
        <v>0.0583959636319054</v>
      </c>
      <c r="G479" s="8" t="n">
        <f aca="true">NORMINV(RAND(),Assumptions!$B$14,Assumptions!$B$15)</f>
        <v>0.0355477939093996</v>
      </c>
      <c r="H479" s="8" t="n">
        <f aca="true">NORMINV(RAND(),Assumptions!$B$14,Assumptions!$B$15)</f>
        <v>0.0443883303034468</v>
      </c>
      <c r="I479" s="8" t="n">
        <f aca="true">NORMINV(RAND(),Assumptions!$B$14,Assumptions!$B$15)</f>
        <v>0.0347964647775216</v>
      </c>
      <c r="J479" s="8" t="n">
        <f aca="true">NORMINV(RAND(),Assumptions!$B$14,Assumptions!$B$15)</f>
        <v>0.0318265436832675</v>
      </c>
      <c r="K479" s="8" t="n">
        <f aca="true">NORMINV(RAND(),Assumptions!$B$14,Assumptions!$B$15)</f>
        <v>0.0255521894851935</v>
      </c>
      <c r="L479" s="8" t="n">
        <f aca="true">NORMINV(RAND(),Assumptions!$B$14,Assumptions!$B$15)</f>
        <v>-0.0192686896792678</v>
      </c>
      <c r="M479" s="6" t="n">
        <f aca="false">B479-Assumptions!$B$29</f>
        <v>391263.996662504</v>
      </c>
      <c r="N479" s="6" t="n">
        <f aca="false">W479-Assumptions!$B$29</f>
        <v>373852.852434875</v>
      </c>
      <c r="O479" s="6" t="n">
        <f aca="false">X479-Assumptions!$B$29</f>
        <v>340684.734493209</v>
      </c>
      <c r="P479" s="6" t="n">
        <f aca="false">Y479-Assumptions!$B$29</f>
        <v>309139.935207249</v>
      </c>
      <c r="Q479" s="6" t="n">
        <f aca="false">Z479-Assumptions!$B$29</f>
        <v>277192.459620781</v>
      </c>
      <c r="R479" s="6" t="n">
        <f aca="false">AA479-Assumptions!$B$29</f>
        <v>237046.04004862</v>
      </c>
      <c r="S479" s="6" t="n">
        <f aca="false">AB479-Assumptions!$B$29</f>
        <v>197568.117971422</v>
      </c>
      <c r="T479" s="6" t="n">
        <f aca="false">AC479-Assumptions!$B$29</f>
        <v>154442.790029576</v>
      </c>
      <c r="U479" s="6" t="n">
        <f aca="false">AD479-Assumptions!$B$29</f>
        <v>109358.170233018</v>
      </c>
      <c r="V479" s="6" t="n">
        <f aca="false">AE479-Assumptions!$B$29</f>
        <v>62152.5109205664</v>
      </c>
      <c r="W479" s="6" t="n">
        <f aca="false">M479*(1+C479)</f>
        <v>423852.852434875</v>
      </c>
      <c r="X479" s="6" t="n">
        <f aca="false">N479*(1+D479)</f>
        <v>390684.734493209</v>
      </c>
      <c r="Y479" s="6" t="n">
        <f aca="false">O479*(1+E479)</f>
        <v>359139.935207249</v>
      </c>
      <c r="Z479" s="6" t="n">
        <f aca="false">P479*(1+F479)</f>
        <v>327192.459620781</v>
      </c>
      <c r="AA479" s="6" t="n">
        <f aca="false">Q479*(1+G479)</f>
        <v>287046.04004862</v>
      </c>
      <c r="AB479" s="6" t="n">
        <f aca="false">R479*(1+H479)</f>
        <v>247568.117971422</v>
      </c>
      <c r="AC479" s="6" t="n">
        <f aca="false">S479*(1+I479)</f>
        <v>204442.790029576</v>
      </c>
      <c r="AD479" s="6" t="n">
        <f aca="false">T479*(1+J479)</f>
        <v>159358.170233018</v>
      </c>
      <c r="AE479" s="6" t="n">
        <f aca="false">U479*(1+K479)</f>
        <v>112152.510920566</v>
      </c>
      <c r="AF479" s="6" t="n">
        <f aca="false">V479*(1+L479)</f>
        <v>60954.9134748507</v>
      </c>
      <c r="AG479" s="6" t="n">
        <f aca="false">MIN(M479:V479)</f>
        <v>62152.5109205664</v>
      </c>
      <c r="AH479" s="19" t="n">
        <f aca="false">IF(AG479&gt;=0,1,0)</f>
        <v>1</v>
      </c>
    </row>
    <row r="480" customFormat="false" ht="15" hidden="false" customHeight="false" outlineLevel="0" collapsed="false">
      <c r="A480" s="0" t="n">
        <f aca="false">ROW()-1</f>
        <v>479</v>
      </c>
      <c r="B480" s="6" t="n">
        <f aca="false">Assumptions!$B$35</f>
        <v>441263.996662504</v>
      </c>
      <c r="C480" s="8" t="n">
        <f aca="true">NORMINV(RAND(),Assumptions!$B$14,Assumptions!$B$15)</f>
        <v>0.000250712436790604</v>
      </c>
      <c r="D480" s="8" t="n">
        <f aca="true">NORMINV(RAND(),Assumptions!$B$14,Assumptions!$B$15)</f>
        <v>0.0430112070744907</v>
      </c>
      <c r="E480" s="8" t="n">
        <f aca="true">NORMINV(RAND(),Assumptions!$B$14,Assumptions!$B$15)</f>
        <v>0.060842714894377</v>
      </c>
      <c r="F480" s="8" t="n">
        <f aca="true">NORMINV(RAND(),Assumptions!$B$14,Assumptions!$B$15)</f>
        <v>0.103259574026986</v>
      </c>
      <c r="G480" s="8" t="n">
        <f aca="true">NORMINV(RAND(),Assumptions!$B$14,Assumptions!$B$15)</f>
        <v>0.101028797797604</v>
      </c>
      <c r="H480" s="8" t="n">
        <f aca="true">NORMINV(RAND(),Assumptions!$B$14,Assumptions!$B$15)</f>
        <v>0.0840986361331953</v>
      </c>
      <c r="I480" s="8" t="n">
        <f aca="true">NORMINV(RAND(),Assumptions!$B$14,Assumptions!$B$15)</f>
        <v>0.0405744521547872</v>
      </c>
      <c r="J480" s="8" t="n">
        <f aca="true">NORMINV(RAND(),Assumptions!$B$14,Assumptions!$B$15)</f>
        <v>0.0605958351790288</v>
      </c>
      <c r="K480" s="8" t="n">
        <f aca="true">NORMINV(RAND(),Assumptions!$B$14,Assumptions!$B$15)</f>
        <v>0.0541730912785366</v>
      </c>
      <c r="L480" s="8" t="n">
        <f aca="true">NORMINV(RAND(),Assumptions!$B$14,Assumptions!$B$15)</f>
        <v>0.0102707421258432</v>
      </c>
      <c r="M480" s="6" t="n">
        <f aca="false">B480-Assumptions!$B$29</f>
        <v>391263.996662504</v>
      </c>
      <c r="N480" s="6" t="n">
        <f aca="false">W480-Assumptions!$B$29</f>
        <v>341362.091412535</v>
      </c>
      <c r="O480" s="6" t="n">
        <f aca="false">X480-Assumptions!$B$29</f>
        <v>306044.487013661</v>
      </c>
      <c r="P480" s="6" t="n">
        <f aca="false">Y480-Assumptions!$B$29</f>
        <v>274665.064482029</v>
      </c>
      <c r="Q480" s="6" t="n">
        <f aca="false">Z480-Assumptions!$B$29</f>
        <v>253026.862040538</v>
      </c>
      <c r="R480" s="6" t="n">
        <f aca="false">AA480-Assumptions!$B$29</f>
        <v>228589.861722993</v>
      </c>
      <c r="S480" s="6" t="n">
        <f aca="false">AB480-Assumptions!$B$29</f>
        <v>197813.957327773</v>
      </c>
      <c r="T480" s="6" t="n">
        <f aca="false">AC480-Assumptions!$B$29</f>
        <v>155840.150274918</v>
      </c>
      <c r="U480" s="6" t="n">
        <f aca="false">AD480-Assumptions!$B$29</f>
        <v>115283.414335252</v>
      </c>
      <c r="V480" s="6" t="n">
        <f aca="false">AE480-Assumptions!$B$29</f>
        <v>71528.6732629366</v>
      </c>
      <c r="W480" s="6" t="n">
        <f aca="false">M480*(1+C480)</f>
        <v>391362.091412535</v>
      </c>
      <c r="X480" s="6" t="n">
        <f aca="false">N480*(1+D480)</f>
        <v>356044.487013661</v>
      </c>
      <c r="Y480" s="6" t="n">
        <f aca="false">O480*(1+E480)</f>
        <v>324665.064482029</v>
      </c>
      <c r="Z480" s="6" t="n">
        <f aca="false">P480*(1+F480)</f>
        <v>303026.862040538</v>
      </c>
      <c r="AA480" s="6" t="n">
        <f aca="false">Q480*(1+G480)</f>
        <v>278589.861722993</v>
      </c>
      <c r="AB480" s="6" t="n">
        <f aca="false">R480*(1+H480)</f>
        <v>247813.957327773</v>
      </c>
      <c r="AC480" s="6" t="n">
        <f aca="false">S480*(1+I480)</f>
        <v>205840.150274918</v>
      </c>
      <c r="AD480" s="6" t="n">
        <f aca="false">T480*(1+J480)</f>
        <v>165283.414335252</v>
      </c>
      <c r="AE480" s="6" t="n">
        <f aca="false">U480*(1+K480)</f>
        <v>121528.673262937</v>
      </c>
      <c r="AF480" s="6" t="n">
        <f aca="false">V480*(1+L480)</f>
        <v>72263.325820624</v>
      </c>
      <c r="AG480" s="6" t="n">
        <f aca="false">MIN(M480:V480)</f>
        <v>71528.6732629366</v>
      </c>
      <c r="AH480" s="19" t="n">
        <f aca="false">IF(AG480&gt;=0,1,0)</f>
        <v>1</v>
      </c>
    </row>
    <row r="481" customFormat="false" ht="15" hidden="false" customHeight="false" outlineLevel="0" collapsed="false">
      <c r="A481" s="0" t="n">
        <f aca="false">ROW()-1</f>
        <v>480</v>
      </c>
      <c r="B481" s="6" t="n">
        <f aca="false">Assumptions!$B$35</f>
        <v>441263.996662504</v>
      </c>
      <c r="C481" s="8" t="n">
        <f aca="true">NORMINV(RAND(),Assumptions!$B$14,Assumptions!$B$15)</f>
        <v>0.0660078177381399</v>
      </c>
      <c r="D481" s="8" t="n">
        <f aca="true">NORMINV(RAND(),Assumptions!$B$14,Assumptions!$B$15)</f>
        <v>0.00847874729721478</v>
      </c>
      <c r="E481" s="8" t="n">
        <f aca="true">NORMINV(RAND(),Assumptions!$B$14,Assumptions!$B$15)</f>
        <v>0.116977552737073</v>
      </c>
      <c r="F481" s="8" t="n">
        <f aca="true">NORMINV(RAND(),Assumptions!$B$14,Assumptions!$B$15)</f>
        <v>0.0530942062411723</v>
      </c>
      <c r="G481" s="8" t="n">
        <f aca="true">NORMINV(RAND(),Assumptions!$B$14,Assumptions!$B$15)</f>
        <v>0.0564297267806083</v>
      </c>
      <c r="H481" s="8" t="n">
        <f aca="true">NORMINV(RAND(),Assumptions!$B$14,Assumptions!$B$15)</f>
        <v>0.0915752304427891</v>
      </c>
      <c r="I481" s="8" t="n">
        <f aca="true">NORMINV(RAND(),Assumptions!$B$14,Assumptions!$B$15)</f>
        <v>0.0224321630976672</v>
      </c>
      <c r="J481" s="8" t="n">
        <f aca="true">NORMINV(RAND(),Assumptions!$B$14,Assumptions!$B$15)</f>
        <v>0.0385589915429208</v>
      </c>
      <c r="K481" s="8" t="n">
        <f aca="true">NORMINV(RAND(),Assumptions!$B$14,Assumptions!$B$15)</f>
        <v>0.0248654585503533</v>
      </c>
      <c r="L481" s="8" t="n">
        <f aca="true">NORMINV(RAND(),Assumptions!$B$14,Assumptions!$B$15)</f>
        <v>0.0360908393380398</v>
      </c>
      <c r="M481" s="6" t="n">
        <f aca="false">B481-Assumptions!$B$29</f>
        <v>391263.996662504</v>
      </c>
      <c r="N481" s="6" t="n">
        <f aca="false">W481-Assumptions!$B$29</f>
        <v>367090.479241698</v>
      </c>
      <c r="O481" s="6" t="n">
        <f aca="false">X481-Assumptions!$B$29</f>
        <v>320202.946650402</v>
      </c>
      <c r="P481" s="6" t="n">
        <f aca="false">Y481-Assumptions!$B$29</f>
        <v>307659.503728766</v>
      </c>
      <c r="Q481" s="6" t="n">
        <f aca="false">Z481-Assumptions!$B$29</f>
        <v>273994.440871797</v>
      </c>
      <c r="R481" s="6" t="n">
        <f aca="false">AA481-Assumptions!$B$29</f>
        <v>239455.872309598</v>
      </c>
      <c r="S481" s="6" t="n">
        <f aca="false">AB481-Assumptions!$B$29</f>
        <v>211384.098997229</v>
      </c>
      <c r="T481" s="6" t="n">
        <f aca="false">AC481-Assumptions!$B$29</f>
        <v>166125.901582188</v>
      </c>
      <c r="U481" s="6" t="n">
        <f aca="false">AD481-Assumptions!$B$29</f>
        <v>122531.548816356</v>
      </c>
      <c r="V481" s="6" t="n">
        <f aca="false">AE481-Assumptions!$B$29</f>
        <v>75578.3519645596</v>
      </c>
      <c r="W481" s="6" t="n">
        <f aca="false">M481*(1+C481)</f>
        <v>417090.479241698</v>
      </c>
      <c r="X481" s="6" t="n">
        <f aca="false">N481*(1+D481)</f>
        <v>370202.946650402</v>
      </c>
      <c r="Y481" s="6" t="n">
        <f aca="false">O481*(1+E481)</f>
        <v>357659.503728766</v>
      </c>
      <c r="Z481" s="6" t="n">
        <f aca="false">P481*(1+F481)</f>
        <v>323994.440871797</v>
      </c>
      <c r="AA481" s="6" t="n">
        <f aca="false">Q481*(1+G481)</f>
        <v>289455.872309598</v>
      </c>
      <c r="AB481" s="6" t="n">
        <f aca="false">R481*(1+H481)</f>
        <v>261384.098997229</v>
      </c>
      <c r="AC481" s="6" t="n">
        <f aca="false">S481*(1+I481)</f>
        <v>216125.901582188</v>
      </c>
      <c r="AD481" s="6" t="n">
        <f aca="false">T481*(1+J481)</f>
        <v>172531.548816356</v>
      </c>
      <c r="AE481" s="6" t="n">
        <f aca="false">U481*(1+K481)</f>
        <v>125578.35196456</v>
      </c>
      <c r="AF481" s="6" t="n">
        <f aca="false">V481*(1+L481)</f>
        <v>78306.0381227463</v>
      </c>
      <c r="AG481" s="6" t="n">
        <f aca="false">MIN(M481:V481)</f>
        <v>75578.3519645596</v>
      </c>
      <c r="AH481" s="19" t="n">
        <f aca="false">IF(AG481&gt;=0,1,0)</f>
        <v>1</v>
      </c>
    </row>
    <row r="482" customFormat="false" ht="15" hidden="false" customHeight="false" outlineLevel="0" collapsed="false">
      <c r="A482" s="0" t="n">
        <f aca="false">ROW()-1</f>
        <v>481</v>
      </c>
      <c r="B482" s="6" t="n">
        <f aca="false">Assumptions!$B$35</f>
        <v>441263.996662504</v>
      </c>
      <c r="C482" s="8" t="n">
        <f aca="true">NORMINV(RAND(),Assumptions!$B$14,Assumptions!$B$15)</f>
        <v>0.0653645235588356</v>
      </c>
      <c r="D482" s="8" t="n">
        <f aca="true">NORMINV(RAND(),Assumptions!$B$14,Assumptions!$B$15)</f>
        <v>0.0560429465295362</v>
      </c>
      <c r="E482" s="8" t="n">
        <f aca="true">NORMINV(RAND(),Assumptions!$B$14,Assumptions!$B$15)</f>
        <v>0.053827349640173</v>
      </c>
      <c r="F482" s="8" t="n">
        <f aca="true">NORMINV(RAND(),Assumptions!$B$14,Assumptions!$B$15)</f>
        <v>0.06725777785114</v>
      </c>
      <c r="G482" s="8" t="n">
        <f aca="true">NORMINV(RAND(),Assumptions!$B$14,Assumptions!$B$15)</f>
        <v>0.0961057275190647</v>
      </c>
      <c r="H482" s="8" t="n">
        <f aca="true">NORMINV(RAND(),Assumptions!$B$14,Assumptions!$B$15)</f>
        <v>0.0353744812068321</v>
      </c>
      <c r="I482" s="8" t="n">
        <f aca="true">NORMINV(RAND(),Assumptions!$B$14,Assumptions!$B$15)</f>
        <v>0.0660376580731867</v>
      </c>
      <c r="J482" s="8" t="n">
        <f aca="true">NORMINV(RAND(),Assumptions!$B$14,Assumptions!$B$15)</f>
        <v>0.0459648142202468</v>
      </c>
      <c r="K482" s="8" t="n">
        <f aca="true">NORMINV(RAND(),Assumptions!$B$14,Assumptions!$B$15)</f>
        <v>0.0676841929368234</v>
      </c>
      <c r="L482" s="8" t="n">
        <f aca="true">NORMINV(RAND(),Assumptions!$B$14,Assumptions!$B$15)</f>
        <v>0.0158288205108044</v>
      </c>
      <c r="M482" s="6" t="n">
        <f aca="false">B482-Assumptions!$B$29</f>
        <v>391263.996662504</v>
      </c>
      <c r="N482" s="6" t="n">
        <f aca="false">W482-Assumptions!$B$29</f>
        <v>366838.781390074</v>
      </c>
      <c r="O482" s="6" t="n">
        <f aca="false">X482-Assumptions!$B$29</f>
        <v>337397.507600478</v>
      </c>
      <c r="P482" s="6" t="n">
        <f aca="false">Y482-Assumptions!$B$29</f>
        <v>305558.721209812</v>
      </c>
      <c r="Q482" s="6" t="n">
        <f aca="false">Z482-Assumptions!$B$29</f>
        <v>276109.92180142</v>
      </c>
      <c r="R482" s="6" t="n">
        <f aca="false">AA482-Assumptions!$B$29</f>
        <v>252645.666711377</v>
      </c>
      <c r="S482" s="6" t="n">
        <f aca="false">AB482-Assumptions!$B$29</f>
        <v>211582.876100447</v>
      </c>
      <c r="T482" s="6" t="n">
        <f aca="false">AC482-Assumptions!$B$29</f>
        <v>175555.313726509</v>
      </c>
      <c r="U482" s="6" t="n">
        <f aca="false">AD482-Assumptions!$B$29</f>
        <v>133624.681107325</v>
      </c>
      <c r="V482" s="6" t="n">
        <f aca="false">AE482-Assumptions!$B$29</f>
        <v>92668.9598045152</v>
      </c>
      <c r="W482" s="6" t="n">
        <f aca="false">M482*(1+C482)</f>
        <v>416838.781390074</v>
      </c>
      <c r="X482" s="6" t="n">
        <f aca="false">N482*(1+D482)</f>
        <v>387397.507600478</v>
      </c>
      <c r="Y482" s="6" t="n">
        <f aca="false">O482*(1+E482)</f>
        <v>355558.721209812</v>
      </c>
      <c r="Z482" s="6" t="n">
        <f aca="false">P482*(1+F482)</f>
        <v>326109.92180142</v>
      </c>
      <c r="AA482" s="6" t="n">
        <f aca="false">Q482*(1+G482)</f>
        <v>302645.666711377</v>
      </c>
      <c r="AB482" s="6" t="n">
        <f aca="false">R482*(1+H482)</f>
        <v>261582.876100447</v>
      </c>
      <c r="AC482" s="6" t="n">
        <f aca="false">S482*(1+I482)</f>
        <v>225555.313726509</v>
      </c>
      <c r="AD482" s="6" t="n">
        <f aca="false">T482*(1+J482)</f>
        <v>183624.681107325</v>
      </c>
      <c r="AE482" s="6" t="n">
        <f aca="false">U482*(1+K482)</f>
        <v>142668.959804515</v>
      </c>
      <c r="AF482" s="6" t="n">
        <f aca="false">V482*(1+L482)</f>
        <v>94135.8001361838</v>
      </c>
      <c r="AG482" s="6" t="n">
        <f aca="false">MIN(M482:V482)</f>
        <v>92668.9598045152</v>
      </c>
      <c r="AH482" s="19" t="n">
        <f aca="false">IF(AG482&gt;=0,1,0)</f>
        <v>1</v>
      </c>
    </row>
    <row r="483" customFormat="false" ht="15" hidden="false" customHeight="false" outlineLevel="0" collapsed="false">
      <c r="A483" s="0" t="n">
        <f aca="false">ROW()-1</f>
        <v>482</v>
      </c>
      <c r="B483" s="6" t="n">
        <f aca="false">Assumptions!$B$35</f>
        <v>441263.996662504</v>
      </c>
      <c r="C483" s="8" t="n">
        <f aca="true">NORMINV(RAND(),Assumptions!$B$14,Assumptions!$B$15)</f>
        <v>0.0616565539343595</v>
      </c>
      <c r="D483" s="8" t="n">
        <f aca="true">NORMINV(RAND(),Assumptions!$B$14,Assumptions!$B$15)</f>
        <v>0.0509270878767412</v>
      </c>
      <c r="E483" s="8" t="n">
        <f aca="true">NORMINV(RAND(),Assumptions!$B$14,Assumptions!$B$15)</f>
        <v>0.0854306144322222</v>
      </c>
      <c r="F483" s="8" t="n">
        <f aca="true">NORMINV(RAND(),Assumptions!$B$14,Assumptions!$B$15)</f>
        <v>0.0745238525611744</v>
      </c>
      <c r="G483" s="8" t="n">
        <f aca="true">NORMINV(RAND(),Assumptions!$B$14,Assumptions!$B$15)</f>
        <v>0.0919690114121758</v>
      </c>
      <c r="H483" s="8" t="n">
        <f aca="true">NORMINV(RAND(),Assumptions!$B$14,Assumptions!$B$15)</f>
        <v>0.0747420810812041</v>
      </c>
      <c r="I483" s="8" t="n">
        <f aca="true">NORMINV(RAND(),Assumptions!$B$14,Assumptions!$B$15)</f>
        <v>0.0859381065204462</v>
      </c>
      <c r="J483" s="8" t="n">
        <f aca="true">NORMINV(RAND(),Assumptions!$B$14,Assumptions!$B$15)</f>
        <v>0.117097253523336</v>
      </c>
      <c r="K483" s="8" t="n">
        <f aca="true">NORMINV(RAND(),Assumptions!$B$14,Assumptions!$B$15)</f>
        <v>0.0302351837392727</v>
      </c>
      <c r="L483" s="8" t="n">
        <f aca="true">NORMINV(RAND(),Assumptions!$B$14,Assumptions!$B$15)</f>
        <v>0.0790171649313645</v>
      </c>
      <c r="M483" s="6" t="n">
        <f aca="false">B483-Assumptions!$B$29</f>
        <v>391263.996662504</v>
      </c>
      <c r="N483" s="6" t="n">
        <f aca="false">W483-Assumptions!$B$29</f>
        <v>365387.986375298</v>
      </c>
      <c r="O483" s="6" t="n">
        <f aca="false">X483-Assumptions!$B$29</f>
        <v>333996.132466538</v>
      </c>
      <c r="P483" s="6" t="n">
        <f aca="false">Y483-Assumptions!$B$29</f>
        <v>312529.627281141</v>
      </c>
      <c r="Q483" s="6" t="n">
        <f aca="false">Z483-Assumptions!$B$29</f>
        <v>285820.539145639</v>
      </c>
      <c r="R483" s="6" t="n">
        <f aca="false">AA483-Assumptions!$B$29</f>
        <v>262107.171572159</v>
      </c>
      <c r="S483" s="6" t="n">
        <f aca="false">AB483-Assumptions!$B$29</f>
        <v>231697.60704177</v>
      </c>
      <c r="T483" s="6" t="n">
        <f aca="false">AC483-Assumptions!$B$29</f>
        <v>201609.260676258</v>
      </c>
      <c r="U483" s="6" t="n">
        <f aca="false">AD483-Assumptions!$B$29</f>
        <v>175217.151386318</v>
      </c>
      <c r="V483" s="6" t="n">
        <f aca="false">AE483-Assumptions!$B$29</f>
        <v>130514.874152756</v>
      </c>
      <c r="W483" s="6" t="n">
        <f aca="false">M483*(1+C483)</f>
        <v>415387.986375298</v>
      </c>
      <c r="X483" s="6" t="n">
        <f aca="false">N483*(1+D483)</f>
        <v>383996.132466538</v>
      </c>
      <c r="Y483" s="6" t="n">
        <f aca="false">O483*(1+E483)</f>
        <v>362529.627281141</v>
      </c>
      <c r="Z483" s="6" t="n">
        <f aca="false">P483*(1+F483)</f>
        <v>335820.539145639</v>
      </c>
      <c r="AA483" s="6" t="n">
        <f aca="false">Q483*(1+G483)</f>
        <v>312107.171572159</v>
      </c>
      <c r="AB483" s="6" t="n">
        <f aca="false">R483*(1+H483)</f>
        <v>281697.60704177</v>
      </c>
      <c r="AC483" s="6" t="n">
        <f aca="false">S483*(1+I483)</f>
        <v>251609.260676258</v>
      </c>
      <c r="AD483" s="6" t="n">
        <f aca="false">T483*(1+J483)</f>
        <v>225217.151386318</v>
      </c>
      <c r="AE483" s="6" t="n">
        <f aca="false">U483*(1+K483)</f>
        <v>180514.874152756</v>
      </c>
      <c r="AF483" s="6" t="n">
        <f aca="false">V483*(1+L483)</f>
        <v>140827.78948968</v>
      </c>
      <c r="AG483" s="6" t="n">
        <f aca="false">MIN(M483:V483)</f>
        <v>130514.874152756</v>
      </c>
      <c r="AH483" s="19" t="n">
        <f aca="false">IF(AG483&gt;=0,1,0)</f>
        <v>1</v>
      </c>
    </row>
    <row r="484" customFormat="false" ht="15" hidden="false" customHeight="false" outlineLevel="0" collapsed="false">
      <c r="A484" s="0" t="n">
        <f aca="false">ROW()-1</f>
        <v>483</v>
      </c>
      <c r="B484" s="6" t="n">
        <f aca="false">Assumptions!$B$35</f>
        <v>441263.996662504</v>
      </c>
      <c r="C484" s="8" t="n">
        <f aca="true">NORMINV(RAND(),Assumptions!$B$14,Assumptions!$B$15)</f>
        <v>0.0303853602534224</v>
      </c>
      <c r="D484" s="8" t="n">
        <f aca="true">NORMINV(RAND(),Assumptions!$B$14,Assumptions!$B$15)</f>
        <v>0.0835933927272559</v>
      </c>
      <c r="E484" s="8" t="n">
        <f aca="true">NORMINV(RAND(),Assumptions!$B$14,Assumptions!$B$15)</f>
        <v>0.0224868792978431</v>
      </c>
      <c r="F484" s="8" t="n">
        <f aca="true">NORMINV(RAND(),Assumptions!$B$14,Assumptions!$B$15)</f>
        <v>0.0417241176687493</v>
      </c>
      <c r="G484" s="8" t="n">
        <f aca="true">NORMINV(RAND(),Assumptions!$B$14,Assumptions!$B$15)</f>
        <v>0.0980684996871277</v>
      </c>
      <c r="H484" s="8" t="n">
        <f aca="true">NORMINV(RAND(),Assumptions!$B$14,Assumptions!$B$15)</f>
        <v>0.0921856504872797</v>
      </c>
      <c r="I484" s="8" t="n">
        <f aca="true">NORMINV(RAND(),Assumptions!$B$14,Assumptions!$B$15)</f>
        <v>0.0535898744250226</v>
      </c>
      <c r="J484" s="8" t="n">
        <f aca="true">NORMINV(RAND(),Assumptions!$B$14,Assumptions!$B$15)</f>
        <v>-0.0229290614214205</v>
      </c>
      <c r="K484" s="8" t="n">
        <f aca="true">NORMINV(RAND(),Assumptions!$B$14,Assumptions!$B$15)</f>
        <v>0.0153494271417925</v>
      </c>
      <c r="L484" s="8" t="n">
        <f aca="true">NORMINV(RAND(),Assumptions!$B$14,Assumptions!$B$15)</f>
        <v>0.0629820638746187</v>
      </c>
      <c r="M484" s="6" t="n">
        <f aca="false">B484-Assumptions!$B$29</f>
        <v>391263.996662504</v>
      </c>
      <c r="N484" s="6" t="n">
        <f aca="false">W484-Assumptions!$B$29</f>
        <v>353152.694155288</v>
      </c>
      <c r="O484" s="6" t="n">
        <f aca="false">X484-Assumptions!$B$29</f>
        <v>332673.926010499</v>
      </c>
      <c r="P484" s="6" t="n">
        <f aca="false">Y484-Assumptions!$B$29</f>
        <v>290154.724430237</v>
      </c>
      <c r="Q484" s="6" t="n">
        <f aca="false">Z484-Assumptions!$B$29</f>
        <v>252261.174294507</v>
      </c>
      <c r="R484" s="6" t="n">
        <f aca="false">AA484-Assumptions!$B$29</f>
        <v>227000.049186883</v>
      </c>
      <c r="S484" s="6" t="n">
        <f aca="false">AB484-Assumptions!$B$29</f>
        <v>197926.19638182</v>
      </c>
      <c r="T484" s="6" t="n">
        <f aca="false">AC484-Assumptions!$B$29</f>
        <v>158533.036391344</v>
      </c>
      <c r="U484" s="6" t="n">
        <f aca="false">AD484-Assumptions!$B$29</f>
        <v>104898.022662603</v>
      </c>
      <c r="V484" s="6" t="n">
        <f aca="false">AE484-Assumptions!$B$29</f>
        <v>56508.1472187806</v>
      </c>
      <c r="W484" s="6" t="n">
        <f aca="false">M484*(1+C484)</f>
        <v>403152.694155288</v>
      </c>
      <c r="X484" s="6" t="n">
        <f aca="false">N484*(1+D484)</f>
        <v>382673.926010499</v>
      </c>
      <c r="Y484" s="6" t="n">
        <f aca="false">O484*(1+E484)</f>
        <v>340154.724430237</v>
      </c>
      <c r="Z484" s="6" t="n">
        <f aca="false">P484*(1+F484)</f>
        <v>302261.174294508</v>
      </c>
      <c r="AA484" s="6" t="n">
        <f aca="false">Q484*(1+G484)</f>
        <v>277000.049186883</v>
      </c>
      <c r="AB484" s="6" t="n">
        <f aca="false">R484*(1+H484)</f>
        <v>247926.19638182</v>
      </c>
      <c r="AC484" s="6" t="n">
        <f aca="false">S484*(1+I484)</f>
        <v>208533.036391344</v>
      </c>
      <c r="AD484" s="6" t="n">
        <f aca="false">T484*(1+J484)</f>
        <v>154898.022662603</v>
      </c>
      <c r="AE484" s="6" t="n">
        <f aca="false">U484*(1+K484)</f>
        <v>106508.147218781</v>
      </c>
      <c r="AF484" s="6" t="n">
        <f aca="false">V484*(1+L484)</f>
        <v>60067.1469563502</v>
      </c>
      <c r="AG484" s="6" t="n">
        <f aca="false">MIN(M484:V484)</f>
        <v>56508.1472187806</v>
      </c>
      <c r="AH484" s="19" t="n">
        <f aca="false">IF(AG484&gt;=0,1,0)</f>
        <v>1</v>
      </c>
    </row>
    <row r="485" customFormat="false" ht="15" hidden="false" customHeight="false" outlineLevel="0" collapsed="false">
      <c r="A485" s="0" t="n">
        <f aca="false">ROW()-1</f>
        <v>484</v>
      </c>
      <c r="B485" s="6" t="n">
        <f aca="false">Assumptions!$B$35</f>
        <v>441263.996662504</v>
      </c>
      <c r="C485" s="8" t="n">
        <f aca="true">NORMINV(RAND(),Assumptions!$B$14,Assumptions!$B$15)</f>
        <v>0.00963501403822117</v>
      </c>
      <c r="D485" s="8" t="n">
        <f aca="true">NORMINV(RAND(),Assumptions!$B$14,Assumptions!$B$15)</f>
        <v>0.0290736527052409</v>
      </c>
      <c r="E485" s="8" t="n">
        <f aca="true">NORMINV(RAND(),Assumptions!$B$14,Assumptions!$B$15)</f>
        <v>0.0824279442119104</v>
      </c>
      <c r="F485" s="8" t="n">
        <f aca="true">NORMINV(RAND(),Assumptions!$B$14,Assumptions!$B$15)</f>
        <v>0.027898348249303</v>
      </c>
      <c r="G485" s="8" t="n">
        <f aca="true">NORMINV(RAND(),Assumptions!$B$14,Assumptions!$B$15)</f>
        <v>0.100249549514238</v>
      </c>
      <c r="H485" s="8" t="n">
        <f aca="true">NORMINV(RAND(),Assumptions!$B$14,Assumptions!$B$15)</f>
        <v>0.0310354250923081</v>
      </c>
      <c r="I485" s="8" t="n">
        <f aca="true">NORMINV(RAND(),Assumptions!$B$14,Assumptions!$B$15)</f>
        <v>0.0865979892956965</v>
      </c>
      <c r="J485" s="8" t="n">
        <f aca="true">NORMINV(RAND(),Assumptions!$B$14,Assumptions!$B$15)</f>
        <v>-0.00741416391151301</v>
      </c>
      <c r="K485" s="8" t="n">
        <f aca="true">NORMINV(RAND(),Assumptions!$B$14,Assumptions!$B$15)</f>
        <v>0.0609504131718631</v>
      </c>
      <c r="L485" s="8" t="n">
        <f aca="true">NORMINV(RAND(),Assumptions!$B$14,Assumptions!$B$15)</f>
        <v>0.0467016474369458</v>
      </c>
      <c r="M485" s="6" t="n">
        <f aca="false">B485-Assumptions!$B$29</f>
        <v>391263.996662504</v>
      </c>
      <c r="N485" s="6" t="n">
        <f aca="false">W485-Assumptions!$B$29</f>
        <v>345033.830762997</v>
      </c>
      <c r="O485" s="6" t="n">
        <f aca="false">X485-Assumptions!$B$29</f>
        <v>305065.224530159</v>
      </c>
      <c r="P485" s="6" t="n">
        <f aca="false">Y485-Assumptions!$B$29</f>
        <v>280211.123838725</v>
      </c>
      <c r="Q485" s="6" t="n">
        <f aca="false">Z485-Assumptions!$B$29</f>
        <v>238028.551354907</v>
      </c>
      <c r="R485" s="6" t="n">
        <f aca="false">AA485-Assumptions!$B$29</f>
        <v>211890.806399763</v>
      </c>
      <c r="S485" s="6" t="n">
        <f aca="false">AB485-Assumptions!$B$29</f>
        <v>168466.927649531</v>
      </c>
      <c r="T485" s="6" t="n">
        <f aca="false">AC485-Assumptions!$B$29</f>
        <v>133055.824846804</v>
      </c>
      <c r="U485" s="6" t="n">
        <f aca="false">AD485-Assumptions!$B$29</f>
        <v>82069.3271520087</v>
      </c>
      <c r="V485" s="6" t="n">
        <f aca="false">AE485-Assumptions!$B$29</f>
        <v>37071.4865506604</v>
      </c>
      <c r="W485" s="6" t="n">
        <f aca="false">M485*(1+C485)</f>
        <v>395033.830762997</v>
      </c>
      <c r="X485" s="6" t="n">
        <f aca="false">N485*(1+D485)</f>
        <v>355065.224530159</v>
      </c>
      <c r="Y485" s="6" t="n">
        <f aca="false">O485*(1+E485)</f>
        <v>330211.123838725</v>
      </c>
      <c r="Z485" s="6" t="n">
        <f aca="false">P485*(1+F485)</f>
        <v>288028.551354907</v>
      </c>
      <c r="AA485" s="6" t="n">
        <f aca="false">Q485*(1+G485)</f>
        <v>261890.806399763</v>
      </c>
      <c r="AB485" s="6" t="n">
        <f aca="false">R485*(1+H485)</f>
        <v>218466.927649531</v>
      </c>
      <c r="AC485" s="6" t="n">
        <f aca="false">S485*(1+I485)</f>
        <v>183055.824846804</v>
      </c>
      <c r="AD485" s="6" t="n">
        <f aca="false">T485*(1+J485)</f>
        <v>132069.327152009</v>
      </c>
      <c r="AE485" s="6" t="n">
        <f aca="false">U485*(1+K485)</f>
        <v>87071.4865506604</v>
      </c>
      <c r="AF485" s="6" t="n">
        <f aca="false">V485*(1+L485)</f>
        <v>38802.7860455128</v>
      </c>
      <c r="AG485" s="6" t="n">
        <f aca="false">MIN(M485:V485)</f>
        <v>37071.4865506604</v>
      </c>
      <c r="AH485" s="19" t="n">
        <f aca="false">IF(AG485&gt;=0,1,0)</f>
        <v>1</v>
      </c>
    </row>
    <row r="486" customFormat="false" ht="15" hidden="false" customHeight="false" outlineLevel="0" collapsed="false">
      <c r="A486" s="0" t="n">
        <f aca="false">ROW()-1</f>
        <v>485</v>
      </c>
      <c r="B486" s="6" t="n">
        <f aca="false">Assumptions!$B$35</f>
        <v>441263.996662504</v>
      </c>
      <c r="C486" s="8" t="n">
        <f aca="true">NORMINV(RAND(),Assumptions!$B$14,Assumptions!$B$15)</f>
        <v>0.0647960049299091</v>
      </c>
      <c r="D486" s="8" t="n">
        <f aca="true">NORMINV(RAND(),Assumptions!$B$14,Assumptions!$B$15)</f>
        <v>0.042019652041236</v>
      </c>
      <c r="E486" s="8" t="n">
        <f aca="true">NORMINV(RAND(),Assumptions!$B$14,Assumptions!$B$15)</f>
        <v>0.0268044662730382</v>
      </c>
      <c r="F486" s="8" t="n">
        <f aca="true">NORMINV(RAND(),Assumptions!$B$14,Assumptions!$B$15)</f>
        <v>0.0814635050466706</v>
      </c>
      <c r="G486" s="8" t="n">
        <f aca="true">NORMINV(RAND(),Assumptions!$B$14,Assumptions!$B$15)</f>
        <v>-0.0169530589578386</v>
      </c>
      <c r="H486" s="8" t="n">
        <f aca="true">NORMINV(RAND(),Assumptions!$B$14,Assumptions!$B$15)</f>
        <v>0.0894403908281504</v>
      </c>
      <c r="I486" s="8" t="n">
        <f aca="true">NORMINV(RAND(),Assumptions!$B$14,Assumptions!$B$15)</f>
        <v>0.0616276396111273</v>
      </c>
      <c r="J486" s="8" t="n">
        <f aca="true">NORMINV(RAND(),Assumptions!$B$14,Assumptions!$B$15)</f>
        <v>0.0817563557290928</v>
      </c>
      <c r="K486" s="8" t="n">
        <f aca="true">NORMINV(RAND(),Assumptions!$B$14,Assumptions!$B$15)</f>
        <v>0.0688778345973946</v>
      </c>
      <c r="L486" s="8" t="n">
        <f aca="true">NORMINV(RAND(),Assumptions!$B$14,Assumptions!$B$15)</f>
        <v>0.0518837515505118</v>
      </c>
      <c r="M486" s="6" t="n">
        <f aca="false">B486-Assumptions!$B$29</f>
        <v>391263.996662504</v>
      </c>
      <c r="N486" s="6" t="n">
        <f aca="false">W486-Assumptions!$B$29</f>
        <v>366616.340519143</v>
      </c>
      <c r="O486" s="6" t="n">
        <f aca="false">X486-Assumptions!$B$29</f>
        <v>332021.431580389</v>
      </c>
      <c r="P486" s="6" t="n">
        <f aca="false">Y486-Assumptions!$B$29</f>
        <v>290921.088845111</v>
      </c>
      <c r="Q486" s="6" t="n">
        <f aca="false">Z486-Assumptions!$B$29</f>
        <v>264620.540434428</v>
      </c>
      <c r="R486" s="6" t="n">
        <f aca="false">AA486-Assumptions!$B$29</f>
        <v>210134.412810988</v>
      </c>
      <c r="S486" s="6" t="n">
        <f aca="false">AB486-Assumptions!$B$29</f>
        <v>178928.916819246</v>
      </c>
      <c r="T486" s="6" t="n">
        <f aca="false">AC486-Assumptions!$B$29</f>
        <v>139955.883620992</v>
      </c>
      <c r="U486" s="6" t="n">
        <f aca="false">AD486-Assumptions!$B$29</f>
        <v>101398.16662869</v>
      </c>
      <c r="V486" s="6" t="n">
        <f aca="false">AE486-Assumptions!$B$29</f>
        <v>58382.2527782194</v>
      </c>
      <c r="W486" s="6" t="n">
        <f aca="false">M486*(1+C486)</f>
        <v>416616.340519143</v>
      </c>
      <c r="X486" s="6" t="n">
        <f aca="false">N486*(1+D486)</f>
        <v>382021.431580389</v>
      </c>
      <c r="Y486" s="6" t="n">
        <f aca="false">O486*(1+E486)</f>
        <v>340921.088845111</v>
      </c>
      <c r="Z486" s="6" t="n">
        <f aca="false">P486*(1+F486)</f>
        <v>314620.540434428</v>
      </c>
      <c r="AA486" s="6" t="n">
        <f aca="false">Q486*(1+G486)</f>
        <v>260134.412810988</v>
      </c>
      <c r="AB486" s="6" t="n">
        <f aca="false">R486*(1+H486)</f>
        <v>228928.916819246</v>
      </c>
      <c r="AC486" s="6" t="n">
        <f aca="false">S486*(1+I486)</f>
        <v>189955.883620992</v>
      </c>
      <c r="AD486" s="6" t="n">
        <f aca="false">T486*(1+J486)</f>
        <v>151398.16662869</v>
      </c>
      <c r="AE486" s="6" t="n">
        <f aca="false">U486*(1+K486)</f>
        <v>108382.252778219</v>
      </c>
      <c r="AF486" s="6" t="n">
        <f aca="false">V486*(1+L486)</f>
        <v>61411.3430763238</v>
      </c>
      <c r="AG486" s="6" t="n">
        <f aca="false">MIN(M486:V486)</f>
        <v>58382.2527782194</v>
      </c>
      <c r="AH486" s="19" t="n">
        <f aca="false">IF(AG486&gt;=0,1,0)</f>
        <v>1</v>
      </c>
    </row>
    <row r="487" customFormat="false" ht="15" hidden="false" customHeight="false" outlineLevel="0" collapsed="false">
      <c r="A487" s="0" t="n">
        <f aca="false">ROW()-1</f>
        <v>486</v>
      </c>
      <c r="B487" s="6" t="n">
        <f aca="false">Assumptions!$B$35</f>
        <v>441263.996662504</v>
      </c>
      <c r="C487" s="8" t="n">
        <f aca="true">NORMINV(RAND(),Assumptions!$B$14,Assumptions!$B$15)</f>
        <v>0.0559111817895475</v>
      </c>
      <c r="D487" s="8" t="n">
        <f aca="true">NORMINV(RAND(),Assumptions!$B$14,Assumptions!$B$15)</f>
        <v>0.0737991253908057</v>
      </c>
      <c r="E487" s="8" t="n">
        <f aca="true">NORMINV(RAND(),Assumptions!$B$14,Assumptions!$B$15)</f>
        <v>0.0424094539178713</v>
      </c>
      <c r="F487" s="8" t="n">
        <f aca="true">NORMINV(RAND(),Assumptions!$B$14,Assumptions!$B$15)</f>
        <v>0.0343852468696599</v>
      </c>
      <c r="G487" s="8" t="n">
        <f aca="true">NORMINV(RAND(),Assumptions!$B$14,Assumptions!$B$15)</f>
        <v>0.070393340384041</v>
      </c>
      <c r="H487" s="8" t="n">
        <f aca="true">NORMINV(RAND(),Assumptions!$B$14,Assumptions!$B$15)</f>
        <v>0.0588681572449296</v>
      </c>
      <c r="I487" s="8" t="n">
        <f aca="true">NORMINV(RAND(),Assumptions!$B$14,Assumptions!$B$15)</f>
        <v>0.0742068242758103</v>
      </c>
      <c r="J487" s="8" t="n">
        <f aca="true">NORMINV(RAND(),Assumptions!$B$14,Assumptions!$B$15)</f>
        <v>0.0634782103494614</v>
      </c>
      <c r="K487" s="8" t="n">
        <f aca="true">NORMINV(RAND(),Assumptions!$B$14,Assumptions!$B$15)</f>
        <v>0.0141483698842188</v>
      </c>
      <c r="L487" s="8" t="n">
        <f aca="true">NORMINV(RAND(),Assumptions!$B$14,Assumptions!$B$15)</f>
        <v>0.0539078759722598</v>
      </c>
      <c r="M487" s="6" t="n">
        <f aca="false">B487-Assumptions!$B$29</f>
        <v>391263.996662504</v>
      </c>
      <c r="N487" s="6" t="n">
        <f aca="false">W487-Assumptions!$B$29</f>
        <v>363140.029107606</v>
      </c>
      <c r="O487" s="6" t="n">
        <f aca="false">X487-Assumptions!$B$29</f>
        <v>339939.445650139</v>
      </c>
      <c r="P487" s="6" t="n">
        <f aca="false">Y487-Assumptions!$B$29</f>
        <v>304356.091905305</v>
      </c>
      <c r="Q487" s="6" t="n">
        <f aca="false">Z487-Assumptions!$B$29</f>
        <v>264821.451261754</v>
      </c>
      <c r="R487" s="6" t="n">
        <f aca="false">AA487-Assumptions!$B$29</f>
        <v>233463.117821418</v>
      </c>
      <c r="S487" s="6" t="n">
        <f aca="false">AB487-Assumptions!$B$29</f>
        <v>197206.661352221</v>
      </c>
      <c r="T487" s="6" t="n">
        <f aca="false">AC487-Assumptions!$B$29</f>
        <v>161840.741417204</v>
      </c>
      <c r="U487" s="6" t="n">
        <f aca="false">AD487-Assumptions!$B$29</f>
        <v>122114.102043998</v>
      </c>
      <c r="V487" s="6" t="n">
        <f aca="false">AE487-Assumptions!$B$29</f>
        <v>73841.8175277961</v>
      </c>
      <c r="W487" s="6" t="n">
        <f aca="false">M487*(1+C487)</f>
        <v>413140.029107606</v>
      </c>
      <c r="X487" s="6" t="n">
        <f aca="false">N487*(1+D487)</f>
        <v>389939.445650139</v>
      </c>
      <c r="Y487" s="6" t="n">
        <f aca="false">O487*(1+E487)</f>
        <v>354356.091905305</v>
      </c>
      <c r="Z487" s="6" t="n">
        <f aca="false">P487*(1+F487)</f>
        <v>314821.451261754</v>
      </c>
      <c r="AA487" s="6" t="n">
        <f aca="false">Q487*(1+G487)</f>
        <v>283463.117821418</v>
      </c>
      <c r="AB487" s="6" t="n">
        <f aca="false">R487*(1+H487)</f>
        <v>247206.661352221</v>
      </c>
      <c r="AC487" s="6" t="n">
        <f aca="false">S487*(1+I487)</f>
        <v>211840.741417204</v>
      </c>
      <c r="AD487" s="6" t="n">
        <f aca="false">T487*(1+J487)</f>
        <v>172114.102043998</v>
      </c>
      <c r="AE487" s="6" t="n">
        <f aca="false">U487*(1+K487)</f>
        <v>123841.817527796</v>
      </c>
      <c r="AF487" s="6" t="n">
        <f aca="false">V487*(1+L487)</f>
        <v>77822.4730686507</v>
      </c>
      <c r="AG487" s="6" t="n">
        <f aca="false">MIN(M487:V487)</f>
        <v>73841.8175277961</v>
      </c>
      <c r="AH487" s="19" t="n">
        <f aca="false">IF(AG487&gt;=0,1,0)</f>
        <v>1</v>
      </c>
    </row>
    <row r="488" customFormat="false" ht="15" hidden="false" customHeight="false" outlineLevel="0" collapsed="false">
      <c r="A488" s="0" t="n">
        <f aca="false">ROW()-1</f>
        <v>487</v>
      </c>
      <c r="B488" s="6" t="n">
        <f aca="false">Assumptions!$B$35</f>
        <v>441263.996662504</v>
      </c>
      <c r="C488" s="8" t="n">
        <f aca="true">NORMINV(RAND(),Assumptions!$B$14,Assumptions!$B$15)</f>
        <v>0.00582562019353303</v>
      </c>
      <c r="D488" s="8" t="n">
        <f aca="true">NORMINV(RAND(),Assumptions!$B$14,Assumptions!$B$15)</f>
        <v>-0.00770005514182264</v>
      </c>
      <c r="E488" s="8" t="n">
        <f aca="true">NORMINV(RAND(),Assumptions!$B$14,Assumptions!$B$15)</f>
        <v>0.0849552948393144</v>
      </c>
      <c r="F488" s="8" t="n">
        <f aca="true">NORMINV(RAND(),Assumptions!$B$14,Assumptions!$B$15)</f>
        <v>-0.00933598965132448</v>
      </c>
      <c r="G488" s="8" t="n">
        <f aca="true">NORMINV(RAND(),Assumptions!$B$14,Assumptions!$B$15)</f>
        <v>0.0586979504671634</v>
      </c>
      <c r="H488" s="8" t="n">
        <f aca="true">NORMINV(RAND(),Assumptions!$B$14,Assumptions!$B$15)</f>
        <v>0.0606592747569225</v>
      </c>
      <c r="I488" s="8" t="n">
        <f aca="true">NORMINV(RAND(),Assumptions!$B$14,Assumptions!$B$15)</f>
        <v>0.024190244553067</v>
      </c>
      <c r="J488" s="8" t="n">
        <f aca="true">NORMINV(RAND(),Assumptions!$B$14,Assumptions!$B$15)</f>
        <v>0.0672072485744402</v>
      </c>
      <c r="K488" s="8" t="n">
        <f aca="true">NORMINV(RAND(),Assumptions!$B$14,Assumptions!$B$15)</f>
        <v>0.0759856094114752</v>
      </c>
      <c r="L488" s="8" t="n">
        <f aca="true">NORMINV(RAND(),Assumptions!$B$14,Assumptions!$B$15)</f>
        <v>0.00698846584034187</v>
      </c>
      <c r="M488" s="6" t="n">
        <f aca="false">B488-Assumptions!$B$29</f>
        <v>391263.996662504</v>
      </c>
      <c r="N488" s="6" t="n">
        <f aca="false">W488-Assumptions!$B$29</f>
        <v>343543.352102463</v>
      </c>
      <c r="O488" s="6" t="n">
        <f aca="false">X488-Assumptions!$B$29</f>
        <v>290898.049347668</v>
      </c>
      <c r="P488" s="6" t="n">
        <f aca="false">Y488-Assumptions!$B$29</f>
        <v>265611.37889818</v>
      </c>
      <c r="Q488" s="6" t="n">
        <f aca="false">Z488-Assumptions!$B$29</f>
        <v>213131.633813513</v>
      </c>
      <c r="R488" s="6" t="n">
        <f aca="false">AA488-Assumptions!$B$29</f>
        <v>175642.023898084</v>
      </c>
      <c r="S488" s="6" t="n">
        <f aca="false">AB488-Assumptions!$B$29</f>
        <v>136296.34168458</v>
      </c>
      <c r="T488" s="6" t="n">
        <f aca="false">AC488-Assumptions!$B$29</f>
        <v>89593.383521618</v>
      </c>
      <c r="U488" s="6" t="n">
        <f aca="false">AD488-Assumptions!$B$29</f>
        <v>45614.7083185805</v>
      </c>
      <c r="V488" s="6" t="n">
        <f aca="false">AE488-Assumptions!$B$29</f>
        <v>-919.230271705477</v>
      </c>
      <c r="W488" s="6" t="n">
        <f aca="false">M488*(1+C488)</f>
        <v>393543.352102463</v>
      </c>
      <c r="X488" s="6" t="n">
        <f aca="false">N488*(1+D488)</f>
        <v>340898.049347668</v>
      </c>
      <c r="Y488" s="6" t="n">
        <f aca="false">O488*(1+E488)</f>
        <v>315611.37889818</v>
      </c>
      <c r="Z488" s="6" t="n">
        <f aca="false">P488*(1+F488)</f>
        <v>263131.633813513</v>
      </c>
      <c r="AA488" s="6" t="n">
        <f aca="false">Q488*(1+G488)</f>
        <v>225642.023898084</v>
      </c>
      <c r="AB488" s="6" t="n">
        <f aca="false">R488*(1+H488)</f>
        <v>186296.34168458</v>
      </c>
      <c r="AC488" s="6" t="n">
        <f aca="false">S488*(1+I488)</f>
        <v>139593.383521618</v>
      </c>
      <c r="AD488" s="6" t="n">
        <f aca="false">T488*(1+J488)</f>
        <v>95614.7083185805</v>
      </c>
      <c r="AE488" s="6" t="n">
        <f aca="false">U488*(1+K488)</f>
        <v>49080.7697282945</v>
      </c>
      <c r="AF488" s="6" t="n">
        <f aca="false">V488*(1+L488)</f>
        <v>-925.654281058699</v>
      </c>
      <c r="AG488" s="6" t="n">
        <f aca="false">MIN(M488:V488)</f>
        <v>-919.230271705477</v>
      </c>
      <c r="AH488" s="19" t="n">
        <f aca="false">IF(AG488&gt;=0,1,0)</f>
        <v>0</v>
      </c>
    </row>
    <row r="489" customFormat="false" ht="15" hidden="false" customHeight="false" outlineLevel="0" collapsed="false">
      <c r="A489" s="0" t="n">
        <f aca="false">ROW()-1</f>
        <v>488</v>
      </c>
      <c r="B489" s="6" t="n">
        <f aca="false">Assumptions!$B$35</f>
        <v>441263.996662504</v>
      </c>
      <c r="C489" s="8" t="n">
        <f aca="true">NORMINV(RAND(),Assumptions!$B$14,Assumptions!$B$15)</f>
        <v>0.0819520426428531</v>
      </c>
      <c r="D489" s="8" t="n">
        <f aca="true">NORMINV(RAND(),Assumptions!$B$14,Assumptions!$B$15)</f>
        <v>0.0499449994910671</v>
      </c>
      <c r="E489" s="8" t="n">
        <f aca="true">NORMINV(RAND(),Assumptions!$B$14,Assumptions!$B$15)</f>
        <v>0.0974815981968178</v>
      </c>
      <c r="F489" s="8" t="n">
        <f aca="true">NORMINV(RAND(),Assumptions!$B$14,Assumptions!$B$15)</f>
        <v>0.00119700303773426</v>
      </c>
      <c r="G489" s="8" t="n">
        <f aca="true">NORMINV(RAND(),Assumptions!$B$14,Assumptions!$B$15)</f>
        <v>0.0468365024851321</v>
      </c>
      <c r="H489" s="8" t="n">
        <f aca="true">NORMINV(RAND(),Assumptions!$B$14,Assumptions!$B$15)</f>
        <v>0.0462516893475612</v>
      </c>
      <c r="I489" s="8" t="n">
        <f aca="true">NORMINV(RAND(),Assumptions!$B$14,Assumptions!$B$15)</f>
        <v>0.0706733881050957</v>
      </c>
      <c r="J489" s="8" t="n">
        <f aca="true">NORMINV(RAND(),Assumptions!$B$14,Assumptions!$B$15)</f>
        <v>0.0636658461483062</v>
      </c>
      <c r="K489" s="8" t="n">
        <f aca="true">NORMINV(RAND(),Assumptions!$B$14,Assumptions!$B$15)</f>
        <v>0.0498425718016292</v>
      </c>
      <c r="L489" s="8" t="n">
        <f aca="true">NORMINV(RAND(),Assumptions!$B$14,Assumptions!$B$15)</f>
        <v>0.0248034907134346</v>
      </c>
      <c r="M489" s="6" t="n">
        <f aca="false">B489-Assumptions!$B$29</f>
        <v>391263.996662504</v>
      </c>
      <c r="N489" s="6" t="n">
        <f aca="false">W489-Assumptions!$B$29</f>
        <v>373328.880401602</v>
      </c>
      <c r="O489" s="6" t="n">
        <f aca="false">X489-Assumptions!$B$29</f>
        <v>341974.791143261</v>
      </c>
      <c r="P489" s="6" t="n">
        <f aca="false">Y489-Assumptions!$B$29</f>
        <v>325311.040326929</v>
      </c>
      <c r="Q489" s="6" t="n">
        <f aca="false">Z489-Assumptions!$B$29</f>
        <v>275700.438630409</v>
      </c>
      <c r="R489" s="6" t="n">
        <f aca="false">AA489-Assumptions!$B$29</f>
        <v>238613.282909474</v>
      </c>
      <c r="S489" s="6" t="n">
        <f aca="false">AB489-Assumptions!$B$29</f>
        <v>199649.550344804</v>
      </c>
      <c r="T489" s="6" t="n">
        <f aca="false">AC489-Assumptions!$B$29</f>
        <v>163759.460501331</v>
      </c>
      <c r="U489" s="6" t="n">
        <f aca="false">AD489-Assumptions!$B$29</f>
        <v>124185.345118938</v>
      </c>
      <c r="V489" s="6" t="n">
        <f aca="false">AE489-Assumptions!$B$29</f>
        <v>80375.0620997388</v>
      </c>
      <c r="W489" s="6" t="n">
        <f aca="false">M489*(1+C489)</f>
        <v>423328.880401602</v>
      </c>
      <c r="X489" s="6" t="n">
        <f aca="false">N489*(1+D489)</f>
        <v>391974.791143261</v>
      </c>
      <c r="Y489" s="6" t="n">
        <f aca="false">O489*(1+E489)</f>
        <v>375311.040326929</v>
      </c>
      <c r="Z489" s="6" t="n">
        <f aca="false">P489*(1+F489)</f>
        <v>325700.438630409</v>
      </c>
      <c r="AA489" s="6" t="n">
        <f aca="false">Q489*(1+G489)</f>
        <v>288613.282909474</v>
      </c>
      <c r="AB489" s="6" t="n">
        <f aca="false">R489*(1+H489)</f>
        <v>249649.550344804</v>
      </c>
      <c r="AC489" s="6" t="n">
        <f aca="false">S489*(1+I489)</f>
        <v>213759.460501331</v>
      </c>
      <c r="AD489" s="6" t="n">
        <f aca="false">T489*(1+J489)</f>
        <v>174185.345118938</v>
      </c>
      <c r="AE489" s="6" t="n">
        <f aca="false">U489*(1+K489)</f>
        <v>130375.062099739</v>
      </c>
      <c r="AF489" s="6" t="n">
        <f aca="false">V489*(1+L489)</f>
        <v>82368.6442061214</v>
      </c>
      <c r="AG489" s="6" t="n">
        <f aca="false">MIN(M489:V489)</f>
        <v>80375.0620997388</v>
      </c>
      <c r="AH489" s="19" t="n">
        <f aca="false">IF(AG489&gt;=0,1,0)</f>
        <v>1</v>
      </c>
    </row>
    <row r="490" customFormat="false" ht="15" hidden="false" customHeight="false" outlineLevel="0" collapsed="false">
      <c r="A490" s="0" t="n">
        <f aca="false">ROW()-1</f>
        <v>489</v>
      </c>
      <c r="B490" s="6" t="n">
        <f aca="false">Assumptions!$B$35</f>
        <v>441263.996662504</v>
      </c>
      <c r="C490" s="8" t="n">
        <f aca="true">NORMINV(RAND(),Assumptions!$B$14,Assumptions!$B$15)</f>
        <v>0.0441326895210042</v>
      </c>
      <c r="D490" s="8" t="n">
        <f aca="true">NORMINV(RAND(),Assumptions!$B$14,Assumptions!$B$15)</f>
        <v>0.0562727324241887</v>
      </c>
      <c r="E490" s="8" t="n">
        <f aca="true">NORMINV(RAND(),Assumptions!$B$14,Assumptions!$B$15)</f>
        <v>0.0421461848353217</v>
      </c>
      <c r="F490" s="8" t="n">
        <f aca="true">NORMINV(RAND(),Assumptions!$B$14,Assumptions!$B$15)</f>
        <v>-0.00420417427032139</v>
      </c>
      <c r="G490" s="8" t="n">
        <f aca="true">NORMINV(RAND(),Assumptions!$B$14,Assumptions!$B$15)</f>
        <v>0.0796553666117654</v>
      </c>
      <c r="H490" s="8" t="n">
        <f aca="true">NORMINV(RAND(),Assumptions!$B$14,Assumptions!$B$15)</f>
        <v>0.0498994312776652</v>
      </c>
      <c r="I490" s="8" t="n">
        <f aca="true">NORMINV(RAND(),Assumptions!$B$14,Assumptions!$B$15)</f>
        <v>0.0404804269070779</v>
      </c>
      <c r="J490" s="8" t="n">
        <f aca="true">NORMINV(RAND(),Assumptions!$B$14,Assumptions!$B$15)</f>
        <v>0.0453952258459006</v>
      </c>
      <c r="K490" s="8" t="n">
        <f aca="true">NORMINV(RAND(),Assumptions!$B$14,Assumptions!$B$15)</f>
        <v>0.00666157078439381</v>
      </c>
      <c r="L490" s="8" t="n">
        <f aca="true">NORMINV(RAND(),Assumptions!$B$14,Assumptions!$B$15)</f>
        <v>0.0541221806241737</v>
      </c>
      <c r="M490" s="6" t="n">
        <f aca="false">B490-Assumptions!$B$29</f>
        <v>391263.996662504</v>
      </c>
      <c r="N490" s="6" t="n">
        <f aca="false">W490-Assumptions!$B$29</f>
        <v>358531.529147957</v>
      </c>
      <c r="O490" s="6" t="n">
        <f aca="false">X490-Assumptions!$B$29</f>
        <v>328707.077953335</v>
      </c>
      <c r="P490" s="6" t="n">
        <f aca="false">Y490-Assumptions!$B$29</f>
        <v>292560.827217435</v>
      </c>
      <c r="Q490" s="6" t="n">
        <f aca="false">Z490-Assumptions!$B$29</f>
        <v>241330.850515143</v>
      </c>
      <c r="R490" s="6" t="n">
        <f aca="false">AA490-Assumptions!$B$29</f>
        <v>210554.147887656</v>
      </c>
      <c r="S490" s="6" t="n">
        <f aca="false">AB490-Assumptions!$B$29</f>
        <v>171060.680120404</v>
      </c>
      <c r="T490" s="6" t="n">
        <f aca="false">AC490-Assumptions!$B$29</f>
        <v>127985.289478693</v>
      </c>
      <c r="U490" s="6" t="n">
        <f aca="false">AD490-Assumptions!$B$29</f>
        <v>83795.2105995311</v>
      </c>
      <c r="V490" s="6" t="n">
        <f aca="false">AE490-Assumptions!$B$29</f>
        <v>34353.418326333</v>
      </c>
      <c r="W490" s="6" t="n">
        <f aca="false">M490*(1+C490)</f>
        <v>408531.529147957</v>
      </c>
      <c r="X490" s="6" t="n">
        <f aca="false">N490*(1+D490)</f>
        <v>378707.077953335</v>
      </c>
      <c r="Y490" s="6" t="n">
        <f aca="false">O490*(1+E490)</f>
        <v>342560.827217435</v>
      </c>
      <c r="Z490" s="6" t="n">
        <f aca="false">P490*(1+F490)</f>
        <v>291330.850515144</v>
      </c>
      <c r="AA490" s="6" t="n">
        <f aca="false">Q490*(1+G490)</f>
        <v>260554.147887656</v>
      </c>
      <c r="AB490" s="6" t="n">
        <f aca="false">R490*(1+H490)</f>
        <v>221060.680120404</v>
      </c>
      <c r="AC490" s="6" t="n">
        <f aca="false">S490*(1+I490)</f>
        <v>177985.289478693</v>
      </c>
      <c r="AD490" s="6" t="n">
        <f aca="false">T490*(1+J490)</f>
        <v>133795.210599531</v>
      </c>
      <c r="AE490" s="6" t="n">
        <f aca="false">U490*(1+K490)</f>
        <v>84353.418326333</v>
      </c>
      <c r="AF490" s="6" t="n">
        <f aca="false">V490*(1+L490)</f>
        <v>36212.7002380486</v>
      </c>
      <c r="AG490" s="6" t="n">
        <f aca="false">MIN(M490:V490)</f>
        <v>34353.418326333</v>
      </c>
      <c r="AH490" s="19" t="n">
        <f aca="false">IF(AG490&gt;=0,1,0)</f>
        <v>1</v>
      </c>
    </row>
    <row r="491" customFormat="false" ht="15" hidden="false" customHeight="false" outlineLevel="0" collapsed="false">
      <c r="A491" s="0" t="n">
        <f aca="false">ROW()-1</f>
        <v>490</v>
      </c>
      <c r="B491" s="6" t="n">
        <f aca="false">Assumptions!$B$35</f>
        <v>441263.996662504</v>
      </c>
      <c r="C491" s="8" t="n">
        <f aca="true">NORMINV(RAND(),Assumptions!$B$14,Assumptions!$B$15)</f>
        <v>0.016160963535805</v>
      </c>
      <c r="D491" s="8" t="n">
        <f aca="true">NORMINV(RAND(),Assumptions!$B$14,Assumptions!$B$15)</f>
        <v>0.0403716477616972</v>
      </c>
      <c r="E491" s="8" t="n">
        <f aca="true">NORMINV(RAND(),Assumptions!$B$14,Assumptions!$B$15)</f>
        <v>-0.000299610885458476</v>
      </c>
      <c r="F491" s="8" t="n">
        <f aca="true">NORMINV(RAND(),Assumptions!$B$14,Assumptions!$B$15)</f>
        <v>0.0608775155880556</v>
      </c>
      <c r="G491" s="8" t="n">
        <f aca="true">NORMINV(RAND(),Assumptions!$B$14,Assumptions!$B$15)</f>
        <v>0.0369938135007609</v>
      </c>
      <c r="H491" s="8" t="n">
        <f aca="true">NORMINV(RAND(),Assumptions!$B$14,Assumptions!$B$15)</f>
        <v>0.0559277648251021</v>
      </c>
      <c r="I491" s="8" t="n">
        <f aca="true">NORMINV(RAND(),Assumptions!$B$14,Assumptions!$B$15)</f>
        <v>0.0652937726343364</v>
      </c>
      <c r="J491" s="8" t="n">
        <f aca="true">NORMINV(RAND(),Assumptions!$B$14,Assumptions!$B$15)</f>
        <v>0.0272957044706624</v>
      </c>
      <c r="K491" s="8" t="n">
        <f aca="true">NORMINV(RAND(),Assumptions!$B$14,Assumptions!$B$15)</f>
        <v>0.0366112721261176</v>
      </c>
      <c r="L491" s="8" t="n">
        <f aca="true">NORMINV(RAND(),Assumptions!$B$14,Assumptions!$B$15)</f>
        <v>0.059231495253992</v>
      </c>
      <c r="M491" s="6" t="n">
        <f aca="false">B491-Assumptions!$B$29</f>
        <v>391263.996662504</v>
      </c>
      <c r="N491" s="6" t="n">
        <f aca="false">W491-Assumptions!$B$29</f>
        <v>347587.19984544</v>
      </c>
      <c r="O491" s="6" t="n">
        <f aca="false">X491-Assumptions!$B$29</f>
        <v>311619.867844074</v>
      </c>
      <c r="P491" s="6" t="n">
        <f aca="false">Y491-Assumptions!$B$29</f>
        <v>261526.503139543</v>
      </c>
      <c r="Q491" s="6" t="n">
        <f aca="false">Z491-Assumptions!$B$29</f>
        <v>227447.58691111</v>
      </c>
      <c r="R491" s="6" t="n">
        <f aca="false">AA491-Assumptions!$B$29</f>
        <v>185861.740522498</v>
      </c>
      <c r="S491" s="6" t="n">
        <f aca="false">AB491-Assumptions!$B$29</f>
        <v>146256.572236424</v>
      </c>
      <c r="T491" s="6" t="n">
        <f aca="false">AC491-Assumptions!$B$29</f>
        <v>105806.215610307</v>
      </c>
      <c r="U491" s="6" t="n">
        <f aca="false">AD491-Assumptions!$B$29</f>
        <v>58694.2708027651</v>
      </c>
      <c r="V491" s="6" t="n">
        <f aca="false">AE491-Assumptions!$B$29</f>
        <v>10843.1427233691</v>
      </c>
      <c r="W491" s="6" t="n">
        <f aca="false">M491*(1+C491)</f>
        <v>397587.19984544</v>
      </c>
      <c r="X491" s="6" t="n">
        <f aca="false">N491*(1+D491)</f>
        <v>361619.867844074</v>
      </c>
      <c r="Y491" s="6" t="n">
        <f aca="false">O491*(1+E491)</f>
        <v>311526.503139543</v>
      </c>
      <c r="Z491" s="6" t="n">
        <f aca="false">P491*(1+F491)</f>
        <v>277447.58691111</v>
      </c>
      <c r="AA491" s="6" t="n">
        <f aca="false">Q491*(1+G491)</f>
        <v>235861.740522498</v>
      </c>
      <c r="AB491" s="6" t="n">
        <f aca="false">R491*(1+H491)</f>
        <v>196256.572236424</v>
      </c>
      <c r="AC491" s="6" t="n">
        <f aca="false">S491*(1+I491)</f>
        <v>155806.215610307</v>
      </c>
      <c r="AD491" s="6" t="n">
        <f aca="false">T491*(1+J491)</f>
        <v>108694.270802765</v>
      </c>
      <c r="AE491" s="6" t="n">
        <f aca="false">U491*(1+K491)</f>
        <v>60843.1427233691</v>
      </c>
      <c r="AF491" s="6" t="n">
        <f aca="false">V491*(1+L491)</f>
        <v>11485.3982801267</v>
      </c>
      <c r="AG491" s="6" t="n">
        <f aca="false">MIN(M491:V491)</f>
        <v>10843.1427233691</v>
      </c>
      <c r="AH491" s="19" t="n">
        <f aca="false">IF(AG491&gt;=0,1,0)</f>
        <v>1</v>
      </c>
    </row>
    <row r="492" customFormat="false" ht="15" hidden="false" customHeight="false" outlineLevel="0" collapsed="false">
      <c r="A492" s="0" t="n">
        <f aca="false">ROW()-1</f>
        <v>491</v>
      </c>
      <c r="B492" s="6" t="n">
        <f aca="false">Assumptions!$B$35</f>
        <v>441263.996662504</v>
      </c>
      <c r="C492" s="8" t="n">
        <f aca="true">NORMINV(RAND(),Assumptions!$B$14,Assumptions!$B$15)</f>
        <v>0.0747288759400111</v>
      </c>
      <c r="D492" s="8" t="n">
        <f aca="true">NORMINV(RAND(),Assumptions!$B$14,Assumptions!$B$15)</f>
        <v>0.0899024607817997</v>
      </c>
      <c r="E492" s="8" t="n">
        <f aca="true">NORMINV(RAND(),Assumptions!$B$14,Assumptions!$B$15)</f>
        <v>0.0316508806845494</v>
      </c>
      <c r="F492" s="8" t="n">
        <f aca="true">NORMINV(RAND(),Assumptions!$B$14,Assumptions!$B$15)</f>
        <v>0.0255805102782202</v>
      </c>
      <c r="G492" s="8" t="n">
        <f aca="true">NORMINV(RAND(),Assumptions!$B$14,Assumptions!$B$15)</f>
        <v>0.0522287588308831</v>
      </c>
      <c r="H492" s="8" t="n">
        <f aca="true">NORMINV(RAND(),Assumptions!$B$14,Assumptions!$B$15)</f>
        <v>0.0574381290033363</v>
      </c>
      <c r="I492" s="8" t="n">
        <f aca="true">NORMINV(RAND(),Assumptions!$B$14,Assumptions!$B$15)</f>
        <v>0.0769060334904562</v>
      </c>
      <c r="J492" s="8" t="n">
        <f aca="true">NORMINV(RAND(),Assumptions!$B$14,Assumptions!$B$15)</f>
        <v>0.0372065731964471</v>
      </c>
      <c r="K492" s="8" t="n">
        <f aca="true">NORMINV(RAND(),Assumptions!$B$14,Assumptions!$B$15)</f>
        <v>0.0618960937742503</v>
      </c>
      <c r="L492" s="8" t="n">
        <f aca="true">NORMINV(RAND(),Assumptions!$B$14,Assumptions!$B$15)</f>
        <v>0.0495912878770026</v>
      </c>
      <c r="M492" s="6" t="n">
        <f aca="false">B492-Assumptions!$B$29</f>
        <v>391263.996662504</v>
      </c>
      <c r="N492" s="6" t="n">
        <f aca="false">W492-Assumptions!$B$29</f>
        <v>370502.715328889</v>
      </c>
      <c r="O492" s="6" t="n">
        <f aca="false">X492-Assumptions!$B$29</f>
        <v>353811.821163294</v>
      </c>
      <c r="P492" s="6" t="n">
        <f aca="false">Y492-Assumptions!$B$29</f>
        <v>315010.276899717</v>
      </c>
      <c r="Q492" s="6" t="n">
        <f aca="false">Z492-Assumptions!$B$29</f>
        <v>273068.400525695</v>
      </c>
      <c r="R492" s="6" t="n">
        <f aca="false">AA492-Assumptions!$B$29</f>
        <v>237330.424161087</v>
      </c>
      <c r="S492" s="6" t="n">
        <f aca="false">AB492-Assumptions!$B$29</f>
        <v>200962.239680468</v>
      </c>
      <c r="T492" s="6" t="n">
        <f aca="false">AC492-Assumptions!$B$29</f>
        <v>166417.448415651</v>
      </c>
      <c r="U492" s="6" t="n">
        <f aca="false">AD492-Assumptions!$B$29</f>
        <v>122609.271391294</v>
      </c>
      <c r="V492" s="6" t="n">
        <f aca="false">AE492-Assumptions!$B$29</f>
        <v>80198.3063509218</v>
      </c>
      <c r="W492" s="6" t="n">
        <f aca="false">M492*(1+C492)</f>
        <v>420502.715328889</v>
      </c>
      <c r="X492" s="6" t="n">
        <f aca="false">N492*(1+D492)</f>
        <v>403811.821163294</v>
      </c>
      <c r="Y492" s="6" t="n">
        <f aca="false">O492*(1+E492)</f>
        <v>365010.276899717</v>
      </c>
      <c r="Z492" s="6" t="n">
        <f aca="false">P492*(1+F492)</f>
        <v>323068.400525695</v>
      </c>
      <c r="AA492" s="6" t="n">
        <f aca="false">Q492*(1+G492)</f>
        <v>287330.424161087</v>
      </c>
      <c r="AB492" s="6" t="n">
        <f aca="false">R492*(1+H492)</f>
        <v>250962.239680468</v>
      </c>
      <c r="AC492" s="6" t="n">
        <f aca="false">S492*(1+I492)</f>
        <v>216417.448415651</v>
      </c>
      <c r="AD492" s="6" t="n">
        <f aca="false">T492*(1+J492)</f>
        <v>172609.271391294</v>
      </c>
      <c r="AE492" s="6" t="n">
        <f aca="false">U492*(1+K492)</f>
        <v>130198.306350922</v>
      </c>
      <c r="AF492" s="6" t="n">
        <f aca="false">V492*(1+L492)</f>
        <v>84175.4436484184</v>
      </c>
      <c r="AG492" s="6" t="n">
        <f aca="false">MIN(M492:V492)</f>
        <v>80198.3063509218</v>
      </c>
      <c r="AH492" s="19" t="n">
        <f aca="false">IF(AG492&gt;=0,1,0)</f>
        <v>1</v>
      </c>
    </row>
    <row r="493" customFormat="false" ht="15" hidden="false" customHeight="false" outlineLevel="0" collapsed="false">
      <c r="A493" s="0" t="n">
        <f aca="false">ROW()-1</f>
        <v>492</v>
      </c>
      <c r="B493" s="6" t="n">
        <f aca="false">Assumptions!$B$35</f>
        <v>441263.996662504</v>
      </c>
      <c r="C493" s="8" t="n">
        <f aca="true">NORMINV(RAND(),Assumptions!$B$14,Assumptions!$B$15)</f>
        <v>0.0666780108352052</v>
      </c>
      <c r="D493" s="8" t="n">
        <f aca="true">NORMINV(RAND(),Assumptions!$B$14,Assumptions!$B$15)</f>
        <v>0.0926552020707332</v>
      </c>
      <c r="E493" s="8" t="n">
        <f aca="true">NORMINV(RAND(),Assumptions!$B$14,Assumptions!$B$15)</f>
        <v>0.0673774279155476</v>
      </c>
      <c r="F493" s="8" t="n">
        <f aca="true">NORMINV(RAND(),Assumptions!$B$14,Assumptions!$B$15)</f>
        <v>0.0901784219371341</v>
      </c>
      <c r="G493" s="8" t="n">
        <f aca="true">NORMINV(RAND(),Assumptions!$B$14,Assumptions!$B$15)</f>
        <v>0.0959522307711421</v>
      </c>
      <c r="H493" s="8" t="n">
        <f aca="true">NORMINV(RAND(),Assumptions!$B$14,Assumptions!$B$15)</f>
        <v>0.0146256918809998</v>
      </c>
      <c r="I493" s="8" t="n">
        <f aca="true">NORMINV(RAND(),Assumptions!$B$14,Assumptions!$B$15)</f>
        <v>0.0217785943077662</v>
      </c>
      <c r="J493" s="8" t="n">
        <f aca="true">NORMINV(RAND(),Assumptions!$B$14,Assumptions!$B$15)</f>
        <v>0.0265910582231166</v>
      </c>
      <c r="K493" s="8" t="n">
        <f aca="true">NORMINV(RAND(),Assumptions!$B$14,Assumptions!$B$15)</f>
        <v>0.0232172424579714</v>
      </c>
      <c r="L493" s="8" t="n">
        <f aca="true">NORMINV(RAND(),Assumptions!$B$14,Assumptions!$B$15)</f>
        <v>0.0748216093428491</v>
      </c>
      <c r="M493" s="6" t="n">
        <f aca="false">B493-Assumptions!$B$29</f>
        <v>391263.996662504</v>
      </c>
      <c r="N493" s="6" t="n">
        <f aca="false">W493-Assumptions!$B$29</f>
        <v>367352.701671392</v>
      </c>
      <c r="O493" s="6" t="n">
        <f aca="false">X493-Assumptions!$B$29</f>
        <v>351389.840475984</v>
      </c>
      <c r="P493" s="6" t="n">
        <f aca="false">Y493-Assumptions!$B$29</f>
        <v>325065.584122911</v>
      </c>
      <c r="Q493" s="6" t="n">
        <f aca="false">Z493-Assumptions!$B$29</f>
        <v>304379.485525187</v>
      </c>
      <c r="R493" s="6" t="n">
        <f aca="false">AA493-Assumptions!$B$29</f>
        <v>283585.376162302</v>
      </c>
      <c r="S493" s="6" t="n">
        <f aca="false">AB493-Assumptions!$B$29</f>
        <v>237733.008496009</v>
      </c>
      <c r="T493" s="6" t="n">
        <f aca="false">AC493-Assumptions!$B$29</f>
        <v>192910.499241608</v>
      </c>
      <c r="U493" s="6" t="n">
        <f aca="false">AD493-Assumptions!$B$29</f>
        <v>148040.193558792</v>
      </c>
      <c r="V493" s="6" t="n">
        <f aca="false">AE493-Assumptions!$B$29</f>
        <v>101477.278626172</v>
      </c>
      <c r="W493" s="6" t="n">
        <f aca="false">M493*(1+C493)</f>
        <v>417352.701671392</v>
      </c>
      <c r="X493" s="6" t="n">
        <f aca="false">N493*(1+D493)</f>
        <v>401389.840475984</v>
      </c>
      <c r="Y493" s="6" t="n">
        <f aca="false">O493*(1+E493)</f>
        <v>375065.584122911</v>
      </c>
      <c r="Z493" s="6" t="n">
        <f aca="false">P493*(1+F493)</f>
        <v>354379.485525187</v>
      </c>
      <c r="AA493" s="6" t="n">
        <f aca="false">Q493*(1+G493)</f>
        <v>333585.376162302</v>
      </c>
      <c r="AB493" s="6" t="n">
        <f aca="false">R493*(1+H493)</f>
        <v>287733.008496009</v>
      </c>
      <c r="AC493" s="6" t="n">
        <f aca="false">S493*(1+I493)</f>
        <v>242910.499241608</v>
      </c>
      <c r="AD493" s="6" t="n">
        <f aca="false">T493*(1+J493)</f>
        <v>198040.193558792</v>
      </c>
      <c r="AE493" s="6" t="n">
        <f aca="false">U493*(1+K493)</f>
        <v>151477.278626172</v>
      </c>
      <c r="AF493" s="6" t="n">
        <f aca="false">V493*(1+L493)</f>
        <v>109069.971924715</v>
      </c>
      <c r="AG493" s="6" t="n">
        <f aca="false">MIN(M493:V493)</f>
        <v>101477.278626172</v>
      </c>
      <c r="AH493" s="19" t="n">
        <f aca="false">IF(AG493&gt;=0,1,0)</f>
        <v>1</v>
      </c>
    </row>
    <row r="494" customFormat="false" ht="15" hidden="false" customHeight="false" outlineLevel="0" collapsed="false">
      <c r="A494" s="0" t="n">
        <f aca="false">ROW()-1</f>
        <v>493</v>
      </c>
      <c r="B494" s="6" t="n">
        <f aca="false">Assumptions!$B$35</f>
        <v>441263.996662504</v>
      </c>
      <c r="C494" s="8" t="n">
        <f aca="true">NORMINV(RAND(),Assumptions!$B$14,Assumptions!$B$15)</f>
        <v>0.0238934322525339</v>
      </c>
      <c r="D494" s="8" t="n">
        <f aca="true">NORMINV(RAND(),Assumptions!$B$14,Assumptions!$B$15)</f>
        <v>0.0333413147753828</v>
      </c>
      <c r="E494" s="8" t="n">
        <f aca="true">NORMINV(RAND(),Assumptions!$B$14,Assumptions!$B$15)</f>
        <v>0.00261336986471664</v>
      </c>
      <c r="F494" s="8" t="n">
        <f aca="true">NORMINV(RAND(),Assumptions!$B$14,Assumptions!$B$15)</f>
        <v>0.0761686797439341</v>
      </c>
      <c r="G494" s="8" t="n">
        <f aca="true">NORMINV(RAND(),Assumptions!$B$14,Assumptions!$B$15)</f>
        <v>0.0922211772192192</v>
      </c>
      <c r="H494" s="8" t="n">
        <f aca="true">NORMINV(RAND(),Assumptions!$B$14,Assumptions!$B$15)</f>
        <v>0.0594484060352253</v>
      </c>
      <c r="I494" s="8" t="n">
        <f aca="true">NORMINV(RAND(),Assumptions!$B$14,Assumptions!$B$15)</f>
        <v>0.0530770383303596</v>
      </c>
      <c r="J494" s="8" t="n">
        <f aca="true">NORMINV(RAND(),Assumptions!$B$14,Assumptions!$B$15)</f>
        <v>0.0479323626378305</v>
      </c>
      <c r="K494" s="8" t="n">
        <f aca="true">NORMINV(RAND(),Assumptions!$B$14,Assumptions!$B$15)</f>
        <v>0.0300781507364179</v>
      </c>
      <c r="L494" s="8" t="n">
        <f aca="true">NORMINV(RAND(),Assumptions!$B$14,Assumptions!$B$15)</f>
        <v>0.0837921152327774</v>
      </c>
      <c r="M494" s="6" t="n">
        <f aca="false">B494-Assumptions!$B$29</f>
        <v>391263.996662504</v>
      </c>
      <c r="N494" s="6" t="n">
        <f aca="false">W494-Assumptions!$B$29</f>
        <v>350612.636459615</v>
      </c>
      <c r="O494" s="6" t="n">
        <f aca="false">X494-Assumptions!$B$29</f>
        <v>312302.522736042</v>
      </c>
      <c r="P494" s="6" t="n">
        <f aca="false">Y494-Assumptions!$B$29</f>
        <v>263118.684737635</v>
      </c>
      <c r="Q494" s="6" t="n">
        <f aca="false">Z494-Assumptions!$B$29</f>
        <v>233160.087570061</v>
      </c>
      <c r="R494" s="6" t="n">
        <f aca="false">AA494-Assumptions!$B$29</f>
        <v>204662.385326308</v>
      </c>
      <c r="S494" s="6" t="n">
        <f aca="false">AB494-Assumptions!$B$29</f>
        <v>166829.237909324</v>
      </c>
      <c r="T494" s="6" t="n">
        <f aca="false">AC494-Assumptions!$B$29</f>
        <v>125684.039764462</v>
      </c>
      <c r="U494" s="6" t="n">
        <f aca="false">AD494-Assumptions!$B$29</f>
        <v>81708.37273624</v>
      </c>
      <c r="V494" s="6" t="n">
        <f aca="false">AE494-Assumptions!$B$29</f>
        <v>34166.009487828</v>
      </c>
      <c r="W494" s="6" t="n">
        <f aca="false">M494*(1+C494)</f>
        <v>400612.636459615</v>
      </c>
      <c r="X494" s="6" t="n">
        <f aca="false">N494*(1+D494)</f>
        <v>362302.522736042</v>
      </c>
      <c r="Y494" s="6" t="n">
        <f aca="false">O494*(1+E494)</f>
        <v>313118.684737635</v>
      </c>
      <c r="Z494" s="6" t="n">
        <f aca="false">P494*(1+F494)</f>
        <v>283160.087570061</v>
      </c>
      <c r="AA494" s="6" t="n">
        <f aca="false">Q494*(1+G494)</f>
        <v>254662.385326308</v>
      </c>
      <c r="AB494" s="6" t="n">
        <f aca="false">R494*(1+H494)</f>
        <v>216829.237909324</v>
      </c>
      <c r="AC494" s="6" t="n">
        <f aca="false">S494*(1+I494)</f>
        <v>175684.039764462</v>
      </c>
      <c r="AD494" s="6" t="n">
        <f aca="false">T494*(1+J494)</f>
        <v>131708.37273624</v>
      </c>
      <c r="AE494" s="6" t="n">
        <f aca="false">U494*(1+K494)</f>
        <v>84166.009487828</v>
      </c>
      <c r="AF494" s="6" t="n">
        <f aca="false">V494*(1+L494)</f>
        <v>37028.8516918762</v>
      </c>
      <c r="AG494" s="6" t="n">
        <f aca="false">MIN(M494:V494)</f>
        <v>34166.009487828</v>
      </c>
      <c r="AH494" s="19" t="n">
        <f aca="false">IF(AG494&gt;=0,1,0)</f>
        <v>1</v>
      </c>
    </row>
    <row r="495" customFormat="false" ht="15" hidden="false" customHeight="false" outlineLevel="0" collapsed="false">
      <c r="A495" s="0" t="n">
        <f aca="false">ROW()-1</f>
        <v>494</v>
      </c>
      <c r="B495" s="6" t="n">
        <f aca="false">Assumptions!$B$35</f>
        <v>441263.996662504</v>
      </c>
      <c r="C495" s="8" t="n">
        <f aca="true">NORMINV(RAND(),Assumptions!$B$14,Assumptions!$B$15)</f>
        <v>0.0652594260126332</v>
      </c>
      <c r="D495" s="8" t="n">
        <f aca="true">NORMINV(RAND(),Assumptions!$B$14,Assumptions!$B$15)</f>
        <v>0.0457008236827716</v>
      </c>
      <c r="E495" s="8" t="n">
        <f aca="true">NORMINV(RAND(),Assumptions!$B$14,Assumptions!$B$15)</f>
        <v>0.0149684964519634</v>
      </c>
      <c r="F495" s="8" t="n">
        <f aca="true">NORMINV(RAND(),Assumptions!$B$14,Assumptions!$B$15)</f>
        <v>0.131119141745785</v>
      </c>
      <c r="G495" s="8" t="n">
        <f aca="true">NORMINV(RAND(),Assumptions!$B$14,Assumptions!$B$15)</f>
        <v>0.0048354560287782</v>
      </c>
      <c r="H495" s="8" t="n">
        <f aca="true">NORMINV(RAND(),Assumptions!$B$14,Assumptions!$B$15)</f>
        <v>0.0745109406095481</v>
      </c>
      <c r="I495" s="8" t="n">
        <f aca="true">NORMINV(RAND(),Assumptions!$B$14,Assumptions!$B$15)</f>
        <v>0.0789714942878634</v>
      </c>
      <c r="J495" s="8" t="n">
        <f aca="true">NORMINV(RAND(),Assumptions!$B$14,Assumptions!$B$15)</f>
        <v>0.0516978857890267</v>
      </c>
      <c r="K495" s="8" t="n">
        <f aca="true">NORMINV(RAND(),Assumptions!$B$14,Assumptions!$B$15)</f>
        <v>0.050487527885142</v>
      </c>
      <c r="L495" s="8" t="n">
        <f aca="true">NORMINV(RAND(),Assumptions!$B$14,Assumptions!$B$15)</f>
        <v>0.094551767607488</v>
      </c>
      <c r="M495" s="6" t="n">
        <f aca="false">B495-Assumptions!$B$29</f>
        <v>391263.996662504</v>
      </c>
      <c r="N495" s="6" t="n">
        <f aca="false">W495-Assumptions!$B$29</f>
        <v>366797.660504107</v>
      </c>
      <c r="O495" s="6" t="n">
        <f aca="false">X495-Assumptions!$B$29</f>
        <v>333560.615714059</v>
      </c>
      <c r="P495" s="6" t="n">
        <f aca="false">Y495-Assumptions!$B$29</f>
        <v>288553.516606889</v>
      </c>
      <c r="Q495" s="6" t="n">
        <f aca="false">Z495-Assumptions!$B$29</f>
        <v>276388.406052113</v>
      </c>
      <c r="R495" s="6" t="n">
        <f aca="false">AA495-Assumptions!$B$29</f>
        <v>227724.870036442</v>
      </c>
      <c r="S495" s="6" t="n">
        <f aca="false">AB495-Assumptions!$B$29</f>
        <v>194692.864303044</v>
      </c>
      <c r="T495" s="6" t="n">
        <f aca="false">AC495-Assumptions!$B$29</f>
        <v>160068.05072424</v>
      </c>
      <c r="U495" s="6" t="n">
        <f aca="false">AD495-Assumptions!$B$29</f>
        <v>118343.230529054</v>
      </c>
      <c r="V495" s="6" t="n">
        <f aca="false">AE495-Assumptions!$B$29</f>
        <v>74318.087680407</v>
      </c>
      <c r="W495" s="6" t="n">
        <f aca="false">M495*(1+C495)</f>
        <v>416797.660504107</v>
      </c>
      <c r="X495" s="6" t="n">
        <f aca="false">N495*(1+D495)</f>
        <v>383560.615714059</v>
      </c>
      <c r="Y495" s="6" t="n">
        <f aca="false">O495*(1+E495)</f>
        <v>338553.516606889</v>
      </c>
      <c r="Z495" s="6" t="n">
        <f aca="false">P495*(1+F495)</f>
        <v>326388.406052113</v>
      </c>
      <c r="AA495" s="6" t="n">
        <f aca="false">Q495*(1+G495)</f>
        <v>277724.870036442</v>
      </c>
      <c r="AB495" s="6" t="n">
        <f aca="false">R495*(1+H495)</f>
        <v>244692.864303044</v>
      </c>
      <c r="AC495" s="6" t="n">
        <f aca="false">S495*(1+I495)</f>
        <v>210068.05072424</v>
      </c>
      <c r="AD495" s="6" t="n">
        <f aca="false">T495*(1+J495)</f>
        <v>168343.230529054</v>
      </c>
      <c r="AE495" s="6" t="n">
        <f aca="false">U495*(1+K495)</f>
        <v>124318.087680407</v>
      </c>
      <c r="AF495" s="6" t="n">
        <f aca="false">V495*(1+L495)</f>
        <v>81344.9942357977</v>
      </c>
      <c r="AG495" s="6" t="n">
        <f aca="false">MIN(M495:V495)</f>
        <v>74318.087680407</v>
      </c>
      <c r="AH495" s="19" t="n">
        <f aca="false">IF(AG495&gt;=0,1,0)</f>
        <v>1</v>
      </c>
    </row>
    <row r="496" customFormat="false" ht="15" hidden="false" customHeight="false" outlineLevel="0" collapsed="false">
      <c r="A496" s="0" t="n">
        <f aca="false">ROW()-1</f>
        <v>495</v>
      </c>
      <c r="B496" s="6" t="n">
        <f aca="false">Assumptions!$B$35</f>
        <v>441263.996662504</v>
      </c>
      <c r="C496" s="8" t="n">
        <f aca="true">NORMINV(RAND(),Assumptions!$B$14,Assumptions!$B$15)</f>
        <v>0.0586658956861052</v>
      </c>
      <c r="D496" s="8" t="n">
        <f aca="true">NORMINV(RAND(),Assumptions!$B$14,Assumptions!$B$15)</f>
        <v>0.0713517429780838</v>
      </c>
      <c r="E496" s="8" t="n">
        <f aca="true">NORMINV(RAND(),Assumptions!$B$14,Assumptions!$B$15)</f>
        <v>0.0235818843448983</v>
      </c>
      <c r="F496" s="8" t="n">
        <f aca="true">NORMINV(RAND(),Assumptions!$B$14,Assumptions!$B$15)</f>
        <v>0.0385070224844083</v>
      </c>
      <c r="G496" s="8" t="n">
        <f aca="true">NORMINV(RAND(),Assumptions!$B$14,Assumptions!$B$15)</f>
        <v>0.107746686936283</v>
      </c>
      <c r="H496" s="8" t="n">
        <f aca="true">NORMINV(RAND(),Assumptions!$B$14,Assumptions!$B$15)</f>
        <v>0.0353249770703128</v>
      </c>
      <c r="I496" s="8" t="n">
        <f aca="true">NORMINV(RAND(),Assumptions!$B$14,Assumptions!$B$15)</f>
        <v>0.0288753934294227</v>
      </c>
      <c r="J496" s="8" t="n">
        <f aca="true">NORMINV(RAND(),Assumptions!$B$14,Assumptions!$B$15)</f>
        <v>0.0293447799589771</v>
      </c>
      <c r="K496" s="8" t="n">
        <f aca="true">NORMINV(RAND(),Assumptions!$B$14,Assumptions!$B$15)</f>
        <v>0.0382322092939795</v>
      </c>
      <c r="L496" s="8" t="n">
        <f aca="true">NORMINV(RAND(),Assumptions!$B$14,Assumptions!$B$15)</f>
        <v>0.0706873653457367</v>
      </c>
      <c r="M496" s="6" t="n">
        <f aca="false">B496-Assumptions!$B$29</f>
        <v>391263.996662504</v>
      </c>
      <c r="N496" s="6" t="n">
        <f aca="false">W496-Assumptions!$B$29</f>
        <v>364217.849476435</v>
      </c>
      <c r="O496" s="6" t="n">
        <f aca="false">X496-Assumptions!$B$29</f>
        <v>340205.427860308</v>
      </c>
      <c r="P496" s="6" t="n">
        <f aca="false">Y496-Assumptions!$B$29</f>
        <v>298228.112913616</v>
      </c>
      <c r="Q496" s="6" t="n">
        <f aca="false">Z496-Assumptions!$B$29</f>
        <v>259711.989563063</v>
      </c>
      <c r="R496" s="6" t="n">
        <f aca="false">AA496-Assumptions!$B$29</f>
        <v>237695.095996114</v>
      </c>
      <c r="S496" s="6" t="n">
        <f aca="false">AB496-Assumptions!$B$29</f>
        <v>196091.669811902</v>
      </c>
      <c r="T496" s="6" t="n">
        <f aca="false">AC496-Assumptions!$B$29</f>
        <v>151753.893925953</v>
      </c>
      <c r="U496" s="6" t="n">
        <f aca="false">AD496-Assumptions!$B$29</f>
        <v>106207.078551128</v>
      </c>
      <c r="V496" s="6" t="n">
        <f aca="false">AE496-Assumptions!$B$29</f>
        <v>60267.6098067972</v>
      </c>
      <c r="W496" s="6" t="n">
        <f aca="false">M496*(1+C496)</f>
        <v>414217.849476435</v>
      </c>
      <c r="X496" s="6" t="n">
        <f aca="false">N496*(1+D496)</f>
        <v>390205.427860308</v>
      </c>
      <c r="Y496" s="6" t="n">
        <f aca="false">O496*(1+E496)</f>
        <v>348228.112913616</v>
      </c>
      <c r="Z496" s="6" t="n">
        <f aca="false">P496*(1+F496)</f>
        <v>309711.989563063</v>
      </c>
      <c r="AA496" s="6" t="n">
        <f aca="false">Q496*(1+G496)</f>
        <v>287695.095996114</v>
      </c>
      <c r="AB496" s="6" t="n">
        <f aca="false">R496*(1+H496)</f>
        <v>246091.669811902</v>
      </c>
      <c r="AC496" s="6" t="n">
        <f aca="false">S496*(1+I496)</f>
        <v>201753.893925953</v>
      </c>
      <c r="AD496" s="6" t="n">
        <f aca="false">T496*(1+J496)</f>
        <v>156207.078551128</v>
      </c>
      <c r="AE496" s="6" t="n">
        <f aca="false">U496*(1+K496)</f>
        <v>110267.609806797</v>
      </c>
      <c r="AF496" s="6" t="n">
        <f aca="false">V496*(1+L496)</f>
        <v>64527.7683597245</v>
      </c>
      <c r="AG496" s="6" t="n">
        <f aca="false">MIN(M496:V496)</f>
        <v>60267.6098067972</v>
      </c>
      <c r="AH496" s="19" t="n">
        <f aca="false">IF(AG496&gt;=0,1,0)</f>
        <v>1</v>
      </c>
    </row>
    <row r="497" customFormat="false" ht="15" hidden="false" customHeight="false" outlineLevel="0" collapsed="false">
      <c r="A497" s="0" t="n">
        <f aca="false">ROW()-1</f>
        <v>496</v>
      </c>
      <c r="B497" s="6" t="n">
        <f aca="false">Assumptions!$B$35</f>
        <v>441263.996662504</v>
      </c>
      <c r="C497" s="8" t="n">
        <f aca="true">NORMINV(RAND(),Assumptions!$B$14,Assumptions!$B$15)</f>
        <v>0.0534499659776893</v>
      </c>
      <c r="D497" s="8" t="n">
        <f aca="true">NORMINV(RAND(),Assumptions!$B$14,Assumptions!$B$15)</f>
        <v>-0.0114775149149204</v>
      </c>
      <c r="E497" s="8" t="n">
        <f aca="true">NORMINV(RAND(),Assumptions!$B$14,Assumptions!$B$15)</f>
        <v>0.0920942122908652</v>
      </c>
      <c r="F497" s="8" t="n">
        <f aca="true">NORMINV(RAND(),Assumptions!$B$14,Assumptions!$B$15)</f>
        <v>0.00156439547471242</v>
      </c>
      <c r="G497" s="8" t="n">
        <f aca="true">NORMINV(RAND(),Assumptions!$B$14,Assumptions!$B$15)</f>
        <v>0.03309603739445</v>
      </c>
      <c r="H497" s="8" t="n">
        <f aca="true">NORMINV(RAND(),Assumptions!$B$14,Assumptions!$B$15)</f>
        <v>0.0961885863408512</v>
      </c>
      <c r="I497" s="8" t="n">
        <f aca="true">NORMINV(RAND(),Assumptions!$B$14,Assumptions!$B$15)</f>
        <v>0.0173157319807984</v>
      </c>
      <c r="J497" s="8" t="n">
        <f aca="true">NORMINV(RAND(),Assumptions!$B$14,Assumptions!$B$15)</f>
        <v>0.00453073363684709</v>
      </c>
      <c r="K497" s="8" t="n">
        <f aca="true">NORMINV(RAND(),Assumptions!$B$14,Assumptions!$B$15)</f>
        <v>0.0683324042665843</v>
      </c>
      <c r="L497" s="8" t="n">
        <f aca="true">NORMINV(RAND(),Assumptions!$B$14,Assumptions!$B$15)</f>
        <v>0.00283207656293343</v>
      </c>
      <c r="M497" s="6" t="n">
        <f aca="false">B497-Assumptions!$B$29</f>
        <v>391263.996662504</v>
      </c>
      <c r="N497" s="6" t="n">
        <f aca="false">W497-Assumptions!$B$29</f>
        <v>362177.043972409</v>
      </c>
      <c r="O497" s="6" t="n">
        <f aca="false">X497-Assumptions!$B$29</f>
        <v>308020.151548374</v>
      </c>
      <c r="P497" s="6" t="n">
        <f aca="false">Y497-Assumptions!$B$29</f>
        <v>286387.024774934</v>
      </c>
      <c r="Q497" s="6" t="n">
        <f aca="false">Z497-Assumptions!$B$29</f>
        <v>236835.047340509</v>
      </c>
      <c r="R497" s="6" t="n">
        <f aca="false">AA497-Assumptions!$B$29</f>
        <v>194673.348923606</v>
      </c>
      <c r="S497" s="6" t="n">
        <f aca="false">AB497-Assumptions!$B$29</f>
        <v>163398.703154807</v>
      </c>
      <c r="T497" s="6" t="n">
        <f aca="false">AC497-Assumptions!$B$29</f>
        <v>116228.071304646</v>
      </c>
      <c r="U497" s="6" t="n">
        <f aca="false">AD497-Assumptions!$B$29</f>
        <v>66754.669736852</v>
      </c>
      <c r="V497" s="6" t="n">
        <f aca="false">AE497-Assumptions!$B$29</f>
        <v>21316.1768159928</v>
      </c>
      <c r="W497" s="6" t="n">
        <f aca="false">M497*(1+C497)</f>
        <v>412177.043972409</v>
      </c>
      <c r="X497" s="6" t="n">
        <f aca="false">N497*(1+D497)</f>
        <v>358020.151548374</v>
      </c>
      <c r="Y497" s="6" t="n">
        <f aca="false">O497*(1+E497)</f>
        <v>336387.024774934</v>
      </c>
      <c r="Z497" s="6" t="n">
        <f aca="false">P497*(1+F497)</f>
        <v>286835.047340509</v>
      </c>
      <c r="AA497" s="6" t="n">
        <f aca="false">Q497*(1+G497)</f>
        <v>244673.348923606</v>
      </c>
      <c r="AB497" s="6" t="n">
        <f aca="false">R497*(1+H497)</f>
        <v>213398.703154807</v>
      </c>
      <c r="AC497" s="6" t="n">
        <f aca="false">S497*(1+I497)</f>
        <v>166228.071304646</v>
      </c>
      <c r="AD497" s="6" t="n">
        <f aca="false">T497*(1+J497)</f>
        <v>116754.669736852</v>
      </c>
      <c r="AE497" s="6" t="n">
        <f aca="false">U497*(1+K497)</f>
        <v>71316.1768159928</v>
      </c>
      <c r="AF497" s="6" t="n">
        <f aca="false">V497*(1+L497)</f>
        <v>21376.5458607648</v>
      </c>
      <c r="AG497" s="6" t="n">
        <f aca="false">MIN(M497:V497)</f>
        <v>21316.1768159928</v>
      </c>
      <c r="AH497" s="19" t="n">
        <f aca="false">IF(AG497&gt;=0,1,0)</f>
        <v>1</v>
      </c>
    </row>
    <row r="498" customFormat="false" ht="15" hidden="false" customHeight="false" outlineLevel="0" collapsed="false">
      <c r="A498" s="0" t="n">
        <f aca="false">ROW()-1</f>
        <v>497</v>
      </c>
      <c r="B498" s="6" t="n">
        <f aca="false">Assumptions!$B$35</f>
        <v>441263.996662504</v>
      </c>
      <c r="C498" s="8" t="n">
        <f aca="true">NORMINV(RAND(),Assumptions!$B$14,Assumptions!$B$15)</f>
        <v>0.000962784206002564</v>
      </c>
      <c r="D498" s="8" t="n">
        <f aca="true">NORMINV(RAND(),Assumptions!$B$14,Assumptions!$B$15)</f>
        <v>0.0678056130224405</v>
      </c>
      <c r="E498" s="8" t="n">
        <f aca="true">NORMINV(RAND(),Assumptions!$B$14,Assumptions!$B$15)</f>
        <v>0.0161815914175401</v>
      </c>
      <c r="F498" s="8" t="n">
        <f aca="true">NORMINV(RAND(),Assumptions!$B$14,Assumptions!$B$15)</f>
        <v>0.0619655392748831</v>
      </c>
      <c r="G498" s="8" t="n">
        <f aca="true">NORMINV(RAND(),Assumptions!$B$14,Assumptions!$B$15)</f>
        <v>0.0106753588711013</v>
      </c>
      <c r="H498" s="8" t="n">
        <f aca="true">NORMINV(RAND(),Assumptions!$B$14,Assumptions!$B$15)</f>
        <v>0.0624005959682814</v>
      </c>
      <c r="I498" s="8" t="n">
        <f aca="true">NORMINV(RAND(),Assumptions!$B$14,Assumptions!$B$15)</f>
        <v>0.0728907154119098</v>
      </c>
      <c r="J498" s="8" t="n">
        <f aca="true">NORMINV(RAND(),Assumptions!$B$14,Assumptions!$B$15)</f>
        <v>-0.00567006487448098</v>
      </c>
      <c r="K498" s="8" t="n">
        <f aca="true">NORMINV(RAND(),Assumptions!$B$14,Assumptions!$B$15)</f>
        <v>0.101024663467635</v>
      </c>
      <c r="L498" s="8" t="n">
        <f aca="true">NORMINV(RAND(),Assumptions!$B$14,Assumptions!$B$15)</f>
        <v>0.0373730656323074</v>
      </c>
      <c r="M498" s="6" t="n">
        <f aca="false">B498-Assumptions!$B$29</f>
        <v>391263.996662504</v>
      </c>
      <c r="N498" s="6" t="n">
        <f aca="false">W498-Assumptions!$B$29</f>
        <v>341640.699458868</v>
      </c>
      <c r="O498" s="6" t="n">
        <f aca="false">X498-Assumptions!$B$29</f>
        <v>314805.856519091</v>
      </c>
      <c r="P498" s="6" t="n">
        <f aca="false">Y498-Assumptions!$B$29</f>
        <v>269899.916265132</v>
      </c>
      <c r="Q498" s="6" t="n">
        <f aca="false">Z498-Assumptions!$B$29</f>
        <v>236624.410126747</v>
      </c>
      <c r="R498" s="6" t="n">
        <f aca="false">AA498-Assumptions!$B$29</f>
        <v>189150.460622512</v>
      </c>
      <c r="S498" s="6" t="n">
        <f aca="false">AB498-Assumptions!$B$29</f>
        <v>150953.562093032</v>
      </c>
      <c r="T498" s="6" t="n">
        <f aca="false">AC498-Assumptions!$B$29</f>
        <v>111956.675227969</v>
      </c>
      <c r="U498" s="6" t="n">
        <f aca="false">AD498-Assumptions!$B$29</f>
        <v>61321.8736162957</v>
      </c>
      <c r="V498" s="6" t="n">
        <f aca="false">AE498-Assumptions!$B$29</f>
        <v>17516.8952615868</v>
      </c>
      <c r="W498" s="6" t="n">
        <f aca="false">M498*(1+C498)</f>
        <v>391640.699458868</v>
      </c>
      <c r="X498" s="6" t="n">
        <f aca="false">N498*(1+D498)</f>
        <v>364805.856519091</v>
      </c>
      <c r="Y498" s="6" t="n">
        <f aca="false">O498*(1+E498)</f>
        <v>319899.916265132</v>
      </c>
      <c r="Z498" s="6" t="n">
        <f aca="false">P498*(1+F498)</f>
        <v>286624.410126747</v>
      </c>
      <c r="AA498" s="6" t="n">
        <f aca="false">Q498*(1+G498)</f>
        <v>239150.460622512</v>
      </c>
      <c r="AB498" s="6" t="n">
        <f aca="false">R498*(1+H498)</f>
        <v>200953.562093032</v>
      </c>
      <c r="AC498" s="6" t="n">
        <f aca="false">S498*(1+I498)</f>
        <v>161956.675227969</v>
      </c>
      <c r="AD498" s="6" t="n">
        <f aca="false">T498*(1+J498)</f>
        <v>111321.873616296</v>
      </c>
      <c r="AE498" s="6" t="n">
        <f aca="false">U498*(1+K498)</f>
        <v>67516.8952615869</v>
      </c>
      <c r="AF498" s="6" t="n">
        <f aca="false">V498*(1+L498)</f>
        <v>18171.5553378724</v>
      </c>
      <c r="AG498" s="6" t="n">
        <f aca="false">MIN(M498:V498)</f>
        <v>17516.8952615868</v>
      </c>
      <c r="AH498" s="19" t="n">
        <f aca="false">IF(AG498&gt;=0,1,0)</f>
        <v>1</v>
      </c>
    </row>
    <row r="499" customFormat="false" ht="15" hidden="false" customHeight="false" outlineLevel="0" collapsed="false">
      <c r="A499" s="0" t="n">
        <f aca="false">ROW()-1</f>
        <v>498</v>
      </c>
      <c r="B499" s="6" t="n">
        <f aca="false">Assumptions!$B$35</f>
        <v>441263.996662504</v>
      </c>
      <c r="C499" s="8" t="n">
        <f aca="true">NORMINV(RAND(),Assumptions!$B$14,Assumptions!$B$15)</f>
        <v>0.0667463682500576</v>
      </c>
      <c r="D499" s="8" t="n">
        <f aca="true">NORMINV(RAND(),Assumptions!$B$14,Assumptions!$B$15)</f>
        <v>0.0129443682845797</v>
      </c>
      <c r="E499" s="8" t="n">
        <f aca="true">NORMINV(RAND(),Assumptions!$B$14,Assumptions!$B$15)</f>
        <v>-0.00248301391691035</v>
      </c>
      <c r="F499" s="8" t="n">
        <f aca="true">NORMINV(RAND(),Assumptions!$B$14,Assumptions!$B$15)</f>
        <v>0.0398589408380196</v>
      </c>
      <c r="G499" s="8" t="n">
        <f aca="true">NORMINV(RAND(),Assumptions!$B$14,Assumptions!$B$15)</f>
        <v>0.0399449797534217</v>
      </c>
      <c r="H499" s="8" t="n">
        <f aca="true">NORMINV(RAND(),Assumptions!$B$14,Assumptions!$B$15)</f>
        <v>0.0343058602782923</v>
      </c>
      <c r="I499" s="8" t="n">
        <f aca="true">NORMINV(RAND(),Assumptions!$B$14,Assumptions!$B$15)</f>
        <v>0.0676033867493664</v>
      </c>
      <c r="J499" s="8" t="n">
        <f aca="true">NORMINV(RAND(),Assumptions!$B$14,Assumptions!$B$15)</f>
        <v>0.0596816430523325</v>
      </c>
      <c r="K499" s="8" t="n">
        <f aca="true">NORMINV(RAND(),Assumptions!$B$14,Assumptions!$B$15)</f>
        <v>0.0622187583007965</v>
      </c>
      <c r="L499" s="8" t="n">
        <f aca="true">NORMINV(RAND(),Assumptions!$B$14,Assumptions!$B$15)</f>
        <v>0.0783983878368061</v>
      </c>
      <c r="M499" s="6" t="n">
        <f aca="false">B499-Assumptions!$B$29</f>
        <v>391263.996662504</v>
      </c>
      <c r="N499" s="6" t="n">
        <f aca="false">W499-Assumptions!$B$29</f>
        <v>367379.447466728</v>
      </c>
      <c r="O499" s="6" t="n">
        <f aca="false">X499-Assumptions!$B$29</f>
        <v>322134.942334923</v>
      </c>
      <c r="P499" s="6" t="n">
        <f aca="false">Y499-Assumptions!$B$29</f>
        <v>271335.076789982</v>
      </c>
      <c r="Q499" s="6" t="n">
        <f aca="false">Z499-Assumptions!$B$29</f>
        <v>232150.205563034</v>
      </c>
      <c r="R499" s="6" t="n">
        <f aca="false">AA499-Assumptions!$B$29</f>
        <v>191423.440824002</v>
      </c>
      <c r="S499" s="6" t="n">
        <f aca="false">AB499-Assumptions!$B$29</f>
        <v>147990.3866389</v>
      </c>
      <c r="T499" s="6" t="n">
        <f aca="false">AC499-Assumptions!$B$29</f>
        <v>107995.037982038</v>
      </c>
      <c r="U499" s="6" t="n">
        <f aca="false">AD499-Assumptions!$B$29</f>
        <v>64440.359290305</v>
      </c>
      <c r="V499" s="6" t="n">
        <f aca="false">AE499-Assumptions!$B$29</f>
        <v>18449.7584298049</v>
      </c>
      <c r="W499" s="6" t="n">
        <f aca="false">M499*(1+C499)</f>
        <v>417379.447466728</v>
      </c>
      <c r="X499" s="6" t="n">
        <f aca="false">N499*(1+D499)</f>
        <v>372134.942334923</v>
      </c>
      <c r="Y499" s="6" t="n">
        <f aca="false">O499*(1+E499)</f>
        <v>321335.076789982</v>
      </c>
      <c r="Z499" s="6" t="n">
        <f aca="false">P499*(1+F499)</f>
        <v>282150.205563034</v>
      </c>
      <c r="AA499" s="6" t="n">
        <f aca="false">Q499*(1+G499)</f>
        <v>241423.440824002</v>
      </c>
      <c r="AB499" s="6" t="n">
        <f aca="false">R499*(1+H499)</f>
        <v>197990.3866389</v>
      </c>
      <c r="AC499" s="6" t="n">
        <f aca="false">S499*(1+I499)</f>
        <v>157995.037982038</v>
      </c>
      <c r="AD499" s="6" t="n">
        <f aca="false">T499*(1+J499)</f>
        <v>114440.359290305</v>
      </c>
      <c r="AE499" s="6" t="n">
        <f aca="false">U499*(1+K499)</f>
        <v>68449.7584298049</v>
      </c>
      <c r="AF499" s="6" t="n">
        <f aca="false">V499*(1+L499)</f>
        <v>19896.1897466802</v>
      </c>
      <c r="AG499" s="6" t="n">
        <f aca="false">MIN(M499:V499)</f>
        <v>18449.7584298049</v>
      </c>
      <c r="AH499" s="19" t="n">
        <f aca="false">IF(AG499&gt;=0,1,0)</f>
        <v>1</v>
      </c>
    </row>
    <row r="500" customFormat="false" ht="15" hidden="false" customHeight="false" outlineLevel="0" collapsed="false">
      <c r="A500" s="0" t="n">
        <f aca="false">ROW()-1</f>
        <v>499</v>
      </c>
      <c r="B500" s="6" t="n">
        <f aca="false">Assumptions!$B$35</f>
        <v>441263.996662504</v>
      </c>
      <c r="C500" s="8" t="n">
        <f aca="true">NORMINV(RAND(),Assumptions!$B$14,Assumptions!$B$15)</f>
        <v>0.0478409247386983</v>
      </c>
      <c r="D500" s="8" t="n">
        <f aca="true">NORMINV(RAND(),Assumptions!$B$14,Assumptions!$B$15)</f>
        <v>0.00155998307141758</v>
      </c>
      <c r="E500" s="8" t="n">
        <f aca="true">NORMINV(RAND(),Assumptions!$B$14,Assumptions!$B$15)</f>
        <v>0.081628278337483</v>
      </c>
      <c r="F500" s="8" t="n">
        <f aca="true">NORMINV(RAND(),Assumptions!$B$14,Assumptions!$B$15)</f>
        <v>0.0793690519468682</v>
      </c>
      <c r="G500" s="8" t="n">
        <f aca="true">NORMINV(RAND(),Assumptions!$B$14,Assumptions!$B$15)</f>
        <v>0.00771052209408864</v>
      </c>
      <c r="H500" s="8" t="n">
        <f aca="true">NORMINV(RAND(),Assumptions!$B$14,Assumptions!$B$15)</f>
        <v>0.0712787889894533</v>
      </c>
      <c r="I500" s="8" t="n">
        <f aca="true">NORMINV(RAND(),Assumptions!$B$14,Assumptions!$B$15)</f>
        <v>0.052753288396747</v>
      </c>
      <c r="J500" s="8" t="n">
        <f aca="true">NORMINV(RAND(),Assumptions!$B$14,Assumptions!$B$15)</f>
        <v>0.010271041365349</v>
      </c>
      <c r="K500" s="8" t="n">
        <f aca="true">NORMINV(RAND(),Assumptions!$B$14,Assumptions!$B$15)</f>
        <v>0.0409458103311331</v>
      </c>
      <c r="L500" s="8" t="n">
        <f aca="true">NORMINV(RAND(),Assumptions!$B$14,Assumptions!$B$15)</f>
        <v>0.0436117693084045</v>
      </c>
      <c r="M500" s="6" t="n">
        <f aca="false">B500-Assumptions!$B$29</f>
        <v>391263.996662504</v>
      </c>
      <c r="N500" s="6" t="n">
        <f aca="false">W500-Assumptions!$B$29</f>
        <v>359982.428079797</v>
      </c>
      <c r="O500" s="6" t="n">
        <f aca="false">X500-Assumptions!$B$29</f>
        <v>310543.994573609</v>
      </c>
      <c r="P500" s="6" t="n">
        <f aca="false">Y500-Assumptions!$B$29</f>
        <v>285893.166198697</v>
      </c>
      <c r="Q500" s="6" t="n">
        <f aca="false">Z500-Assumptions!$B$29</f>
        <v>258584.235757976</v>
      </c>
      <c r="R500" s="6" t="n">
        <f aca="false">AA500-Assumptions!$B$29</f>
        <v>210578.055220971</v>
      </c>
      <c r="S500" s="6" t="n">
        <f aca="false">AB500-Assumptions!$B$29</f>
        <v>175587.803984876</v>
      </c>
      <c r="T500" s="6" t="n">
        <f aca="false">AC500-Assumptions!$B$29</f>
        <v>134850.638047442</v>
      </c>
      <c r="U500" s="6" t="n">
        <f aca="false">AD500-Assumptions!$B$29</f>
        <v>86235.694528971</v>
      </c>
      <c r="V500" s="6" t="n">
        <f aca="false">AE500-Assumptions!$B$29</f>
        <v>39766.6849209277</v>
      </c>
      <c r="W500" s="6" t="n">
        <f aca="false">M500*(1+C500)</f>
        <v>409982.428079797</v>
      </c>
      <c r="X500" s="6" t="n">
        <f aca="false">N500*(1+D500)</f>
        <v>360543.994573609</v>
      </c>
      <c r="Y500" s="6" t="n">
        <f aca="false">O500*(1+E500)</f>
        <v>335893.166198697</v>
      </c>
      <c r="Z500" s="6" t="n">
        <f aca="false">P500*(1+F500)</f>
        <v>308584.235757976</v>
      </c>
      <c r="AA500" s="6" t="n">
        <f aca="false">Q500*(1+G500)</f>
        <v>260578.055220971</v>
      </c>
      <c r="AB500" s="6" t="n">
        <f aca="false">R500*(1+H500)</f>
        <v>225587.803984876</v>
      </c>
      <c r="AC500" s="6" t="n">
        <f aca="false">S500*(1+I500)</f>
        <v>184850.638047442</v>
      </c>
      <c r="AD500" s="6" t="n">
        <f aca="false">T500*(1+J500)</f>
        <v>136235.694528971</v>
      </c>
      <c r="AE500" s="6" t="n">
        <f aca="false">U500*(1+K500)</f>
        <v>89766.6849209277</v>
      </c>
      <c r="AF500" s="6" t="n">
        <f aca="false">V500*(1+L500)</f>
        <v>41500.9804098592</v>
      </c>
      <c r="AG500" s="6" t="n">
        <f aca="false">MIN(M500:V500)</f>
        <v>39766.6849209277</v>
      </c>
      <c r="AH500" s="19" t="n">
        <f aca="false">IF(AG500&gt;=0,1,0)</f>
        <v>1</v>
      </c>
    </row>
    <row r="501" customFormat="false" ht="15" hidden="false" customHeight="false" outlineLevel="0" collapsed="false">
      <c r="A501" s="0" t="n">
        <f aca="false">ROW()-1</f>
        <v>500</v>
      </c>
      <c r="B501" s="6" t="n">
        <f aca="false">Assumptions!$B$35</f>
        <v>441263.996662504</v>
      </c>
      <c r="C501" s="8" t="n">
        <f aca="true">NORMINV(RAND(),Assumptions!$B$14,Assumptions!$B$15)</f>
        <v>0.0310870429923349</v>
      </c>
      <c r="D501" s="8" t="n">
        <f aca="true">NORMINV(RAND(),Assumptions!$B$14,Assumptions!$B$15)</f>
        <v>0.0583638793733632</v>
      </c>
      <c r="E501" s="8" t="n">
        <f aca="true">NORMINV(RAND(),Assumptions!$B$14,Assumptions!$B$15)</f>
        <v>0.033403573212728</v>
      </c>
      <c r="F501" s="8" t="n">
        <f aca="true">NORMINV(RAND(),Assumptions!$B$14,Assumptions!$B$15)</f>
        <v>0.0643036625738714</v>
      </c>
      <c r="G501" s="8" t="n">
        <f aca="true">NORMINV(RAND(),Assumptions!$B$14,Assumptions!$B$15)</f>
        <v>0.0449123945737104</v>
      </c>
      <c r="H501" s="8" t="n">
        <f aca="true">NORMINV(RAND(),Assumptions!$B$14,Assumptions!$B$15)</f>
        <v>0.0400979596815304</v>
      </c>
      <c r="I501" s="8" t="n">
        <f aca="true">NORMINV(RAND(),Assumptions!$B$14,Assumptions!$B$15)</f>
        <v>0.0593430276048554</v>
      </c>
      <c r="J501" s="8" t="n">
        <f aca="true">NORMINV(RAND(),Assumptions!$B$14,Assumptions!$B$15)</f>
        <v>0.0376175964922366</v>
      </c>
      <c r="K501" s="8" t="n">
        <f aca="true">NORMINV(RAND(),Assumptions!$B$14,Assumptions!$B$15)</f>
        <v>0.0909369868930196</v>
      </c>
      <c r="L501" s="8" t="n">
        <f aca="true">NORMINV(RAND(),Assumptions!$B$14,Assumptions!$B$15)</f>
        <v>-0.00861618521497871</v>
      </c>
      <c r="M501" s="6" t="n">
        <f aca="false">B501-Assumptions!$B$29</f>
        <v>391263.996662504</v>
      </c>
      <c r="N501" s="6" t="n">
        <f aca="false">W501-Assumptions!$B$29</f>
        <v>353427.237348104</v>
      </c>
      <c r="O501" s="6" t="n">
        <f aca="false">X501-Assumptions!$B$29</f>
        <v>324054.621995949</v>
      </c>
      <c r="P501" s="6" t="n">
        <f aca="false">Y501-Assumptions!$B$29</f>
        <v>284879.204286714</v>
      </c>
      <c r="Q501" s="6" t="n">
        <f aca="false">Z501-Assumptions!$B$29</f>
        <v>253197.98051348</v>
      </c>
      <c r="R501" s="6" t="n">
        <f aca="false">AA501-Assumptions!$B$29</f>
        <v>214569.708119568</v>
      </c>
      <c r="S501" s="6" t="n">
        <f aca="false">AB501-Assumptions!$B$29</f>
        <v>173173.515624624</v>
      </c>
      <c r="T501" s="6" t="n">
        <f aca="false">AC501-Assumptions!$B$29</f>
        <v>133450.156342766</v>
      </c>
      <c r="U501" s="6" t="n">
        <f aca="false">AD501-Assumptions!$B$29</f>
        <v>88470.2304758939</v>
      </c>
      <c r="V501" s="6" t="n">
        <f aca="false">AE501-Assumptions!$B$29</f>
        <v>46515.4466651027</v>
      </c>
      <c r="W501" s="6" t="n">
        <f aca="false">M501*(1+C501)</f>
        <v>403427.237348104</v>
      </c>
      <c r="X501" s="6" t="n">
        <f aca="false">N501*(1+D501)</f>
        <v>374054.621995949</v>
      </c>
      <c r="Y501" s="6" t="n">
        <f aca="false">O501*(1+E501)</f>
        <v>334879.204286714</v>
      </c>
      <c r="Z501" s="6" t="n">
        <f aca="false">P501*(1+F501)</f>
        <v>303197.98051348</v>
      </c>
      <c r="AA501" s="6" t="n">
        <f aca="false">Q501*(1+G501)</f>
        <v>264569.708119568</v>
      </c>
      <c r="AB501" s="6" t="n">
        <f aca="false">R501*(1+H501)</f>
        <v>223173.515624624</v>
      </c>
      <c r="AC501" s="6" t="n">
        <f aca="false">S501*(1+I501)</f>
        <v>183450.156342766</v>
      </c>
      <c r="AD501" s="6" t="n">
        <f aca="false">T501*(1+J501)</f>
        <v>138470.230475894</v>
      </c>
      <c r="AE501" s="6" t="n">
        <f aca="false">U501*(1+K501)</f>
        <v>96515.4466651027</v>
      </c>
      <c r="AF501" s="6" t="n">
        <f aca="false">V501*(1+L501)</f>
        <v>46114.6609612787</v>
      </c>
      <c r="AG501" s="6" t="n">
        <f aca="false">MIN(M501:V501)</f>
        <v>46515.4466651027</v>
      </c>
      <c r="AH501" s="19" t="n">
        <f aca="false">IF(AG501&gt;=0,1,0)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2026-09-23T02:52:30Z</dcterms:created>
  <dc:creator>openpyxl</dc:creator>
  <dc:description/>
  <dc:language>en-US</dc:language>
  <cp:lastModifiedBy/>
  <dcterms:modified xsi:type="dcterms:W3CDTF">2026-09-23T02:54:15Z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