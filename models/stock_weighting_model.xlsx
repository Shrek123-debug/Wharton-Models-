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adMe" sheetId="2" state="visible" r:id="rId4"/>
    <sheet name="Mode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<sst xmlns="http://schemas.openxmlformats.org/spreadsheetml/2006/main" count="129" uniqueCount="120">
  <si>
    <t xml:space="preserve">HOW MUCH OF THE PORTFOLIO GOES INTO EACH STOCK</t>
  </si>
  <si>
    <t xml:space="preserve">To add a new stock: go to the Model tab, type it into the next empty row (A-G). The answer appears here automatically.</t>
  </si>
  <si>
    <t xml:space="preserve">Ticker</t>
  </si>
  <si>
    <t xml:space="preserve">Name</t>
  </si>
  <si>
    <t xml:space="preserve">% of Portfolio</t>
  </si>
  <si>
    <t xml:space="preserve">TOTAL</t>
  </si>
  <si>
    <t xml:space="preserve">Stock Weighting Model — How It Works</t>
  </si>
  <si>
    <t xml:space="preserve">THE FORMULA</t>
  </si>
  <si>
    <t xml:space="preserve">For each Stock or Bond holding: Score = (Expected Return − Risk-Free Rate) / Volatility²</t>
  </si>
  <si>
    <t xml:space="preserve">This is the closed-form Sharpe-maximizing weight formula under the simplifying assumption</t>
  </si>
  <si>
    <t xml:space="preserve">that holdings are uncorrelated with each other. It rewards higher expected return AND</t>
  </si>
  <si>
    <t xml:space="preserve">penalizes volatility twice as hard (squared) — so a jumpy stock needs a meaningfully</t>
  </si>
  <si>
    <t xml:space="preserve">higher expected return to earn the same weight as a calmer one.</t>
  </si>
  <si>
    <t xml:space="preserve">WHY NOT A FULL COVARIANCE MATRIX?</t>
  </si>
  <si>
    <t xml:space="preserve">A true mean-variance optimizer needs pairwise correlations between every holding, which</t>
  </si>
  <si>
    <t xml:space="preserve">requires real historical price data this model doesn't have access to. The zero-correlation</t>
  </si>
  <si>
    <t xml:space="preserve">simplification is a standard, defensible shortcut — note it explicitly in your report as an</t>
  </si>
  <si>
    <t xml:space="preserve">assumption, since correlated holdings (e.g., two tech stocks) would actually need LOWER</t>
  </si>
  <si>
    <t xml:space="preserve">combined weight than this model suggests to hit the same risk level.</t>
  </si>
  <si>
    <t xml:space="preserve">STEPS THE MODEL TAKES</t>
  </si>
  <si>
    <t xml:space="preserve">1. Score every Stock/Bond holding using the formula above.</t>
  </si>
  <si>
    <t xml:space="preserve">2. Normalize scores within each bucket (Stocks / Bonds / Cash) so they sum to that</t>
  </si>
  <si>
    <t xml:space="preserve">   bucket's target allocation (e.g., all Stock scores scaled to sum to 70%).</t>
  </si>
  <si>
    <t xml:space="preserve">3. Cap any single position at 25% of the TOTAL portfolio (WInS's position limit) and</t>
  </si>
  <si>
    <t xml:space="preserve">   redistribute the excess to other holdings in the same bucket.</t>
  </si>
  <si>
    <t xml:space="preserve">4. Flag anything still over 25% after redistribution for manual review.</t>
  </si>
  <si>
    <t xml:space="preserve">WHAT YOU NEED TO DO</t>
  </si>
  <si>
    <t xml:space="preserve">The Return and Volatility columns on the Model tab are ILLUSTRATIVE starting points,</t>
  </si>
  <si>
    <t xml:space="preserve">not live data — replace them with real trailing-return/volatility figures (from WInS's own</t>
  </si>
  <si>
    <t xml:space="preserve">price charts, or any finance site) before you finalize weights for your IPS.</t>
  </si>
  <si>
    <t xml:space="preserve">CANDIDATE HOLDINGS PRE-FILLED (tied to Laura Gao's case)</t>
  </si>
  <si>
    <t xml:space="preserve">VOO — S&amp;P 500 ETF: core broad-market growth holding, anchors the Stocks bucket.</t>
  </si>
  <si>
    <t xml:space="preserve">ADBE, DIS, DUOL — creative software / media &amp; storytelling / education: thematic ties to</t>
  </si>
  <si>
    <t xml:space="preserve">Laura's creative-economy background, each a small satellite position so no single company</t>
  </si>
  <si>
    <t xml:space="preserve">dominates the bucket's risk.</t>
  </si>
  <si>
    <t xml:space="preserve">10-Year Treasury + SHY (1-3yr Treasury ETF) — two different bond durations, giving the</t>
  </si>
  <si>
    <t xml:space="preserve">Bonds bucket its own internal diversification rather than one single bond position.</t>
  </si>
  <si>
    <t xml:space="preserve">Cash — flat allocation, not risk-scored, your liquidity/flexibility buffer.</t>
  </si>
  <si>
    <t xml:space="preserve">Check every ticker against your team's WInS-approved stock list before trading.</t>
  </si>
  <si>
    <t xml:space="preserve">UPDATE: CORRELATION-GROUP CAPPING (v2)</t>
  </si>
  <si>
    <t xml:space="preserve">Holdings sharing a Correlation Group tag (e.g., ADBE/DIS/DUOL tagged 'Growth/</t>
  </si>
  <si>
    <t xml:space="preserve">Consumer-Tech') now have their COMBINED weight capped, not just each individually.</t>
  </si>
  <si>
    <t xml:space="preserve">Freed-up weight is redistributed only to holdings NOT in an over-cap group.</t>
  </si>
  <si>
    <t xml:space="preserve">REAL FINDING FROM THIS RUN: with only VOO + 3 correlated satellites, the 70%</t>
  </si>
  <si>
    <t xml:space="preserve">Stocks target becomes UNREACHABLE under a 25% position cap + 30% group cap —</t>
  </si>
  <si>
    <t xml:space="preserve">the model flags a 10% shortfall rather than silently papering over it. This is a</t>
  </si>
  <si>
    <t xml:space="preserve">genuine structural result, not a bug: it means you need either (a) a 5th stock</t>
  </si>
  <si>
    <t xml:space="preserve">that ISN'T correlated with the Growth/Consumer-Tech cluster (the blank 5th row</t>
  </si>
  <si>
    <t xml:space="preserve">is there for exactly this), or (b) looser caps — and either choice is worth a</t>
  </si>
  <si>
    <t xml:space="preserve">sentence in your report explaining which you picked and why.</t>
  </si>
  <si>
    <t xml:space="preserve">Stock Weighting Model — Laura Gao Portfolio (v2: correlation-aware)</t>
  </si>
  <si>
    <t xml:space="preserve">Edit blue cells. See ReadMe tab for methodology. Verify Return/Volatility before finalizing.</t>
  </si>
  <si>
    <t xml:space="preserve">Config</t>
  </si>
  <si>
    <t xml:space="preserve">Risk-Free Rate</t>
  </si>
  <si>
    <t xml:space="preserve">Current ~3-month T-bill yield</t>
  </si>
  <si>
    <t xml:space="preserve">Max Single-Position Cap</t>
  </si>
  <si>
    <t xml:space="preserve">WInS platform position limit</t>
  </si>
  <si>
    <t xml:space="preserve">Max Correlated-Group Combined Cap</t>
  </si>
  <si>
    <t xml:space="preserve">Holdings sharing a Correlation Group tag can't together exceed this, even if each is under the single-position cap</t>
  </si>
  <si>
    <t xml:space="preserve">Target Allocation — Stocks</t>
  </si>
  <si>
    <t xml:space="preserve">Target Allocation — Bonds</t>
  </si>
  <si>
    <t xml:space="preserve">Target Allocation — Cash</t>
  </si>
  <si>
    <t xml:space="preserve">Target Sum Check (should be 100%)</t>
  </si>
  <si>
    <t xml:space="preserve">Name / Description</t>
  </si>
  <si>
    <t xml:space="preserve">Bucket</t>
  </si>
  <si>
    <t xml:space="preserve">Correlation Group
(blank = independent)</t>
  </si>
  <si>
    <t xml:space="preserve">Thematic Rationale</t>
  </si>
  <si>
    <t xml:space="preserve">Expected Return</t>
  </si>
  <si>
    <t xml:space="preserve">Volatility (Std Dev)</t>
  </si>
  <si>
    <t xml:space="preserve">Bucket Target (h)</t>
  </si>
  <si>
    <t xml:space="preserve">Score (i)</t>
  </si>
  <si>
    <t xml:space="preserve">Raw Wt in Bucket (j)</t>
  </si>
  <si>
    <t xml:space="preserve">Pre-Cap Weight (k)</t>
  </si>
  <si>
    <t xml:space="preserve">Group Key (l)</t>
  </si>
  <si>
    <t xml:space="preserve">Group Sum (m)</t>
  </si>
  <si>
    <t xml:space="preserve">Group-Adj Weight (n)</t>
  </si>
  <si>
    <t xml:space="preserve">Row Shrink Amt (o)</t>
  </si>
  <si>
    <t xml:space="preserve">Bucket Redist Pool (p)</t>
  </si>
  <si>
    <t xml:space="preserve">Eligible Bucket Sum (q)</t>
  </si>
  <si>
    <t xml:space="preserve">Group-Adj Renorm (r)</t>
  </si>
  <si>
    <t xml:space="preserve">Excess if Pos-Capped (s)</t>
  </si>
  <si>
    <t xml:space="preserve">Bucket Excess Sum (t)</t>
  </si>
  <si>
    <t xml:space="preserve">Uncapped Bucket Sum (u)</t>
  </si>
  <si>
    <t xml:space="preserve">FINAL WEIGHT</t>
  </si>
  <si>
    <t xml:space="preserve">Position Cap Check</t>
  </si>
  <si>
    <t xml:space="preserve">Group Cap Note</t>
  </si>
  <si>
    <t xml:space="preserve">Why</t>
  </si>
  <si>
    <t xml:space="preserve">Bucket Gap (z)</t>
  </si>
  <si>
    <t xml:space="preserve">Eligible Gap-Fill Sum (aa)</t>
  </si>
  <si>
    <t xml:space="preserve">TRUE FINAL WEIGHT</t>
  </si>
  <si>
    <t xml:space="preserve">VOO</t>
  </si>
  <si>
    <t xml:space="preserve">Vanguard S&amp;P 500 ETF</t>
  </si>
  <si>
    <t xml:space="preserve">Stocks</t>
  </si>
  <si>
    <t xml:space="preserve">Core broad-market holding; anchors the growth bucket with built-in diversification.</t>
  </si>
  <si>
    <t xml:space="preserve">ADBE</t>
  </si>
  <si>
    <t xml:space="preserve">Adobe Inc.</t>
  </si>
  <si>
    <t xml:space="preserve">Growth/Consumer-Tech</t>
  </si>
  <si>
    <t xml:space="preserve">Creative software; thematic tie to Laura's creative-economy background.</t>
  </si>
  <si>
    <t xml:space="preserve">DIS</t>
  </si>
  <si>
    <t xml:space="preserve">Walt Disney Co.</t>
  </si>
  <si>
    <t xml:space="preserve">Storytelling/media/IP; thematic tie to Laura's work as an author and illustrator.</t>
  </si>
  <si>
    <t xml:space="preserve">DUOL</t>
  </si>
  <si>
    <t xml:space="preserve">Duolingo Inc.</t>
  </si>
  <si>
    <t xml:space="preserve">Education/edtech; thematic tie to Laura's work as an educator.</t>
  </si>
  <si>
    <t xml:space="preserve">(your 5th stock pick)</t>
  </si>
  <si>
    <t xml:space="preserve">TBD — replace with your own pick.</t>
  </si>
  <si>
    <t xml:space="preserve">IEF</t>
  </si>
  <si>
    <t xml:space="preserve">iShares 7-10 Year Treasury Bond ETF</t>
  </si>
  <si>
    <t xml:space="preserve">Bonds</t>
  </si>
  <si>
    <t xml:space="preserve">Intermediate-duration safety; matches your existing 10-Year Treasury pick.</t>
  </si>
  <si>
    <t xml:space="preserve">SHY</t>
  </si>
  <si>
    <t xml:space="preserve">iShares 1-3 Year Treasury Bond ETF</t>
  </si>
  <si>
    <t xml:space="preserve">Short-duration complement; adds internal diversification within the Bonds bucket.</t>
  </si>
  <si>
    <t xml:space="preserve">CASH</t>
  </si>
  <si>
    <t xml:space="preserve">Cash</t>
  </si>
  <si>
    <t xml:space="preserve">Liquidity/flexibility buffer; held flat, not risk-scored.</t>
  </si>
  <si>
    <t xml:space="preserve">Stocks Subtotal</t>
  </si>
  <si>
    <t xml:space="preserve">Bonds Subtotal</t>
  </si>
  <si>
    <t xml:space="preserve">Cash Subtotal</t>
  </si>
  <si>
    <t xml:space="preserve">TOTAL (always 100%)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</si>
</sst>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%"/>
    <numFmt numFmtId="167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0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0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sz val="11"/>
      <color rgb="FF0000FF"/>
      <name val="Cambria"/>
      <family val="0"/>
      <charset val="1"/>
    </font>
    <font>
      <sz val="9"/>
      <color rgb="FF80808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Final Suggested Weight by Holding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Model!AB13</c:f>
              <c:strCache>
                <c:ptCount val="1"/>
                <c:pt idx="0">
                  <c:v>TRUE FINAL WEIGHT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Model!$A$14:$A$21</c:f>
              <c:strCache>
                <c:ptCount val="8"/>
                <c:pt idx="0">
                  <c:v>VOO</c:v>
                </c:pt>
                <c:pt idx="1">
                  <c:v>ADBE</c:v>
                </c:pt>
                <c:pt idx="2">
                  <c:v>DIS</c:v>
                </c:pt>
                <c:pt idx="3">
                  <c:v>DUOL</c:v>
                </c:pt>
                <c:pt idx="4">
                  <c:v/>
                </c:pt>
                <c:pt idx="5">
                  <c:v>IEF</c:v>
                </c:pt>
                <c:pt idx="6">
                  <c:v>SHY</c:v>
                </c:pt>
                <c:pt idx="7">
                  <c:v>CASH</c:v>
                </c:pt>
              </c:strCache>
            </c:strRef>
          </c:cat>
          <c:val>
            <c:numRef>
              <c:f>Model!$AB$14:$AB$21</c:f>
              <c:numCache>
                <c:formatCode>0.00%</c:formatCode>
                <c:ptCount val="8"/>
                <c:pt idx="0">
                  <c:v>0.25</c:v>
                </c:pt>
                <c:pt idx="1">
                  <c:v>0.220146557952317</c:v>
                </c:pt>
                <c:pt idx="2">
                  <c:v>0.0946723088037981</c:v>
                </c:pt>
                <c:pt idx="3">
                  <c:v>0.135181133243885</c:v>
                </c:pt>
                <c:pt idx="4">
                  <c:v>0</c:v>
                </c:pt>
                <c:pt idx="5">
                  <c:v>0.043076923076923</c:v>
                </c:pt>
                <c:pt idx="6">
                  <c:v>0.131923076923077</c:v>
                </c:pt>
                <c:pt idx="7">
                  <c:v>0.125</c:v>
                </c:pt>
              </c:numCache>
            </c:numRef>
          </c:val>
        </c:ser>
        <c:gapWidth val="150"/>
        <c:overlap val="0"/>
        <c:axId val="88761880"/>
        <c:axId val="90463302"/>
      </c:barChart>
      <c:catAx>
        <c:axId val="887618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Ticker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463302"/>
        <c:crosses val="autoZero"/>
        <c:auto val="1"/>
        <c:lblAlgn val="ctr"/>
        <c:lblOffset val="100"/>
        <c:noMultiLvlLbl val="0"/>
      </c:catAx>
      <c:valAx>
        <c:axId val="904633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Weight (% of Portfolio)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7618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29</xdr:col>
      <xdr:colOff>0</xdr:colOff>
      <xdr:row>3</xdr:row>
      <xdr:rowOff>0</xdr:rowOff>
    </xdr:from>
    <xdr:to>
      <xdr:col>40</xdr:col>
      <xdr:colOff>472680</xdr:colOff>
      <xdr:row>14</xdr:row>
      <xdr:rowOff>391320</xdr:rowOff>
    </xdr:to>
    <xdr:graphicFrame>
      <xdr:nvGraphicFramePr>
        <xdr:cNvPr id="0" name="Chart 1"/>
        <xdr:cNvGraphicFramePr/>
      </xdr:nvGraphicFramePr>
      <xdr:xfrm>
        <a:off x="26902440" y="60012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0" t="str">
        <f aca="false">IF(Model!A14="","",Model!A14)</f>
        <v>VOO</v>
      </c>
      <c r="B5" s="0" t="str">
        <f aca="false">IF(Model!A14="","",Model!B14)</f>
        <v>Vanguard S&amp;P 500 ETF</v>
      </c>
      <c r="C5" s="4" t="n">
        <f aca="false">IF(Model!A14="","",Model!AB14)</f>
        <v>0.25</v>
      </c>
    </row>
    <row r="6" customFormat="false" ht="15" hidden="false" customHeight="false" outlineLevel="0" collapsed="false">
      <c r="A6" s="0" t="str">
        <f aca="false">IF(Model!A15="","",Model!A15)</f>
        <v>ADBE</v>
      </c>
      <c r="B6" s="0" t="str">
        <f aca="false">IF(Model!A15="","",Model!B15)</f>
        <v>Adobe Inc.</v>
      </c>
      <c r="C6" s="4" t="n">
        <f aca="false">IF(Model!A15="","",Model!AB15)</f>
        <v>0.220146557952317</v>
      </c>
    </row>
    <row r="7" customFormat="false" ht="15" hidden="false" customHeight="false" outlineLevel="0" collapsed="false">
      <c r="A7" s="0" t="str">
        <f aca="false">IF(Model!A16="","",Model!A16)</f>
        <v>DIS</v>
      </c>
      <c r="B7" s="0" t="str">
        <f aca="false">IF(Model!A16="","",Model!B16)</f>
        <v>Walt Disney Co.</v>
      </c>
      <c r="C7" s="4" t="n">
        <f aca="false">IF(Model!A16="","",Model!AB16)</f>
        <v>0.0946723088037981</v>
      </c>
    </row>
    <row r="8" customFormat="false" ht="15" hidden="false" customHeight="false" outlineLevel="0" collapsed="false">
      <c r="A8" s="0" t="str">
        <f aca="false">IF(Model!A17="","",Model!A17)</f>
        <v>DUOL</v>
      </c>
      <c r="B8" s="0" t="str">
        <f aca="false">IF(Model!A17="","",Model!B17)</f>
        <v>Duolingo Inc.</v>
      </c>
      <c r="C8" s="4" t="n">
        <f aca="false">IF(Model!A17="","",Model!AB17)</f>
        <v>0.135181133243885</v>
      </c>
    </row>
    <row r="9" customFormat="false" ht="15" hidden="false" customHeight="false" outlineLevel="0" collapsed="false">
      <c r="A9" s="0" t="str">
        <f aca="false">IF(Model!A18="","",Model!A18)</f>
        <v/>
      </c>
      <c r="B9" s="0" t="str">
        <f aca="false">IF(Model!A18="","",Model!B18)</f>
        <v/>
      </c>
      <c r="C9" s="4" t="str">
        <f aca="false">IF(Model!A18="","",Model!AB18)</f>
        <v/>
      </c>
    </row>
    <row r="10" customFormat="false" ht="15" hidden="false" customHeight="false" outlineLevel="0" collapsed="false">
      <c r="A10" s="0" t="str">
        <f aca="false">IF(Model!A19="","",Model!A19)</f>
        <v>IEF</v>
      </c>
      <c r="B10" s="0" t="str">
        <f aca="false">IF(Model!A19="","",Model!B19)</f>
        <v>iShares 7-10 Year Treasury Bond ETF</v>
      </c>
      <c r="C10" s="4" t="n">
        <f aca="false">IF(Model!A19="","",Model!AB19)</f>
        <v>0.043076923076923</v>
      </c>
    </row>
    <row r="11" customFormat="false" ht="15" hidden="false" customHeight="false" outlineLevel="0" collapsed="false">
      <c r="A11" s="0" t="str">
        <f aca="false">IF(Model!A20="","",Model!A20)</f>
        <v>SHY</v>
      </c>
      <c r="B11" s="0" t="str">
        <f aca="false">IF(Model!A20="","",Model!B20)</f>
        <v>iShares 1-3 Year Treasury Bond ETF</v>
      </c>
      <c r="C11" s="4" t="n">
        <f aca="false">IF(Model!A20="","",Model!AB20)</f>
        <v>0.131923076923077</v>
      </c>
    </row>
    <row r="12" customFormat="false" ht="15" hidden="false" customHeight="false" outlineLevel="0" collapsed="false">
      <c r="A12" s="0" t="str">
        <f aca="false">IF(Model!A21="","",Model!A21)</f>
        <v>CASH</v>
      </c>
      <c r="B12" s="0" t="str">
        <f aca="false">IF(Model!A21="","",Model!B21)</f>
        <v>Cash</v>
      </c>
      <c r="C12" s="4" t="n">
        <f aca="false">IF(Model!A21="","",Model!AB21)</f>
        <v>0.125</v>
      </c>
    </row>
    <row r="13" customFormat="false" ht="15" hidden="false" customHeight="false" outlineLevel="0" collapsed="false">
      <c r="A13" s="0" t="str">
        <f aca="false">IF(Model!A22="","",Model!A22)</f>
        <v/>
      </c>
      <c r="B13" s="0" t="str">
        <f aca="false">IF(Model!A22="","",Model!B22)</f>
        <v/>
      </c>
      <c r="C13" s="4" t="str">
        <f aca="false">IF(Model!A22="","",Model!AB22)</f>
        <v/>
      </c>
    </row>
    <row r="14" customFormat="false" ht="15" hidden="false" customHeight="false" outlineLevel="0" collapsed="false">
      <c r="A14" s="0" t="str">
        <f aca="false">IF(Model!A23="","",Model!A23)</f>
        <v/>
      </c>
      <c r="B14" s="0" t="str">
        <f aca="false">IF(Model!A23="","",Model!B23)</f>
        <v/>
      </c>
      <c r="C14" s="4" t="str">
        <f aca="false">IF(Model!A23="","",Model!AB23)</f>
        <v/>
      </c>
    </row>
    <row r="15" customFormat="false" ht="15" hidden="false" customHeight="false" outlineLevel="0" collapsed="false">
      <c r="A15" s="0" t="str">
        <f aca="false">IF(Model!A24="","",Model!A24)</f>
        <v/>
      </c>
      <c r="B15" s="0" t="str">
        <f aca="false">IF(Model!A24="","",Model!B24)</f>
        <v/>
      </c>
      <c r="C15" s="4" t="str">
        <f aca="false">IF(Model!A24="","",Model!AB24)</f>
        <v/>
      </c>
    </row>
    <row r="16" customFormat="false" ht="15" hidden="false" customHeight="false" outlineLevel="0" collapsed="false">
      <c r="A16" s="0" t="str">
        <f aca="false">IF(Model!A25="","",Model!A25)</f>
        <v/>
      </c>
      <c r="B16" s="0" t="str">
        <f aca="false">IF(Model!A25="","",Model!B25)</f>
        <v/>
      </c>
      <c r="C16" s="4" t="str">
        <f aca="false">IF(Model!A25="","",Model!AB25)</f>
        <v/>
      </c>
    </row>
    <row r="17" customFormat="false" ht="15" hidden="false" customHeight="false" outlineLevel="0" collapsed="false">
      <c r="A17" s="0" t="str">
        <f aca="false">IF(Model!A26="","",Model!A26)</f>
        <v/>
      </c>
      <c r="B17" s="0" t="str">
        <f aca="false">IF(Model!A26="","",Model!B26)</f>
        <v/>
      </c>
      <c r="C17" s="4" t="str">
        <f aca="false">IF(Model!A26="","",Model!AB26)</f>
        <v/>
      </c>
    </row>
    <row r="18" customFormat="false" ht="15" hidden="false" customHeight="false" outlineLevel="0" collapsed="false">
      <c r="A18" s="0" t="str">
        <f aca="false">IF(Model!A27="","",Model!A27)</f>
        <v/>
      </c>
      <c r="B18" s="0" t="str">
        <f aca="false">IF(Model!A27="","",Model!B27)</f>
        <v/>
      </c>
      <c r="C18" s="4" t="str">
        <f aca="false">IF(Model!A27="","",Model!AB27)</f>
        <v/>
      </c>
    </row>
    <row r="19" customFormat="false" ht="15" hidden="false" customHeight="false" outlineLevel="0" collapsed="false">
      <c r="A19" s="0" t="str">
        <f aca="false">IF(Model!A28="","",Model!A28)</f>
        <v/>
      </c>
      <c r="B19" s="0" t="str">
        <f aca="false">IF(Model!A28="","",Model!B28)</f>
        <v/>
      </c>
      <c r="C19" s="4" t="str">
        <f aca="false">IF(Model!A28="","",Model!AB28)</f>
        <v/>
      </c>
    </row>
    <row r="20" customFormat="false" ht="15" hidden="false" customHeight="false" outlineLevel="0" collapsed="false">
      <c r="A20" s="0" t="str">
        <f aca="false">IF(Model!A29="","",Model!A29)</f>
        <v/>
      </c>
      <c r="B20" s="0" t="str">
        <f aca="false">IF(Model!A29="","",Model!B29)</f>
        <v/>
      </c>
      <c r="C20" s="4" t="str">
        <f aca="false">IF(Model!A29="","",Model!AB29)</f>
        <v/>
      </c>
    </row>
    <row r="21" customFormat="false" ht="15" hidden="false" customHeight="false" outlineLevel="0" collapsed="false">
      <c r="A21" s="0" t="str">
        <f aca="false">IF(Model!A30="","",Model!A30)</f>
        <v/>
      </c>
      <c r="B21" s="0" t="str">
        <f aca="false">IF(Model!A30="","",Model!B30)</f>
        <v/>
      </c>
      <c r="C21" s="4" t="str">
        <f aca="false">IF(Model!A30="","",Model!AB30)</f>
        <v/>
      </c>
    </row>
    <row r="22" customFormat="false" ht="15" hidden="false" customHeight="false" outlineLevel="0" collapsed="false">
      <c r="A22" s="0" t="str">
        <f aca="false">IF(Model!A31="","",Model!A31)</f>
        <v/>
      </c>
      <c r="B22" s="0" t="str">
        <f aca="false">IF(Model!A31="","",Model!B31)</f>
        <v/>
      </c>
      <c r="C22" s="4" t="str">
        <f aca="false">IF(Model!A31="","",Model!AB31)</f>
        <v/>
      </c>
    </row>
    <row r="24" customFormat="false" ht="15" hidden="false" customHeight="false" outlineLevel="0" collapsed="false">
      <c r="A24" s="5" t="s">
        <v>5</v>
      </c>
      <c r="C24" s="6" t="n">
        <f aca="false">SUM(Model!AB14:AB31)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7" width="100"/>
  </cols>
  <sheetData>
    <row r="1" customFormat="false" ht="17.25" hidden="false" customHeight="true" outlineLevel="0" collapsed="false">
      <c r="A1" s="8" t="s">
        <v>6</v>
      </c>
    </row>
    <row r="2" customFormat="false" ht="15" hidden="false" customHeight="true" outlineLevel="0" collapsed="false">
      <c r="A2" s="9"/>
    </row>
    <row r="3" customFormat="false" ht="15" hidden="false" customHeight="true" outlineLevel="0" collapsed="false">
      <c r="A3" s="10" t="s">
        <v>7</v>
      </c>
    </row>
    <row r="4" customFormat="false" ht="15" hidden="false" customHeight="true" outlineLevel="0" collapsed="false">
      <c r="A4" s="9" t="s">
        <v>8</v>
      </c>
    </row>
    <row r="5" customFormat="false" ht="15" hidden="false" customHeight="true" outlineLevel="0" collapsed="false">
      <c r="A5" s="9" t="s">
        <v>9</v>
      </c>
    </row>
    <row r="6" customFormat="false" ht="15" hidden="false" customHeight="true" outlineLevel="0" collapsed="false">
      <c r="A6" s="9" t="s">
        <v>10</v>
      </c>
    </row>
    <row r="7" customFormat="false" ht="15" hidden="false" customHeight="true" outlineLevel="0" collapsed="false">
      <c r="A7" s="9" t="s">
        <v>11</v>
      </c>
    </row>
    <row r="8" customFormat="false" ht="15" hidden="false" customHeight="true" outlineLevel="0" collapsed="false">
      <c r="A8" s="9" t="s">
        <v>12</v>
      </c>
    </row>
    <row r="9" customFormat="false" ht="15" hidden="false" customHeight="true" outlineLevel="0" collapsed="false">
      <c r="A9" s="9"/>
    </row>
    <row r="10" customFormat="false" ht="15" hidden="false" customHeight="true" outlineLevel="0" collapsed="false">
      <c r="A10" s="10" t="s">
        <v>13</v>
      </c>
    </row>
    <row r="11" customFormat="false" ht="15" hidden="false" customHeight="true" outlineLevel="0" collapsed="false">
      <c r="A11" s="9" t="s">
        <v>14</v>
      </c>
    </row>
    <row r="12" customFormat="false" ht="15" hidden="false" customHeight="true" outlineLevel="0" collapsed="false">
      <c r="A12" s="9" t="s">
        <v>15</v>
      </c>
    </row>
    <row r="13" customFormat="false" ht="15" hidden="false" customHeight="true" outlineLevel="0" collapsed="false">
      <c r="A13" s="9" t="s">
        <v>16</v>
      </c>
    </row>
    <row r="14" customFormat="false" ht="15" hidden="false" customHeight="true" outlineLevel="0" collapsed="false">
      <c r="A14" s="9" t="s">
        <v>17</v>
      </c>
    </row>
    <row r="15" customFormat="false" ht="15" hidden="false" customHeight="true" outlineLevel="0" collapsed="false">
      <c r="A15" s="9" t="s">
        <v>18</v>
      </c>
    </row>
    <row r="16" customFormat="false" ht="15" hidden="false" customHeight="true" outlineLevel="0" collapsed="false">
      <c r="A16" s="9"/>
    </row>
    <row r="17" customFormat="false" ht="15" hidden="false" customHeight="true" outlineLevel="0" collapsed="false">
      <c r="A17" s="10" t="s">
        <v>19</v>
      </c>
    </row>
    <row r="18" customFormat="false" ht="15" hidden="false" customHeight="true" outlineLevel="0" collapsed="false">
      <c r="A18" s="9" t="s">
        <v>20</v>
      </c>
    </row>
    <row r="19" customFormat="false" ht="15" hidden="false" customHeight="true" outlineLevel="0" collapsed="false">
      <c r="A19" s="9" t="s">
        <v>21</v>
      </c>
    </row>
    <row r="20" customFormat="false" ht="15" hidden="false" customHeight="true" outlineLevel="0" collapsed="false">
      <c r="A20" s="9" t="s">
        <v>22</v>
      </c>
    </row>
    <row r="21" customFormat="false" ht="15" hidden="false" customHeight="true" outlineLevel="0" collapsed="false">
      <c r="A21" s="9" t="s">
        <v>23</v>
      </c>
    </row>
    <row r="22" customFormat="false" ht="15" hidden="false" customHeight="true" outlineLevel="0" collapsed="false">
      <c r="A22" s="9" t="s">
        <v>24</v>
      </c>
    </row>
    <row r="23" customFormat="false" ht="15" hidden="false" customHeight="true" outlineLevel="0" collapsed="false">
      <c r="A23" s="9" t="s">
        <v>25</v>
      </c>
    </row>
    <row r="24" customFormat="false" ht="15" hidden="false" customHeight="true" outlineLevel="0" collapsed="false">
      <c r="A24" s="9"/>
    </row>
    <row r="25" customFormat="false" ht="15" hidden="false" customHeight="true" outlineLevel="0" collapsed="false">
      <c r="A25" s="10" t="s">
        <v>26</v>
      </c>
    </row>
    <row r="26" customFormat="false" ht="15" hidden="false" customHeight="true" outlineLevel="0" collapsed="false">
      <c r="A26" s="9" t="s">
        <v>27</v>
      </c>
    </row>
    <row r="27" customFormat="false" ht="15" hidden="false" customHeight="true" outlineLevel="0" collapsed="false">
      <c r="A27" s="9" t="s">
        <v>28</v>
      </c>
    </row>
    <row r="28" customFormat="false" ht="15" hidden="false" customHeight="true" outlineLevel="0" collapsed="false">
      <c r="A28" s="9" t="s">
        <v>29</v>
      </c>
    </row>
    <row r="29" customFormat="false" ht="15" hidden="false" customHeight="true" outlineLevel="0" collapsed="false">
      <c r="A29" s="9"/>
    </row>
    <row r="30" customFormat="false" ht="15" hidden="false" customHeight="true" outlineLevel="0" collapsed="false">
      <c r="A30" s="10" t="s">
        <v>30</v>
      </c>
    </row>
    <row r="31" customFormat="false" ht="15" hidden="false" customHeight="true" outlineLevel="0" collapsed="false">
      <c r="A31" s="9" t="s">
        <v>31</v>
      </c>
    </row>
    <row r="32" customFormat="false" ht="15" hidden="false" customHeight="true" outlineLevel="0" collapsed="false">
      <c r="A32" s="9" t="s">
        <v>32</v>
      </c>
    </row>
    <row r="33" customFormat="false" ht="15" hidden="false" customHeight="true" outlineLevel="0" collapsed="false">
      <c r="A33" s="9" t="s">
        <v>33</v>
      </c>
    </row>
    <row r="34" customFormat="false" ht="15" hidden="false" customHeight="true" outlineLevel="0" collapsed="false">
      <c r="A34" s="9" t="s">
        <v>34</v>
      </c>
    </row>
    <row r="35" customFormat="false" ht="15" hidden="false" customHeight="true" outlineLevel="0" collapsed="false">
      <c r="A35" s="9" t="s">
        <v>35</v>
      </c>
    </row>
    <row r="36" customFormat="false" ht="15" hidden="false" customHeight="true" outlineLevel="0" collapsed="false">
      <c r="A36" s="9" t="s">
        <v>36</v>
      </c>
    </row>
    <row r="37" customFormat="false" ht="15" hidden="false" customHeight="true" outlineLevel="0" collapsed="false">
      <c r="A37" s="9" t="s">
        <v>37</v>
      </c>
    </row>
    <row r="38" customFormat="false" ht="15" hidden="false" customHeight="true" outlineLevel="0" collapsed="false">
      <c r="A38" s="9"/>
    </row>
    <row r="39" customFormat="false" ht="15" hidden="false" customHeight="true" outlineLevel="0" collapsed="false">
      <c r="A39" s="9" t="s">
        <v>38</v>
      </c>
    </row>
    <row r="41" customFormat="false" ht="15" hidden="false" customHeight="true" outlineLevel="0" collapsed="false">
      <c r="A41" s="10" t="s">
        <v>39</v>
      </c>
    </row>
    <row r="42" customFormat="false" ht="15" hidden="false" customHeight="true" outlineLevel="0" collapsed="false">
      <c r="A42" s="9" t="s">
        <v>40</v>
      </c>
    </row>
    <row r="43" customFormat="false" ht="15" hidden="false" customHeight="true" outlineLevel="0" collapsed="false">
      <c r="A43" s="9" t="s">
        <v>41</v>
      </c>
    </row>
    <row r="44" customFormat="false" ht="15" hidden="false" customHeight="true" outlineLevel="0" collapsed="false">
      <c r="A44" s="9" t="s">
        <v>42</v>
      </c>
    </row>
    <row r="45" customFormat="false" ht="15" hidden="false" customHeight="true" outlineLevel="0" collapsed="false">
      <c r="A45" s="9"/>
    </row>
    <row r="46" customFormat="false" ht="15" hidden="false" customHeight="true" outlineLevel="0" collapsed="false">
      <c r="A46" s="9" t="s">
        <v>43</v>
      </c>
    </row>
    <row r="47" customFormat="false" ht="15" hidden="false" customHeight="true" outlineLevel="0" collapsed="false">
      <c r="A47" s="9" t="s">
        <v>44</v>
      </c>
    </row>
    <row r="48" customFormat="false" ht="15" hidden="false" customHeight="true" outlineLevel="0" collapsed="false">
      <c r="A48" s="9" t="s">
        <v>45</v>
      </c>
    </row>
    <row r="49" customFormat="false" ht="15" hidden="false" customHeight="true" outlineLevel="0" collapsed="false">
      <c r="A49" s="9" t="s">
        <v>46</v>
      </c>
    </row>
    <row r="50" customFormat="false" ht="15" hidden="false" customHeight="true" outlineLevel="0" collapsed="false">
      <c r="A50" s="9" t="s">
        <v>47</v>
      </c>
    </row>
    <row r="51" customFormat="false" ht="15" hidden="false" customHeight="true" outlineLevel="0" collapsed="false">
      <c r="A51" s="9" t="s">
        <v>48</v>
      </c>
    </row>
    <row r="52" customFormat="false" ht="15" hidden="false" customHeight="true" outlineLevel="0" collapsed="false">
      <c r="A52" s="9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7" width="9"/>
    <col collapsed="false" customWidth="true" hidden="false" outlineLevel="0" max="2" min="2" style="7" width="22"/>
    <col collapsed="false" customWidth="true" hidden="false" outlineLevel="0" max="3" min="3" style="7" width="9"/>
    <col collapsed="false" customWidth="true" hidden="false" outlineLevel="0" max="4" min="4" style="7" width="16"/>
    <col collapsed="false" customWidth="true" hidden="false" outlineLevel="0" max="5" min="5" style="7" width="30"/>
    <col collapsed="false" customWidth="true" hidden="false" outlineLevel="0" max="6" min="6" style="7" width="11"/>
    <col collapsed="false" customWidth="true" hidden="false" outlineLevel="0" max="7" min="7" style="7" width="12"/>
    <col collapsed="false" customWidth="true" hidden="false" outlineLevel="0" max="8" min="8" style="7" width="10"/>
    <col collapsed="false" customWidth="true" hidden="false" outlineLevel="0" max="9" min="9" style="7" width="9"/>
    <col collapsed="false" customWidth="true" hidden="false" outlineLevel="0" max="14" min="10" style="7" width="10"/>
    <col collapsed="false" customWidth="true" hidden="false" outlineLevel="0" max="17" min="15" style="7" width="9"/>
    <col collapsed="false" customWidth="true" hidden="false" outlineLevel="0" max="18" min="18" style="7" width="10"/>
    <col collapsed="false" customWidth="true" hidden="false" outlineLevel="0" max="21" min="19" style="7" width="9"/>
    <col collapsed="false" customWidth="true" hidden="false" outlineLevel="0" max="22" min="22" style="7" width="11"/>
    <col collapsed="false" customWidth="true" hidden="false" outlineLevel="0" max="23" min="23" style="7" width="16"/>
    <col collapsed="false" customWidth="true" hidden="false" outlineLevel="0" max="24" min="24" style="7" width="24"/>
    <col collapsed="false" customWidth="true" hidden="false" outlineLevel="0" max="25" min="25" style="7" width="48"/>
    <col collapsed="false" customWidth="true" hidden="false" outlineLevel="0" max="27" min="26" style="7" width="10"/>
    <col collapsed="false" customWidth="true" hidden="false" outlineLevel="0" max="28" min="28" style="7" width="12"/>
  </cols>
  <sheetData>
    <row r="1" customFormat="false" ht="17.25" hidden="false" customHeight="true" outlineLevel="0" collapsed="false">
      <c r="A1" s="11" t="s">
        <v>50</v>
      </c>
    </row>
    <row r="2" customFormat="false" ht="15" hidden="false" customHeight="true" outlineLevel="0" collapsed="false">
      <c r="A2" s="12" t="s">
        <v>51</v>
      </c>
    </row>
    <row r="4" customFormat="false" ht="15" hidden="false" customHeight="true" outlineLevel="0" collapsed="false">
      <c r="A4" s="13" t="s">
        <v>52</v>
      </c>
      <c r="B4" s="14"/>
      <c r="C4" s="14"/>
      <c r="D4" s="14"/>
      <c r="E4" s="14"/>
      <c r="F4" s="14"/>
    </row>
    <row r="5" customFormat="false" ht="15" hidden="false" customHeight="true" outlineLevel="0" collapsed="false">
      <c r="A5" s="7" t="s">
        <v>53</v>
      </c>
      <c r="B5" s="15" t="n">
        <v>0.041</v>
      </c>
      <c r="C5" s="7" t="s">
        <v>54</v>
      </c>
    </row>
    <row r="6" customFormat="false" ht="15" hidden="false" customHeight="true" outlineLevel="0" collapsed="false">
      <c r="A6" s="7" t="s">
        <v>55</v>
      </c>
      <c r="B6" s="15" t="n">
        <v>0.25</v>
      </c>
      <c r="C6" s="7" t="s">
        <v>56</v>
      </c>
    </row>
    <row r="7" customFormat="false" ht="15" hidden="false" customHeight="true" outlineLevel="0" collapsed="false">
      <c r="A7" s="7" t="s">
        <v>57</v>
      </c>
      <c r="B7" s="15" t="n">
        <v>0.3</v>
      </c>
      <c r="C7" s="7" t="s">
        <v>58</v>
      </c>
    </row>
    <row r="8" customFormat="false" ht="15" hidden="false" customHeight="true" outlineLevel="0" collapsed="false">
      <c r="A8" s="7" t="s">
        <v>59</v>
      </c>
      <c r="B8" s="15" t="n">
        <v>0.7</v>
      </c>
    </row>
    <row r="9" customFormat="false" ht="15" hidden="false" customHeight="true" outlineLevel="0" collapsed="false">
      <c r="A9" s="7" t="s">
        <v>60</v>
      </c>
      <c r="B9" s="15" t="n">
        <v>0.175</v>
      </c>
    </row>
    <row r="10" customFormat="false" ht="15" hidden="false" customHeight="true" outlineLevel="0" collapsed="false">
      <c r="A10" s="7" t="s">
        <v>61</v>
      </c>
      <c r="B10" s="15" t="n">
        <v>0.125</v>
      </c>
    </row>
    <row r="11" customFormat="false" ht="15" hidden="false" customHeight="true" outlineLevel="0" collapsed="false">
      <c r="A11" s="7" t="s">
        <v>62</v>
      </c>
      <c r="B11" s="16" t="n">
        <f aca="false">B8+B9+B10</f>
        <v>1</v>
      </c>
    </row>
    <row r="13" customFormat="false" ht="48" hidden="false" customHeight="true" outlineLevel="0" collapsed="false">
      <c r="A13" s="17" t="s">
        <v>2</v>
      </c>
      <c r="B13" s="17" t="s">
        <v>63</v>
      </c>
      <c r="C13" s="17" t="s">
        <v>64</v>
      </c>
      <c r="D13" s="17" t="s">
        <v>65</v>
      </c>
      <c r="E13" s="17" t="s">
        <v>66</v>
      </c>
      <c r="F13" s="17" t="s">
        <v>67</v>
      </c>
      <c r="G13" s="17" t="s">
        <v>68</v>
      </c>
      <c r="H13" s="17" t="s">
        <v>69</v>
      </c>
      <c r="I13" s="17" t="s">
        <v>70</v>
      </c>
      <c r="J13" s="17" t="s">
        <v>71</v>
      </c>
      <c r="K13" s="17" t="s">
        <v>72</v>
      </c>
      <c r="L13" s="17" t="s">
        <v>73</v>
      </c>
      <c r="M13" s="17" t="s">
        <v>74</v>
      </c>
      <c r="N13" s="17" t="s">
        <v>75</v>
      </c>
      <c r="O13" s="17" t="s">
        <v>76</v>
      </c>
      <c r="P13" s="17" t="s">
        <v>77</v>
      </c>
      <c r="Q13" s="17" t="s">
        <v>78</v>
      </c>
      <c r="R13" s="17" t="s">
        <v>79</v>
      </c>
      <c r="S13" s="17" t="s">
        <v>80</v>
      </c>
      <c r="T13" s="17" t="s">
        <v>81</v>
      </c>
      <c r="U13" s="17" t="s">
        <v>82</v>
      </c>
      <c r="V13" s="17" t="s">
        <v>83</v>
      </c>
      <c r="W13" s="17" t="s">
        <v>84</v>
      </c>
      <c r="X13" s="17" t="s">
        <v>85</v>
      </c>
      <c r="Y13" s="17" t="s">
        <v>86</v>
      </c>
      <c r="Z13" s="18" t="s">
        <v>87</v>
      </c>
      <c r="AA13" s="18" t="s">
        <v>88</v>
      </c>
      <c r="AB13" s="18" t="s">
        <v>89</v>
      </c>
    </row>
    <row r="14" customFormat="false" ht="41.25" hidden="false" customHeight="true" outlineLevel="0" collapsed="false">
      <c r="A14" s="7" t="s">
        <v>90</v>
      </c>
      <c r="B14" s="7" t="s">
        <v>91</v>
      </c>
      <c r="C14" s="19" t="s">
        <v>92</v>
      </c>
      <c r="E14" s="20" t="s">
        <v>93</v>
      </c>
      <c r="F14" s="15" t="n">
        <v>0.09</v>
      </c>
      <c r="G14" s="15" t="n">
        <v>0.15</v>
      </c>
      <c r="H14" s="21" t="n">
        <f aca="false">IF(A14="",0,IF(C14="Stocks",$B$8,IF(C14="Bonds",$B$9,IF(C14="Cash",$B$10,0))))</f>
        <v>0.7</v>
      </c>
      <c r="I14" s="22" t="n">
        <f aca="false">IF(A14="",0,IF(C14="Cash",1,IFERROR((F14-$B$5)/(G14^2),0)))</f>
        <v>2.17777777777778</v>
      </c>
      <c r="J14" s="21" t="n">
        <f aca="false">IF(A14="",0,IFERROR(I14/SUMIF($C$14:$C$31,C14,$I$14:$I$31),0))</f>
        <v>0.513928140227894</v>
      </c>
      <c r="K14" s="21" t="n">
        <f aca="false">IF(A14="",0,J14*H14)</f>
        <v>0.359749698159526</v>
      </c>
      <c r="L14" s="23" t="str">
        <f aca="false">IF(A14="","",IF(D14="","ROW_"&amp;ROW(),D14))</f>
        <v>ROW_14</v>
      </c>
      <c r="M14" s="21" t="n">
        <f aca="false">IF(A14="",0,SUMIF($L$14:$L$31,L14,$K$14:$K$31))</f>
        <v>0.359749698159526</v>
      </c>
      <c r="N14" s="21" t="n">
        <f aca="false">IF(A14="",0,IF(M14&gt;$B$7,K14*($B$7/M14),K14))</f>
        <v>0.3</v>
      </c>
      <c r="O14" s="21" t="n">
        <f aca="false">IF(A14="",0,K14-N14)</f>
        <v>0.0597496981595256</v>
      </c>
      <c r="P14" s="21" t="n">
        <f aca="false">IF(A14="",0,SUMIF($C$14:$C$31,C14,$O$14:$O$31))</f>
        <v>0.1</v>
      </c>
      <c r="Q14" s="21" t="n">
        <f aca="false">IF(A14="",0,SUMPRODUCT(($C$14:$C$31=C14)*($O$14:$O$31=0)*$N$14:$N$31))</f>
        <v>0</v>
      </c>
      <c r="R14" s="21" t="n">
        <f aca="false">IF(A14="",0,IF(O14&gt;0,N14,N14+IFERROR(P14*(N14/Q14),0)))</f>
        <v>0.3</v>
      </c>
      <c r="S14" s="21" t="n">
        <f aca="false">IF(A14="",0,MAX(R14-$B$6,0))</f>
        <v>0.05</v>
      </c>
      <c r="T14" s="21" t="n">
        <f aca="false">IF(A14="",0,SUMIF($C$14:$C$31,C14,$S$14:$S$31))</f>
        <v>0.05</v>
      </c>
      <c r="U14" s="21" t="n">
        <f aca="false">IF(A14="",0,SUMPRODUCT(($C$14:$C$31=C14)*($R$14:$R$31&lt;$B$6)*$R$14:$R$31))</f>
        <v>0.3</v>
      </c>
      <c r="V14" s="16" t="n">
        <f aca="false">IF(A14="",0,IF(R14&gt;=$B$6,$B$6,R14+IFERROR(T14*(R14/U14),0)))</f>
        <v>0.25</v>
      </c>
      <c r="W14" s="7" t="str">
        <f aca="false">IF(A14="","",IF(V14&gt;$B$6+0.0005,"CHECK - still over position cap","OK"))</f>
        <v>OK</v>
      </c>
      <c r="X14" s="7" t="str">
        <f aca="false">IF(A14="","",IF(D14="","",IF(M14&gt;$B$7,CONCATENATE("Group '",D14,"' trimmed from ",TEXT(M14,"0.0%")," to ",TEXT($B$7,"0.0%")," combined."),CONCATENATE("Group '",D14,"' within cap (",TEXT(M14,"0.0%")," combined)."))))</f>
        <v/>
      </c>
      <c r="Y14" s="7" t="str">
        <f aca="false">IF(A14="","",CONCATENATE("[",C14,"] ",TEXT(AB14,"0.0%")," of total portfolio. ",IF(C14="Cash","Held flat as a liquidity/flexibility buffer, not risk-scored. ",CONCATENATE("Risk-adjusted score ",TEXT(I14,"0.00")," (return ",TEXT(F14,"0.0%")," vs. volatility ",TEXT(G14,"0.0%"),") drives ",TEXT(J14,"0.0%")," of its bucket's risk budget. ")),IF(X14&lt;&gt;"",CONCATENATE(X14," "),"")," ",E14))</f>
        <v>[Stocks] 25.0% of total portfolio. Risk-adjusted score 2.18 (return 9.0% vs. volatility 15.0%) drives 51.4% of its bucket's risk budget.  Core broad-market holding; anchors the growth bucket with built-in diversification.</v>
      </c>
      <c r="Z14" s="21" t="n">
        <f aca="false">IF(A14="",0,(IF(C14="Stocks",$B$8,IF(C14="Bonds",$B$9,IF(C14="Cash",$B$10,0))))-SUMIF($C$14:$C$31,C14,$V$14:$V$31))</f>
        <v>0.1</v>
      </c>
      <c r="AA14" s="21" t="n">
        <f aca="false">IF(A14="",0,SUMPRODUCT(($C$14:$C$31=C14)*($V$14:$V$31&lt;$B$6)*$V$14:$V$31))</f>
        <v>0.35</v>
      </c>
      <c r="AB14" s="16" t="n">
        <f aca="false">IF(A14="",0,IF(V14&gt;=$B$6,V14,V14+IFERROR(Z14*(V14/AA14),0)))</f>
        <v>0.25</v>
      </c>
    </row>
    <row r="15" customFormat="false" ht="41.25" hidden="false" customHeight="true" outlineLevel="0" collapsed="false">
      <c r="A15" s="7" t="s">
        <v>94</v>
      </c>
      <c r="B15" s="7" t="s">
        <v>95</v>
      </c>
      <c r="C15" s="19" t="s">
        <v>92</v>
      </c>
      <c r="D15" s="7" t="s">
        <v>96</v>
      </c>
      <c r="E15" s="20" t="s">
        <v>97</v>
      </c>
      <c r="F15" s="15" t="n">
        <v>0.12</v>
      </c>
      <c r="G15" s="15" t="n">
        <v>0.28</v>
      </c>
      <c r="H15" s="21" t="n">
        <f aca="false">IF(A15="",0,IF(C15="Stocks",$B$8,IF(C15="Bonds",$B$9,IF(C15="Cash",$B$10,0))))</f>
        <v>0.7</v>
      </c>
      <c r="I15" s="22" t="n">
        <f aca="false">IF(A15="",0,IF(C15="Cash",1,IFERROR((F15-$B$5)/(G15^2),0)))</f>
        <v>1.00765306122449</v>
      </c>
      <c r="J15" s="21" t="n">
        <f aca="false">IF(A15="",0,IFERROR(I15/SUMIF($C$14:$C$31,C15,$I$14:$I$31),0))</f>
        <v>0.237793437436246</v>
      </c>
      <c r="K15" s="21" t="n">
        <f aca="false">IF(A15="",0,J15*H15)</f>
        <v>0.166455406205372</v>
      </c>
      <c r="L15" s="23" t="str">
        <f aca="false">IF(A15="","",IF(D15="","ROW_"&amp;ROW(),D15))</f>
        <v>Growth/Consumer-Tech</v>
      </c>
      <c r="M15" s="21" t="n">
        <f aca="false">IF(A15="",0,SUMIF($L$14:$L$31,L15,$K$14:$K$31))</f>
        <v>0.340250301840474</v>
      </c>
      <c r="N15" s="21" t="n">
        <f aca="false">IF(A15="",0,IF(M15&gt;$B$7,K15*($B$7/M15),K15))</f>
        <v>0.146764371968211</v>
      </c>
      <c r="O15" s="21" t="n">
        <f aca="false">IF(A15="",0,K15-N15)</f>
        <v>0.0196910342371605</v>
      </c>
      <c r="P15" s="21" t="n">
        <f aca="false">IF(A15="",0,SUMIF($C$14:$C$31,C15,$O$14:$O$31))</f>
        <v>0.1</v>
      </c>
      <c r="Q15" s="21" t="n">
        <f aca="false">IF(A15="",0,SUMPRODUCT(($C$14:$C$31=C15)*($O$14:$O$31=0)*$N$14:$N$31))</f>
        <v>0</v>
      </c>
      <c r="R15" s="21" t="n">
        <f aca="false">IF(A15="",0,IF(O15&gt;0,N15,N15+IFERROR(P15*(N15/Q15),0)))</f>
        <v>0.146764371968211</v>
      </c>
      <c r="S15" s="21" t="n">
        <f aca="false">IF(A15="",0,MAX(R15-$B$6,0))</f>
        <v>0</v>
      </c>
      <c r="T15" s="21" t="n">
        <f aca="false">IF(A15="",0,SUMIF($C$14:$C$31,C15,$S$14:$S$31))</f>
        <v>0.05</v>
      </c>
      <c r="U15" s="21" t="n">
        <f aca="false">IF(A15="",0,SUMPRODUCT(($C$14:$C$31=C15)*($R$14:$R$31&lt;$B$6)*$R$14:$R$31))</f>
        <v>0.3</v>
      </c>
      <c r="V15" s="16" t="n">
        <f aca="false">IF(A15="",0,IF(R15&gt;=$B$6,$B$6,R15+IFERROR(T15*(R15/U15),0)))</f>
        <v>0.17122510062958</v>
      </c>
      <c r="W15" s="7" t="str">
        <f aca="false">IF(A15="","",IF(V15&gt;$B$6+0.0005,"CHECK - still over position cap","OK"))</f>
        <v>OK</v>
      </c>
      <c r="X15" s="7" t="str">
        <f aca="false">IF(A15="","",IF(D15="","",IF(M15&gt;$B$7,CONCATENATE("Group '",D15,"' trimmed from ",TEXT(M15,"0.0%")," to ",TEXT($B$7,"0.0%")," combined."),CONCATENATE("Group '",D15,"' within cap (",TEXT(M15,"0.0%")," combined)."))))</f>
        <v>Group 'Growth/Consumer-Tech' trimmed from 34.0% to 30.0% combined.</v>
      </c>
      <c r="Y15" s="7" t="str">
        <f aca="false">IF(A15="","",CONCATENATE("[",C15,"] ",TEXT(AB15,"0.0%")," of total portfolio. ",IF(C15="Cash","Held flat as a liquidity/flexibility buffer, not risk-scored. ",CONCATENATE("Risk-adjusted score ",TEXT(I15,"0.00")," (return ",TEXT(F15,"0.0%")," vs. volatility ",TEXT(G15,"0.0%"),") drives ",TEXT(J15,"0.0%")," of its bucket's risk budget. ")),IF(X15&lt;&gt;"",CONCATENATE(X15," "),"")," ",E15))</f>
        <v>[Stocks] 22.0% of total portfolio. Risk-adjusted score 1.01 (return 12.0% vs. volatility 28.0%) drives 23.8% of its bucket's risk budget. Group 'Growth/Consumer-Tech' trimmed from 34.0% to 30.0% combined.  Creative software; thematic tie to Laura's creative-economy background.</v>
      </c>
      <c r="Z15" s="21" t="n">
        <f aca="false">IF(A15="",0,(IF(C15="Stocks",$B$8,IF(C15="Bonds",$B$9,IF(C15="Cash",$B$10,0))))-SUMIF($C$14:$C$31,C15,$V$14:$V$31))</f>
        <v>0.1</v>
      </c>
      <c r="AA15" s="21" t="n">
        <f aca="false">IF(A15="",0,SUMPRODUCT(($C$14:$C$31=C15)*($V$14:$V$31&lt;$B$6)*$V$14:$V$31))</f>
        <v>0.35</v>
      </c>
      <c r="AB15" s="16" t="n">
        <f aca="false">IF(A15="",0,IF(V15&gt;=$B$6,V15,V15+IFERROR(Z15*(V15/AA15),0)))</f>
        <v>0.220146557952317</v>
      </c>
    </row>
    <row r="16" customFormat="false" ht="41.25" hidden="false" customHeight="true" outlineLevel="0" collapsed="false">
      <c r="A16" s="7" t="s">
        <v>98</v>
      </c>
      <c r="B16" s="7" t="s">
        <v>99</v>
      </c>
      <c r="C16" s="19" t="s">
        <v>92</v>
      </c>
      <c r="D16" s="7" t="s">
        <v>96</v>
      </c>
      <c r="E16" s="20" t="s">
        <v>100</v>
      </c>
      <c r="F16" s="15" t="n">
        <v>0.08</v>
      </c>
      <c r="G16" s="15" t="n">
        <v>0.3</v>
      </c>
      <c r="H16" s="21" t="n">
        <f aca="false">IF(A16="",0,IF(C16="Stocks",$B$8,IF(C16="Bonds",$B$9,IF(C16="Cash",$B$10,0))))</f>
        <v>0.7</v>
      </c>
      <c r="I16" s="22" t="n">
        <f aca="false">IF(A16="",0,IF(C16="Cash",1,IFERROR((F16-$B$5)/(G16^2),0)))</f>
        <v>0.433333333333333</v>
      </c>
      <c r="J16" s="21" t="n">
        <f aca="false">IF(A16="",0,IFERROR(I16/SUMIF($C$14:$C$31,C16,$I$14:$I$31),0))</f>
        <v>0.102261211575958</v>
      </c>
      <c r="K16" s="21" t="n">
        <f aca="false">IF(A16="",0,J16*H16)</f>
        <v>0.0715828481031709</v>
      </c>
      <c r="L16" s="23" t="str">
        <f aca="false">IF(A16="","",IF(D16="","ROW_"&amp;ROW(),D16))</f>
        <v>Growth/Consumer-Tech</v>
      </c>
      <c r="M16" s="21" t="n">
        <f aca="false">IF(A16="",0,SUMIF($L$14:$L$31,L16,$K$14:$K$31))</f>
        <v>0.340250301840474</v>
      </c>
      <c r="N16" s="21" t="n">
        <f aca="false">IF(A16="",0,IF(M16&gt;$B$7,K16*($B$7/M16),K16))</f>
        <v>0.0631148725358654</v>
      </c>
      <c r="O16" s="21" t="n">
        <f aca="false">IF(A16="",0,K16-N16)</f>
        <v>0.0084679755673055</v>
      </c>
      <c r="P16" s="21" t="n">
        <f aca="false">IF(A16="",0,SUMIF($C$14:$C$31,C16,$O$14:$O$31))</f>
        <v>0.1</v>
      </c>
      <c r="Q16" s="21" t="n">
        <f aca="false">IF(A16="",0,SUMPRODUCT(($C$14:$C$31=C16)*($O$14:$O$31=0)*$N$14:$N$31))</f>
        <v>0</v>
      </c>
      <c r="R16" s="21" t="n">
        <f aca="false">IF(A16="",0,IF(O16&gt;0,N16,N16+IFERROR(P16*(N16/Q16),0)))</f>
        <v>0.0631148725358654</v>
      </c>
      <c r="S16" s="21" t="n">
        <f aca="false">IF(A16="",0,MAX(R16-$B$6,0))</f>
        <v>0</v>
      </c>
      <c r="T16" s="21" t="n">
        <f aca="false">IF(A16="",0,SUMIF($C$14:$C$31,C16,$S$14:$S$31))</f>
        <v>0.05</v>
      </c>
      <c r="U16" s="21" t="n">
        <f aca="false">IF(A16="",0,SUMPRODUCT(($C$14:$C$31=C16)*($R$14:$R$31&lt;$B$6)*$R$14:$R$31))</f>
        <v>0.3</v>
      </c>
      <c r="V16" s="16" t="n">
        <f aca="false">IF(A16="",0,IF(R16&gt;=$B$6,$B$6,R16+IFERROR(T16*(R16/U16),0)))</f>
        <v>0.0736340179585097</v>
      </c>
      <c r="W16" s="7" t="str">
        <f aca="false">IF(A16="","",IF(V16&gt;$B$6+0.0005,"CHECK - still over position cap","OK"))</f>
        <v>OK</v>
      </c>
      <c r="X16" s="7" t="str">
        <f aca="false">IF(A16="","",IF(D16="","",IF(M16&gt;$B$7,CONCATENATE("Group '",D16,"' trimmed from ",TEXT(M16,"0.0%")," to ",TEXT($B$7,"0.0%")," combined."),CONCATENATE("Group '",D16,"' within cap (",TEXT(M16,"0.0%")," combined)."))))</f>
        <v>Group 'Growth/Consumer-Tech' trimmed from 34.0% to 30.0% combined.</v>
      </c>
      <c r="Y16" s="7" t="str">
        <f aca="false">IF(A16="","",CONCATENATE("[",C16,"] ",TEXT(AB16,"0.0%")," of total portfolio. ",IF(C16="Cash","Held flat as a liquidity/flexibility buffer, not risk-scored. ",CONCATENATE("Risk-adjusted score ",TEXT(I16,"0.00")," (return ",TEXT(F16,"0.0%")," vs. volatility ",TEXT(G16,"0.0%"),") drives ",TEXT(J16,"0.0%")," of its bucket's risk budget. ")),IF(X16&lt;&gt;"",CONCATENATE(X16," "),"")," ",E16))</f>
        <v>[Stocks] 9.5% of total portfolio. Risk-adjusted score 0.43 (return 8.0% vs. volatility 30.0%) drives 10.2% of its bucket's risk budget. Group 'Growth/Consumer-Tech' trimmed from 34.0% to 30.0% combined.  Storytelling/media/IP; thematic tie to Laura's work as an author and illustrator.</v>
      </c>
      <c r="Z16" s="21" t="n">
        <f aca="false">IF(A16="",0,(IF(C16="Stocks",$B$8,IF(C16="Bonds",$B$9,IF(C16="Cash",$B$10,0))))-SUMIF($C$14:$C$31,C16,$V$14:$V$31))</f>
        <v>0.1</v>
      </c>
      <c r="AA16" s="21" t="n">
        <f aca="false">IF(A16="",0,SUMPRODUCT(($C$14:$C$31=C16)*($V$14:$V$31&lt;$B$6)*$V$14:$V$31))</f>
        <v>0.35</v>
      </c>
      <c r="AB16" s="16" t="n">
        <f aca="false">IF(A16="",0,IF(V16&gt;=$B$6,V16,V16+IFERROR(Z16*(V16/AA16),0)))</f>
        <v>0.0946723088037981</v>
      </c>
    </row>
    <row r="17" customFormat="false" ht="27.75" hidden="false" customHeight="true" outlineLevel="0" collapsed="false">
      <c r="A17" s="7" t="s">
        <v>101</v>
      </c>
      <c r="B17" s="7" t="s">
        <v>102</v>
      </c>
      <c r="C17" s="19" t="s">
        <v>92</v>
      </c>
      <c r="D17" s="7" t="s">
        <v>96</v>
      </c>
      <c r="E17" s="20" t="s">
        <v>103</v>
      </c>
      <c r="F17" s="15" t="n">
        <v>0.14</v>
      </c>
      <c r="G17" s="15" t="n">
        <v>0.4</v>
      </c>
      <c r="H17" s="21" t="n">
        <f aca="false">IF(A17="",0,IF(C17="Stocks",$B$8,IF(C17="Bonds",$B$9,IF(C17="Cash",$B$10,0))))</f>
        <v>0.7</v>
      </c>
      <c r="I17" s="22" t="n">
        <f aca="false">IF(A17="",0,IF(C17="Cash",1,IFERROR((F17-$B$5)/(G17^2),0)))</f>
        <v>0.61875</v>
      </c>
      <c r="J17" s="21" t="n">
        <f aca="false">IF(A17="",0,IFERROR(I17/SUMIF($C$14:$C$31,C17,$I$14:$I$31),0))</f>
        <v>0.146017210759902</v>
      </c>
      <c r="K17" s="21" t="n">
        <f aca="false">IF(A17="",0,J17*H17)</f>
        <v>0.102212047531932</v>
      </c>
      <c r="L17" s="23" t="str">
        <f aca="false">IF(A17="","",IF(D17="","ROW_"&amp;ROW(),D17))</f>
        <v>Growth/Consumer-Tech</v>
      </c>
      <c r="M17" s="21" t="n">
        <f aca="false">IF(A17="",0,SUMIF($L$14:$L$31,L17,$K$14:$K$31))</f>
        <v>0.340250301840474</v>
      </c>
      <c r="N17" s="21" t="n">
        <f aca="false">IF(A17="",0,IF(M17&gt;$B$7,K17*($B$7/M17),K17))</f>
        <v>0.0901207554959232</v>
      </c>
      <c r="O17" s="21" t="n">
        <f aca="false">IF(A17="",0,K17-N17)</f>
        <v>0.0120912920360083</v>
      </c>
      <c r="P17" s="21" t="n">
        <f aca="false">IF(A17="",0,SUMIF($C$14:$C$31,C17,$O$14:$O$31))</f>
        <v>0.1</v>
      </c>
      <c r="Q17" s="21" t="n">
        <f aca="false">IF(A17="",0,SUMPRODUCT(($C$14:$C$31=C17)*($O$14:$O$31=0)*$N$14:$N$31))</f>
        <v>0</v>
      </c>
      <c r="R17" s="21" t="n">
        <f aca="false">IF(A17="",0,IF(O17&gt;0,N17,N17+IFERROR(P17*(N17/Q17),0)))</f>
        <v>0.0901207554959232</v>
      </c>
      <c r="S17" s="21" t="n">
        <f aca="false">IF(A17="",0,MAX(R17-$B$6,0))</f>
        <v>0</v>
      </c>
      <c r="T17" s="21" t="n">
        <f aca="false">IF(A17="",0,SUMIF($C$14:$C$31,C17,$S$14:$S$31))</f>
        <v>0.05</v>
      </c>
      <c r="U17" s="21" t="n">
        <f aca="false">IF(A17="",0,SUMPRODUCT(($C$14:$C$31=C17)*($R$14:$R$31&lt;$B$6)*$R$14:$R$31))</f>
        <v>0.3</v>
      </c>
      <c r="V17" s="16" t="n">
        <f aca="false">IF(A17="",0,IF(R17&gt;=$B$6,$B$6,R17+IFERROR(T17*(R17/U17),0)))</f>
        <v>0.10514088141191</v>
      </c>
      <c r="W17" s="7" t="str">
        <f aca="false">IF(A17="","",IF(V17&gt;$B$6+0.0005,"CHECK - still over position cap","OK"))</f>
        <v>OK</v>
      </c>
      <c r="X17" s="7" t="str">
        <f aca="false">IF(A17="","",IF(D17="","",IF(M17&gt;$B$7,CONCATENATE("Group '",D17,"' trimmed from ",TEXT(M17,"0.0%")," to ",TEXT($B$7,"0.0%")," combined."),CONCATENATE("Group '",D17,"' within cap (",TEXT(M17,"0.0%")," combined)."))))</f>
        <v>Group 'Growth/Consumer-Tech' trimmed from 34.0% to 30.0% combined.</v>
      </c>
      <c r="Y17" s="7" t="str">
        <f aca="false">IF(A17="","",CONCATENATE("[",C17,"] ",TEXT(AB17,"0.0%")," of total portfolio. ",IF(C17="Cash","Held flat as a liquidity/flexibility buffer, not risk-scored. ",CONCATENATE("Risk-adjusted score ",TEXT(I17,"0.00")," (return ",TEXT(F17,"0.0%")," vs. volatility ",TEXT(G17,"0.0%"),") drives ",TEXT(J17,"0.0%")," of its bucket's risk budget. ")),IF(X17&lt;&gt;"",CONCATENATE(X17," "),"")," ",E17))</f>
        <v>[Stocks] 13.5% of total portfolio. Risk-adjusted score 0.62 (return 14.0% vs. volatility 40.0%) drives 14.6% of its bucket's risk budget. Group 'Growth/Consumer-Tech' trimmed from 34.0% to 30.0% combined.  Education/edtech; thematic tie to Laura's work as an educator.</v>
      </c>
      <c r="Z17" s="21" t="n">
        <f aca="false">IF(A17="",0,(IF(C17="Stocks",$B$8,IF(C17="Bonds",$B$9,IF(C17="Cash",$B$10,0))))-SUMIF($C$14:$C$31,C17,$V$14:$V$31))</f>
        <v>0.1</v>
      </c>
      <c r="AA17" s="21" t="n">
        <f aca="false">IF(A17="",0,SUMPRODUCT(($C$14:$C$31=C17)*($V$14:$V$31&lt;$B$6)*$V$14:$V$31))</f>
        <v>0.35</v>
      </c>
      <c r="AB17" s="16" t="n">
        <f aca="false">IF(A17="",0,IF(V17&gt;=$B$6,V17,V17+IFERROR(Z17*(V17/AA17),0)))</f>
        <v>0.135181133243885</v>
      </c>
    </row>
    <row r="18" customFormat="false" ht="27.75" hidden="false" customHeight="true" outlineLevel="0" collapsed="false">
      <c r="B18" s="7" t="s">
        <v>104</v>
      </c>
      <c r="C18" s="19" t="s">
        <v>92</v>
      </c>
      <c r="E18" s="20" t="s">
        <v>105</v>
      </c>
      <c r="F18" s="15"/>
      <c r="G18" s="15"/>
      <c r="H18" s="21" t="n">
        <f aca="false">IF(A18="",0,IF(C18="Stocks",$B$8,IF(C18="Bonds",$B$9,IF(C18="Cash",$B$10,0))))</f>
        <v>0</v>
      </c>
      <c r="I18" s="22" t="n">
        <f aca="false">IF(A18="",0,IF(C18="Cash",1,IFERROR((F18-$B$5)/(G18^2),0)))</f>
        <v>0</v>
      </c>
      <c r="J18" s="21" t="n">
        <f aca="false">IF(A18="",0,IFERROR(I18/SUMIF($C$14:$C$31,C18,$I$14:$I$31),0))</f>
        <v>0</v>
      </c>
      <c r="K18" s="21" t="n">
        <f aca="false">IF(A18="",0,J18*H18)</f>
        <v>0</v>
      </c>
      <c r="L18" s="23" t="str">
        <f aca="false">IF(A18="","",IF(D18="","ROW_"&amp;ROW(),D18))</f>
        <v/>
      </c>
      <c r="M18" s="21" t="n">
        <f aca="false">IF(A18="",0,SUMIF($L$14:$L$31,L18,$K$14:$K$31))</f>
        <v>0</v>
      </c>
      <c r="N18" s="21" t="n">
        <f aca="false">IF(A18="",0,IF(M18&gt;$B$7,K18*($B$7/M18),K18))</f>
        <v>0</v>
      </c>
      <c r="O18" s="21" t="n">
        <f aca="false">IF(A18="",0,K18-N18)</f>
        <v>0</v>
      </c>
      <c r="P18" s="21" t="n">
        <f aca="false">IF(A18="",0,SUMIF($C$14:$C$31,C18,$O$14:$O$31))</f>
        <v>0</v>
      </c>
      <c r="Q18" s="21" t="n">
        <f aca="false">IF(A18="",0,SUMPRODUCT(($C$14:$C$31=C18)*($O$14:$O$31=0)*$N$14:$N$31))</f>
        <v>0</v>
      </c>
      <c r="R18" s="21" t="n">
        <f aca="false">IF(A18="",0,IF(O18&gt;0,N18,N18+IFERROR(P18*(N18/Q18),0)))</f>
        <v>0</v>
      </c>
      <c r="S18" s="21" t="n">
        <f aca="false">IF(A18="",0,MAX(R18-$B$6,0))</f>
        <v>0</v>
      </c>
      <c r="T18" s="21" t="n">
        <f aca="false">IF(A18="",0,SUMIF($C$14:$C$31,C18,$S$14:$S$31))</f>
        <v>0</v>
      </c>
      <c r="U18" s="21" t="n">
        <f aca="false">IF(A18="",0,SUMPRODUCT(($C$14:$C$31=C18)*($R$14:$R$31&lt;$B$6)*$R$14:$R$31))</f>
        <v>0</v>
      </c>
      <c r="V18" s="16" t="n">
        <f aca="false">IF(A18="",0,IF(R18&gt;=$B$6,$B$6,R18+IFERROR(T18*(R18/U18),0)))</f>
        <v>0</v>
      </c>
      <c r="W18" s="7" t="str">
        <f aca="false">IF(A18="","",IF(V18&gt;$B$6+0.0005,"CHECK - still over position cap","OK"))</f>
        <v/>
      </c>
      <c r="X18" s="7" t="str">
        <f aca="false">IF(A18="","",IF(D18="","",IF(M18&gt;$B$7,CONCATENATE("Group '",D18,"' trimmed from ",TEXT(M18,"0.0%")," to ",TEXT($B$7,"0.0%")," combined."),CONCATENATE("Group '",D18,"' within cap (",TEXT(M18,"0.0%")," combined)."))))</f>
        <v/>
      </c>
      <c r="Y18" s="7" t="str">
        <f aca="false">IF(A18="","",CONCATENATE("[",C18,"] ",TEXT(AB18,"0.0%")," of total portfolio. ",IF(C18="Cash","Held flat as a liquidity/flexibility buffer, not risk-scored. ",CONCATENATE("Risk-adjusted score ",TEXT(I18,"0.00")," (return ",TEXT(F18,"0.0%")," vs. volatility ",TEXT(G18,"0.0%"),") drives ",TEXT(J18,"0.0%")," of its bucket's risk budget. ")),IF(X18&lt;&gt;"",CONCATENATE(X18," "),"")," ",E18))</f>
        <v/>
      </c>
      <c r="Z18" s="21" t="n">
        <f aca="false">IF(A18="",0,(IF(C18="Stocks",$B$8,IF(C18="Bonds",$B$9,IF(C18="Cash",$B$10,0))))-SUMIF($C$14:$C$31,C18,$V$14:$V$31))</f>
        <v>0</v>
      </c>
      <c r="AA18" s="21" t="n">
        <f aca="false">IF(A18="",0,SUMPRODUCT(($C$14:$C$31=C18)*($V$14:$V$31&lt;$B$6)*$V$14:$V$31))</f>
        <v>0</v>
      </c>
      <c r="AB18" s="16" t="n">
        <f aca="false">IF(A18="",0,IF(V18&gt;=$B$6,V18,V18+IFERROR(Z18*(V18/AA18),0)))</f>
        <v>0</v>
      </c>
    </row>
    <row r="19" customFormat="false" ht="41.25" hidden="false" customHeight="true" outlineLevel="0" collapsed="false">
      <c r="A19" s="7" t="s">
        <v>106</v>
      </c>
      <c r="B19" s="7" t="s">
        <v>107</v>
      </c>
      <c r="C19" s="19" t="s">
        <v>108</v>
      </c>
      <c r="E19" s="20" t="s">
        <v>109</v>
      </c>
      <c r="F19" s="15" t="n">
        <v>0.045</v>
      </c>
      <c r="G19" s="15" t="n">
        <v>0.07</v>
      </c>
      <c r="H19" s="21" t="n">
        <f aca="false">IF(A19="",0,IF(C19="Stocks",$B$8,IF(C19="Bonds",$B$9,IF(C19="Cash",$B$10,0))))</f>
        <v>0.175</v>
      </c>
      <c r="I19" s="22" t="n">
        <f aca="false">IF(A19="",0,IF(C19="Cash",1,IFERROR((F19-$B$5)/(G19^2),0)))</f>
        <v>0.816326530612244</v>
      </c>
      <c r="J19" s="21" t="n">
        <f aca="false">IF(A19="",0,IFERROR(I19/SUMIF($C$14:$C$31,C19,$I$14:$I$31),0))</f>
        <v>0.246153846153846</v>
      </c>
      <c r="K19" s="21" t="n">
        <f aca="false">IF(A19="",0,J19*H19)</f>
        <v>0.043076923076923</v>
      </c>
      <c r="L19" s="23" t="str">
        <f aca="false">IF(A19="","",IF(D19="","ROW_"&amp;ROW(),D19))</f>
        <v>ROW_19</v>
      </c>
      <c r="M19" s="21" t="n">
        <f aca="false">IF(A19="",0,SUMIF($L$14:$L$31,L19,$K$14:$K$31))</f>
        <v>0.043076923076923</v>
      </c>
      <c r="N19" s="21" t="n">
        <f aca="false">IF(A19="",0,IF(M19&gt;$B$7,K19*($B$7/M19),K19))</f>
        <v>0.043076923076923</v>
      </c>
      <c r="O19" s="21" t="n">
        <f aca="false">IF(A19="",0,K19-N19)</f>
        <v>0</v>
      </c>
      <c r="P19" s="21" t="n">
        <f aca="false">IF(A19="",0,SUMIF($C$14:$C$31,C19,$O$14:$O$31))</f>
        <v>0</v>
      </c>
      <c r="Q19" s="21" t="n">
        <f aca="false">IF(A19="",0,SUMPRODUCT(($C$14:$C$31=C19)*($O$14:$O$31=0)*$N$14:$N$31))</f>
        <v>0.175</v>
      </c>
      <c r="R19" s="21" t="n">
        <f aca="false">IF(A19="",0,IF(O19&gt;0,N19,N19+IFERROR(P19*(N19/Q19),0)))</f>
        <v>0.043076923076923</v>
      </c>
      <c r="S19" s="21" t="n">
        <f aca="false">IF(A19="",0,MAX(R19-$B$6,0))</f>
        <v>0</v>
      </c>
      <c r="T19" s="21" t="n">
        <f aca="false">IF(A19="",0,SUMIF($C$14:$C$31,C19,$S$14:$S$31))</f>
        <v>0</v>
      </c>
      <c r="U19" s="21" t="n">
        <f aca="false">IF(A19="",0,SUMPRODUCT(($C$14:$C$31=C19)*($R$14:$R$31&lt;$B$6)*$R$14:$R$31))</f>
        <v>0.175</v>
      </c>
      <c r="V19" s="16" t="n">
        <f aca="false">IF(A19="",0,IF(R19&gt;=$B$6,$B$6,R19+IFERROR(T19*(R19/U19),0)))</f>
        <v>0.043076923076923</v>
      </c>
      <c r="W19" s="7" t="str">
        <f aca="false">IF(A19="","",IF(V19&gt;$B$6+0.0005,"CHECK - still over position cap","OK"))</f>
        <v>OK</v>
      </c>
      <c r="X19" s="7" t="str">
        <f aca="false">IF(A19="","",IF(D19="","",IF(M19&gt;$B$7,CONCATENATE("Group '",D19,"' trimmed from ",TEXT(M19,"0.0%")," to ",TEXT($B$7,"0.0%")," combined."),CONCATENATE("Group '",D19,"' within cap (",TEXT(M19,"0.0%")," combined)."))))</f>
        <v/>
      </c>
      <c r="Y19" s="7" t="str">
        <f aca="false">IF(A19="","",CONCATENATE("[",C19,"] ",TEXT(AB19,"0.0%")," of total portfolio. ",IF(C19="Cash","Held flat as a liquidity/flexibility buffer, not risk-scored. ",CONCATENATE("Risk-adjusted score ",TEXT(I19,"0.00")," (return ",TEXT(F19,"0.0%")," vs. volatility ",TEXT(G19,"0.0%"),") drives ",TEXT(J19,"0.0%")," of its bucket's risk budget. ")),IF(X19&lt;&gt;"",CONCATENATE(X19," "),"")," ",E19))</f>
        <v>[Bonds] 4.3% of total portfolio. Risk-adjusted score 0.82 (return 4.5% vs. volatility 7.0%) drives 24.6% of its bucket's risk budget.  Intermediate-duration safety; matches your existing 10-Year Treasury pick.</v>
      </c>
      <c r="Z19" s="21" t="n">
        <f aca="false">IF(A19="",0,(IF(C19="Stocks",$B$8,IF(C19="Bonds",$B$9,IF(C19="Cash",$B$10,0))))-SUMIF($C$14:$C$31,C19,$V$14:$V$31))</f>
        <v>0</v>
      </c>
      <c r="AA19" s="21" t="n">
        <f aca="false">IF(A19="",0,SUMPRODUCT(($C$14:$C$31=C19)*($V$14:$V$31&lt;$B$6)*$V$14:$V$31))</f>
        <v>0.175</v>
      </c>
      <c r="AB19" s="16" t="n">
        <f aca="false">IF(A19="",0,IF(V19&gt;=$B$6,V19,V19+IFERROR(Z19*(V19/AA19),0)))</f>
        <v>0.043076923076923</v>
      </c>
    </row>
    <row r="20" customFormat="false" ht="41.25" hidden="false" customHeight="true" outlineLevel="0" collapsed="false">
      <c r="A20" s="7" t="s">
        <v>110</v>
      </c>
      <c r="B20" s="7" t="s">
        <v>111</v>
      </c>
      <c r="C20" s="19" t="s">
        <v>108</v>
      </c>
      <c r="E20" s="20" t="s">
        <v>112</v>
      </c>
      <c r="F20" s="15" t="n">
        <v>0.042</v>
      </c>
      <c r="G20" s="15" t="n">
        <v>0.02</v>
      </c>
      <c r="H20" s="21" t="n">
        <f aca="false">IF(A20="",0,IF(C20="Stocks",$B$8,IF(C20="Bonds",$B$9,IF(C20="Cash",$B$10,0))))</f>
        <v>0.175</v>
      </c>
      <c r="I20" s="22" t="n">
        <f aca="false">IF(A20="",0,IF(C20="Cash",1,IFERROR((F20-$B$5)/(G20^2),0)))</f>
        <v>2.5</v>
      </c>
      <c r="J20" s="21" t="n">
        <f aca="false">IF(A20="",0,IFERROR(I20/SUMIF($C$14:$C$31,C20,$I$14:$I$31),0))</f>
        <v>0.753846153846154</v>
      </c>
      <c r="K20" s="21" t="n">
        <f aca="false">IF(A20="",0,J20*H20)</f>
        <v>0.131923076923077</v>
      </c>
      <c r="L20" s="23" t="str">
        <f aca="false">IF(A20="","",IF(D20="","ROW_"&amp;ROW(),D20))</f>
        <v>ROW_20</v>
      </c>
      <c r="M20" s="21" t="n">
        <f aca="false">IF(A20="",0,SUMIF($L$14:$L$31,L20,$K$14:$K$31))</f>
        <v>0.131923076923077</v>
      </c>
      <c r="N20" s="21" t="n">
        <f aca="false">IF(A20="",0,IF(M20&gt;$B$7,K20*($B$7/M20),K20))</f>
        <v>0.131923076923077</v>
      </c>
      <c r="O20" s="21" t="n">
        <f aca="false">IF(A20="",0,K20-N20)</f>
        <v>0</v>
      </c>
      <c r="P20" s="21" t="n">
        <f aca="false">IF(A20="",0,SUMIF($C$14:$C$31,C20,$O$14:$O$31))</f>
        <v>0</v>
      </c>
      <c r="Q20" s="21" t="n">
        <f aca="false">IF(A20="",0,SUMPRODUCT(($C$14:$C$31=C20)*($O$14:$O$31=0)*$N$14:$N$31))</f>
        <v>0.175</v>
      </c>
      <c r="R20" s="21" t="n">
        <f aca="false">IF(A20="",0,IF(O20&gt;0,N20,N20+IFERROR(P20*(N20/Q20),0)))</f>
        <v>0.131923076923077</v>
      </c>
      <c r="S20" s="21" t="n">
        <f aca="false">IF(A20="",0,MAX(R20-$B$6,0))</f>
        <v>0</v>
      </c>
      <c r="T20" s="21" t="n">
        <f aca="false">IF(A20="",0,SUMIF($C$14:$C$31,C20,$S$14:$S$31))</f>
        <v>0</v>
      </c>
      <c r="U20" s="21" t="n">
        <f aca="false">IF(A20="",0,SUMPRODUCT(($C$14:$C$31=C20)*($R$14:$R$31&lt;$B$6)*$R$14:$R$31))</f>
        <v>0.175</v>
      </c>
      <c r="V20" s="16" t="n">
        <f aca="false">IF(A20="",0,IF(R20&gt;=$B$6,$B$6,R20+IFERROR(T20*(R20/U20),0)))</f>
        <v>0.131923076923077</v>
      </c>
      <c r="W20" s="7" t="str">
        <f aca="false">IF(A20="","",IF(V20&gt;$B$6+0.0005,"CHECK - still over position cap","OK"))</f>
        <v>OK</v>
      </c>
      <c r="X20" s="7" t="str">
        <f aca="false">IF(A20="","",IF(D20="","",IF(M20&gt;$B$7,CONCATENATE("Group '",D20,"' trimmed from ",TEXT(M20,"0.0%")," to ",TEXT($B$7,"0.0%")," combined."),CONCATENATE("Group '",D20,"' within cap (",TEXT(M20,"0.0%")," combined)."))))</f>
        <v/>
      </c>
      <c r="Y20" s="7" t="str">
        <f aca="false">IF(A20="","",CONCATENATE("[",C20,"] ",TEXT(AB20,"0.0%")," of total portfolio. ",IF(C20="Cash","Held flat as a liquidity/flexibility buffer, not risk-scored. ",CONCATENATE("Risk-adjusted score ",TEXT(I20,"0.00")," (return ",TEXT(F20,"0.0%")," vs. volatility ",TEXT(G20,"0.0%"),") drives ",TEXT(J20,"0.0%")," of its bucket's risk budget. ")),IF(X20&lt;&gt;"",CONCATENATE(X20," "),"")," ",E20))</f>
        <v>[Bonds] 13.2% of total portfolio. Risk-adjusted score 2.50 (return 4.2% vs. volatility 2.0%) drives 75.4% of its bucket's risk budget.  Short-duration complement; adds internal diversification within the Bonds bucket.</v>
      </c>
      <c r="Z20" s="21" t="n">
        <f aca="false">IF(A20="",0,(IF(C20="Stocks",$B$8,IF(C20="Bonds",$B$9,IF(C20="Cash",$B$10,0))))-SUMIF($C$14:$C$31,C20,$V$14:$V$31))</f>
        <v>0</v>
      </c>
      <c r="AA20" s="21" t="n">
        <f aca="false">IF(A20="",0,SUMPRODUCT(($C$14:$C$31=C20)*($V$14:$V$31&lt;$B$6)*$V$14:$V$31))</f>
        <v>0.175</v>
      </c>
      <c r="AB20" s="16" t="n">
        <f aca="false">IF(A20="",0,IF(V20&gt;=$B$6,V20,V20+IFERROR(Z20*(V20/AA20),0)))</f>
        <v>0.131923076923077</v>
      </c>
    </row>
    <row r="21" customFormat="false" ht="27.75" hidden="false" customHeight="true" outlineLevel="0" collapsed="false">
      <c r="A21" s="7" t="s">
        <v>113</v>
      </c>
      <c r="B21" s="7" t="s">
        <v>114</v>
      </c>
      <c r="C21" s="19" t="s">
        <v>114</v>
      </c>
      <c r="E21" s="20" t="s">
        <v>115</v>
      </c>
      <c r="F21" s="15"/>
      <c r="G21" s="15"/>
      <c r="H21" s="21" t="n">
        <f aca="false">IF(A21="",0,IF(C21="Stocks",$B$8,IF(C21="Bonds",$B$9,IF(C21="Cash",$B$10,0))))</f>
        <v>0.125</v>
      </c>
      <c r="I21" s="22" t="n">
        <f aca="false">IF(A21="",0,IF(C21="Cash",1,IFERROR((F21-$B$5)/(G21^2),0)))</f>
        <v>1</v>
      </c>
      <c r="J21" s="21" t="n">
        <f aca="false">IF(A21="",0,IFERROR(I21/SUMIF($C$14:$C$31,C21,$I$14:$I$31),0))</f>
        <v>1</v>
      </c>
      <c r="K21" s="21" t="n">
        <f aca="false">IF(A21="",0,J21*H21)</f>
        <v>0.125</v>
      </c>
      <c r="L21" s="23" t="str">
        <f aca="false">IF(A21="","",IF(D21="","ROW_"&amp;ROW(),D21))</f>
        <v>ROW_21</v>
      </c>
      <c r="M21" s="21" t="n">
        <f aca="false">IF(A21="",0,SUMIF($L$14:$L$31,L21,$K$14:$K$31))</f>
        <v>0.125</v>
      </c>
      <c r="N21" s="21" t="n">
        <f aca="false">IF(A21="",0,IF(M21&gt;$B$7,K21*($B$7/M21),K21))</f>
        <v>0.125</v>
      </c>
      <c r="O21" s="21" t="n">
        <f aca="false">IF(A21="",0,K21-N21)</f>
        <v>0</v>
      </c>
      <c r="P21" s="21" t="n">
        <f aca="false">IF(A21="",0,SUMIF($C$14:$C$31,C21,$O$14:$O$31))</f>
        <v>0</v>
      </c>
      <c r="Q21" s="21" t="n">
        <f aca="false">IF(A21="",0,SUMPRODUCT(($C$14:$C$31=C21)*($O$14:$O$31=0)*$N$14:$N$31))</f>
        <v>0.125</v>
      </c>
      <c r="R21" s="21" t="n">
        <f aca="false">IF(A21="",0,IF(O21&gt;0,N21,N21+IFERROR(P21*(N21/Q21),0)))</f>
        <v>0.125</v>
      </c>
      <c r="S21" s="21" t="n">
        <f aca="false">IF(A21="",0,MAX(R21-$B$6,0))</f>
        <v>0</v>
      </c>
      <c r="T21" s="21" t="n">
        <f aca="false">IF(A21="",0,SUMIF($C$14:$C$31,C21,$S$14:$S$31))</f>
        <v>0</v>
      </c>
      <c r="U21" s="21" t="n">
        <f aca="false">IF(A21="",0,SUMPRODUCT(($C$14:$C$31=C21)*($R$14:$R$31&lt;$B$6)*$R$14:$R$31))</f>
        <v>0.125</v>
      </c>
      <c r="V21" s="16" t="n">
        <f aca="false">IF(A21="",0,IF(R21&gt;=$B$6,$B$6,R21+IFERROR(T21*(R21/U21),0)))</f>
        <v>0.125</v>
      </c>
      <c r="W21" s="7" t="str">
        <f aca="false">IF(A21="","",IF(V21&gt;$B$6+0.0005,"CHECK - still over position cap","OK"))</f>
        <v>OK</v>
      </c>
      <c r="X21" s="7" t="str">
        <f aca="false">IF(A21="","",IF(D21="","",IF(M21&gt;$B$7,CONCATENATE("Group '",D21,"' trimmed from ",TEXT(M21,"0.0%")," to ",TEXT($B$7,"0.0%")," combined."),CONCATENATE("Group '",D21,"' within cap (",TEXT(M21,"0.0%")," combined)."))))</f>
        <v/>
      </c>
      <c r="Y21" s="7" t="str">
        <f aca="false">IF(A21="","",CONCATENATE("[",C21,"] ",TEXT(AB21,"0.0%")," of total portfolio. ",IF(C21="Cash","Held flat as a liquidity/flexibility buffer, not risk-scored. ",CONCATENATE("Risk-adjusted score ",TEXT(I21,"0.00")," (return ",TEXT(F21,"0.0%")," vs. volatility ",TEXT(G21,"0.0%"),") drives ",TEXT(J21,"0.0%")," of its bucket's risk budget. ")),IF(X21&lt;&gt;"",CONCATENATE(X21," "),"")," ",E21))</f>
        <v>[Cash] 12.5% of total portfolio. Held flat as a liquidity/flexibility buffer, not risk-scored.  Liquidity/flexibility buffer; held flat, not risk-scored.</v>
      </c>
      <c r="Z21" s="21" t="n">
        <f aca="false">IF(A21="",0,(IF(C21="Stocks",$B$8,IF(C21="Bonds",$B$9,IF(C21="Cash",$B$10,0))))-SUMIF($C$14:$C$31,C21,$V$14:$V$31))</f>
        <v>0</v>
      </c>
      <c r="AA21" s="21" t="n">
        <f aca="false">IF(A21="",0,SUMPRODUCT(($C$14:$C$31=C21)*($V$14:$V$31&lt;$B$6)*$V$14:$V$31))</f>
        <v>0.125</v>
      </c>
      <c r="AB21" s="16" t="n">
        <f aca="false">IF(A21="",0,IF(V21&gt;=$B$6,V21,V21+IFERROR(Z21*(V21/AA21),0)))</f>
        <v>0.125</v>
      </c>
    </row>
    <row r="22" customFormat="false" ht="15" hidden="false" customHeight="true" outlineLevel="0" collapsed="false">
      <c r="C22" s="19"/>
      <c r="H22" s="21" t="n">
        <f aca="false">IF(A22="",0,IF(C22="Stocks",$B$8,IF(C22="Bonds",$B$9,IF(C22="Cash",$B$10,0))))</f>
        <v>0</v>
      </c>
      <c r="I22" s="22" t="n">
        <f aca="false">IF(A22="",0,IF(C22="Cash",1,IFERROR((F22-$B$5)/(G22^2),0)))</f>
        <v>0</v>
      </c>
      <c r="J22" s="21" t="n">
        <f aca="false">IF(A22="",0,IFERROR(I22/SUMIF($C$14:$C$31,C22,$I$14:$I$31),0))</f>
        <v>0</v>
      </c>
      <c r="K22" s="21" t="n">
        <f aca="false">IF(A22="",0,J22*H22)</f>
        <v>0</v>
      </c>
      <c r="L22" s="23" t="str">
        <f aca="false">IF(A22="","",IF(D22="","ROW_"&amp;ROW(),D22))</f>
        <v/>
      </c>
      <c r="M22" s="21" t="n">
        <f aca="false">IF(A22="",0,SUMIF($L$14:$L$31,L22,$K$14:$K$31))</f>
        <v>0</v>
      </c>
      <c r="N22" s="21" t="n">
        <f aca="false">IF(A22="",0,IF(M22&gt;$B$7,K22*($B$7/M22),K22))</f>
        <v>0</v>
      </c>
      <c r="O22" s="21" t="n">
        <f aca="false">IF(A22="",0,K22-N22)</f>
        <v>0</v>
      </c>
      <c r="P22" s="21" t="n">
        <f aca="false">IF(A22="",0,SUMIF($C$14:$C$31,C22,$O$14:$O$31))</f>
        <v>0</v>
      </c>
      <c r="Q22" s="21" t="n">
        <f aca="false">IF(A22="",0,SUMPRODUCT(($C$14:$C$31=C22)*($O$14:$O$31=0)*$N$14:$N$31))</f>
        <v>0</v>
      </c>
      <c r="R22" s="21" t="n">
        <f aca="false">IF(A22="",0,IF(O22&gt;0,N22,N22+IFERROR(P22*(N22/Q22),0)))</f>
        <v>0</v>
      </c>
      <c r="S22" s="21" t="n">
        <f aca="false">IF(A22="",0,MAX(R22-$B$6,0))</f>
        <v>0</v>
      </c>
      <c r="T22" s="21" t="n">
        <f aca="false">IF(A22="",0,SUMIF($C$14:$C$31,C22,$S$14:$S$31))</f>
        <v>0</v>
      </c>
      <c r="U22" s="21" t="n">
        <f aca="false">IF(A22="",0,SUMPRODUCT(($C$14:$C$31=C22)*($R$14:$R$31&lt;$B$6)*$R$14:$R$31))</f>
        <v>0</v>
      </c>
      <c r="V22" s="16" t="n">
        <f aca="false">IF(A22="",0,IF(R22&gt;=$B$6,$B$6,R22+IFERROR(T22*(R22/U22),0)))</f>
        <v>0</v>
      </c>
      <c r="W22" s="7" t="str">
        <f aca="false">IF(A22="","",IF(V22&gt;$B$6+0.0005,"CHECK - still over position cap","OK"))</f>
        <v/>
      </c>
      <c r="X22" s="7" t="str">
        <f aca="false">IF(A22="","",IF(D22="","",IF(M22&gt;$B$7,CONCATENATE("Group '",D22,"' trimmed from ",TEXT(M22,"0.0%")," to ",TEXT($B$7,"0.0%")," combined."),CONCATENATE("Group '",D22,"' within cap (",TEXT(M22,"0.0%")," combined)."))))</f>
        <v/>
      </c>
      <c r="Y22" s="7" t="str">
        <f aca="false">IF(A22="","",CONCATENATE("[",C22,"] ",TEXT(AB22,"0.0%")," of total portfolio. ",IF(C22="Cash","Held flat as a liquidity/flexibility buffer, not risk-scored. ",CONCATENATE("Risk-adjusted score ",TEXT(I22,"0.00")," (return ",TEXT(F22,"0.0%")," vs. volatility ",TEXT(G22,"0.0%"),") drives ",TEXT(J22,"0.0%")," of its bucket's risk budget. ")),IF(X22&lt;&gt;"",CONCATENATE(X22," "),"")," ",E22))</f>
        <v/>
      </c>
      <c r="Z22" s="21" t="n">
        <f aca="false">IF(A22="",0,(IF(C22="Stocks",$B$8,IF(C22="Bonds",$B$9,IF(C22="Cash",$B$10,0))))-SUMIF($C$14:$C$31,C22,$V$14:$V$31))</f>
        <v>0</v>
      </c>
      <c r="AA22" s="21" t="n">
        <f aca="false">IF(A22="",0,SUMPRODUCT(($C$14:$C$31=C22)*($V$14:$V$31&lt;$B$6)*$V$14:$V$31))</f>
        <v>0</v>
      </c>
      <c r="AB22" s="16" t="n">
        <f aca="false">IF(A22="",0,IF(V22&gt;=$B$6,V22,V22+IFERROR(Z22*(V22/AA22),0)))</f>
        <v>0</v>
      </c>
    </row>
    <row r="23" customFormat="false" ht="15" hidden="false" customHeight="true" outlineLevel="0" collapsed="false">
      <c r="C23" s="19"/>
      <c r="H23" s="21" t="n">
        <f aca="false">IF(A23="",0,IF(C23="Stocks",$B$8,IF(C23="Bonds",$B$9,IF(C23="Cash",$B$10,0))))</f>
        <v>0</v>
      </c>
      <c r="I23" s="22" t="n">
        <f aca="false">IF(A23="",0,IF(C23="Cash",1,IFERROR((F23-$B$5)/(G23^2),0)))</f>
        <v>0</v>
      </c>
      <c r="J23" s="21" t="n">
        <f aca="false">IF(A23="",0,IFERROR(I23/SUMIF($C$14:$C$31,C23,$I$14:$I$31),0))</f>
        <v>0</v>
      </c>
      <c r="K23" s="21" t="n">
        <f aca="false">IF(A23="",0,J23*H23)</f>
        <v>0</v>
      </c>
      <c r="L23" s="23" t="str">
        <f aca="false">IF(A23="","",IF(D23="","ROW_"&amp;ROW(),D23))</f>
        <v/>
      </c>
      <c r="M23" s="21" t="n">
        <f aca="false">IF(A23="",0,SUMIF($L$14:$L$31,L23,$K$14:$K$31))</f>
        <v>0</v>
      </c>
      <c r="N23" s="21" t="n">
        <f aca="false">IF(A23="",0,IF(M23&gt;$B$7,K23*($B$7/M23),K23))</f>
        <v>0</v>
      </c>
      <c r="O23" s="21" t="n">
        <f aca="false">IF(A23="",0,K23-N23)</f>
        <v>0</v>
      </c>
      <c r="P23" s="21" t="n">
        <f aca="false">IF(A23="",0,SUMIF($C$14:$C$31,C23,$O$14:$O$31))</f>
        <v>0</v>
      </c>
      <c r="Q23" s="21" t="n">
        <f aca="false">IF(A23="",0,SUMPRODUCT(($C$14:$C$31=C23)*($O$14:$O$31=0)*$N$14:$N$31))</f>
        <v>0</v>
      </c>
      <c r="R23" s="21" t="n">
        <f aca="false">IF(A23="",0,IF(O23&gt;0,N23,N23+IFERROR(P23*(N23/Q23),0)))</f>
        <v>0</v>
      </c>
      <c r="S23" s="21" t="n">
        <f aca="false">IF(A23="",0,MAX(R23-$B$6,0))</f>
        <v>0</v>
      </c>
      <c r="T23" s="21" t="n">
        <f aca="false">IF(A23="",0,SUMIF($C$14:$C$31,C23,$S$14:$S$31))</f>
        <v>0</v>
      </c>
      <c r="U23" s="21" t="n">
        <f aca="false">IF(A23="",0,SUMPRODUCT(($C$14:$C$31=C23)*($R$14:$R$31&lt;$B$6)*$R$14:$R$31))</f>
        <v>0</v>
      </c>
      <c r="V23" s="16" t="n">
        <f aca="false">IF(A23="",0,IF(R23&gt;=$B$6,$B$6,R23+IFERROR(T23*(R23/U23),0)))</f>
        <v>0</v>
      </c>
      <c r="W23" s="7" t="str">
        <f aca="false">IF(A23="","",IF(V23&gt;$B$6+0.0005,"CHECK - still over position cap","OK"))</f>
        <v/>
      </c>
      <c r="X23" s="7" t="str">
        <f aca="false">IF(A23="","",IF(D23="","",IF(M23&gt;$B$7,CONCATENATE("Group '",D23,"' trimmed from ",TEXT(M23,"0.0%")," to ",TEXT($B$7,"0.0%")," combined."),CONCATENATE("Group '",D23,"' within cap (",TEXT(M23,"0.0%")," combined)."))))</f>
        <v/>
      </c>
      <c r="Y23" s="7" t="str">
        <f aca="false">IF(A23="","",CONCATENATE("[",C23,"] ",TEXT(AB23,"0.0%")," of total portfolio. ",IF(C23="Cash","Held flat as a liquidity/flexibility buffer, not risk-scored. ",CONCATENATE("Risk-adjusted score ",TEXT(I23,"0.00")," (return ",TEXT(F23,"0.0%")," vs. volatility ",TEXT(G23,"0.0%"),") drives ",TEXT(J23,"0.0%")," of its bucket's risk budget. ")),IF(X23&lt;&gt;"",CONCATENATE(X23," "),"")," ",E23))</f>
        <v/>
      </c>
      <c r="Z23" s="21" t="n">
        <f aca="false">IF(A23="",0,(IF(C23="Stocks",$B$8,IF(C23="Bonds",$B$9,IF(C23="Cash",$B$10,0))))-SUMIF($C$14:$C$31,C23,$V$14:$V$31))</f>
        <v>0</v>
      </c>
      <c r="AA23" s="21" t="n">
        <f aca="false">IF(A23="",0,SUMPRODUCT(($C$14:$C$31=C23)*($V$14:$V$31&lt;$B$6)*$V$14:$V$31))</f>
        <v>0</v>
      </c>
      <c r="AB23" s="16" t="n">
        <f aca="false">IF(A23="",0,IF(V23&gt;=$B$6,V23,V23+IFERROR(Z23*(V23/AA23),0)))</f>
        <v>0</v>
      </c>
    </row>
    <row r="24" customFormat="false" ht="15" hidden="false" customHeight="true" outlineLevel="0" collapsed="false">
      <c r="C24" s="19"/>
      <c r="H24" s="21" t="n">
        <f aca="false">IF(A24="",0,IF(C24="Stocks",$B$8,IF(C24="Bonds",$B$9,IF(C24="Cash",$B$10,0))))</f>
        <v>0</v>
      </c>
      <c r="I24" s="22" t="n">
        <f aca="false">IF(A24="",0,IF(C24="Cash",1,IFERROR((F24-$B$5)/(G24^2),0)))</f>
        <v>0</v>
      </c>
      <c r="J24" s="21" t="n">
        <f aca="false">IF(A24="",0,IFERROR(I24/SUMIF($C$14:$C$31,C24,$I$14:$I$31),0))</f>
        <v>0</v>
      </c>
      <c r="K24" s="21" t="n">
        <f aca="false">IF(A24="",0,J24*H24)</f>
        <v>0</v>
      </c>
      <c r="L24" s="23" t="str">
        <f aca="false">IF(A24="","",IF(D24="","ROW_"&amp;ROW(),D24))</f>
        <v/>
      </c>
      <c r="M24" s="21" t="n">
        <f aca="false">IF(A24="",0,SUMIF($L$14:$L$31,L24,$K$14:$K$31))</f>
        <v>0</v>
      </c>
      <c r="N24" s="21" t="n">
        <f aca="false">IF(A24="",0,IF(M24&gt;$B$7,K24*($B$7/M24),K24))</f>
        <v>0</v>
      </c>
      <c r="O24" s="21" t="n">
        <f aca="false">IF(A24="",0,K24-N24)</f>
        <v>0</v>
      </c>
      <c r="P24" s="21" t="n">
        <f aca="false">IF(A24="",0,SUMIF($C$14:$C$31,C24,$O$14:$O$31))</f>
        <v>0</v>
      </c>
      <c r="Q24" s="21" t="n">
        <f aca="false">IF(A24="",0,SUMPRODUCT(($C$14:$C$31=C24)*($O$14:$O$31=0)*$N$14:$N$31))</f>
        <v>0</v>
      </c>
      <c r="R24" s="21" t="n">
        <f aca="false">IF(A24="",0,IF(O24&gt;0,N24,N24+IFERROR(P24*(N24/Q24),0)))</f>
        <v>0</v>
      </c>
      <c r="S24" s="21" t="n">
        <f aca="false">IF(A24="",0,MAX(R24-$B$6,0))</f>
        <v>0</v>
      </c>
      <c r="T24" s="21" t="n">
        <f aca="false">IF(A24="",0,SUMIF($C$14:$C$31,C24,$S$14:$S$31))</f>
        <v>0</v>
      </c>
      <c r="U24" s="21" t="n">
        <f aca="false">IF(A24="",0,SUMPRODUCT(($C$14:$C$31=C24)*($R$14:$R$31&lt;$B$6)*$R$14:$R$31))</f>
        <v>0</v>
      </c>
      <c r="V24" s="16" t="n">
        <f aca="false">IF(A24="",0,IF(R24&gt;=$B$6,$B$6,R24+IFERROR(T24*(R24/U24),0)))</f>
        <v>0</v>
      </c>
      <c r="W24" s="7" t="str">
        <f aca="false">IF(A24="","",IF(V24&gt;$B$6+0.0005,"CHECK - still over position cap","OK"))</f>
        <v/>
      </c>
      <c r="X24" s="7" t="str">
        <f aca="false">IF(A24="","",IF(D24="","",IF(M24&gt;$B$7,CONCATENATE("Group '",D24,"' trimmed from ",TEXT(M24,"0.0%")," to ",TEXT($B$7,"0.0%")," combined."),CONCATENATE("Group '",D24,"' within cap (",TEXT(M24,"0.0%")," combined)."))))</f>
        <v/>
      </c>
      <c r="Y24" s="7" t="str">
        <f aca="false">IF(A24="","",CONCATENATE("[",C24,"] ",TEXT(AB24,"0.0%")," of total portfolio. ",IF(C24="Cash","Held flat as a liquidity/flexibility buffer, not risk-scored. ",CONCATENATE("Risk-adjusted score ",TEXT(I24,"0.00")," (return ",TEXT(F24,"0.0%")," vs. volatility ",TEXT(G24,"0.0%"),") drives ",TEXT(J24,"0.0%")," of its bucket's risk budget. ")),IF(X24&lt;&gt;"",CONCATENATE(X24," "),"")," ",E24))</f>
        <v/>
      </c>
      <c r="Z24" s="21" t="n">
        <f aca="false">IF(A24="",0,(IF(C24="Stocks",$B$8,IF(C24="Bonds",$B$9,IF(C24="Cash",$B$10,0))))-SUMIF($C$14:$C$31,C24,$V$14:$V$31))</f>
        <v>0</v>
      </c>
      <c r="AA24" s="21" t="n">
        <f aca="false">IF(A24="",0,SUMPRODUCT(($C$14:$C$31=C24)*($V$14:$V$31&lt;$B$6)*$V$14:$V$31))</f>
        <v>0</v>
      </c>
      <c r="AB24" s="16" t="n">
        <f aca="false">IF(A24="",0,IF(V24&gt;=$B$6,V24,V24+IFERROR(Z24*(V24/AA24),0)))</f>
        <v>0</v>
      </c>
    </row>
    <row r="25" customFormat="false" ht="15" hidden="false" customHeight="true" outlineLevel="0" collapsed="false">
      <c r="C25" s="19"/>
      <c r="H25" s="21" t="n">
        <f aca="false">IF(A25="",0,IF(C25="Stocks",$B$8,IF(C25="Bonds",$B$9,IF(C25="Cash",$B$10,0))))</f>
        <v>0</v>
      </c>
      <c r="I25" s="22" t="n">
        <f aca="false">IF(A25="",0,IF(C25="Cash",1,IFERROR((F25-$B$5)/(G25^2),0)))</f>
        <v>0</v>
      </c>
      <c r="J25" s="21" t="n">
        <f aca="false">IF(A25="",0,IFERROR(I25/SUMIF($C$14:$C$31,C25,$I$14:$I$31),0))</f>
        <v>0</v>
      </c>
      <c r="K25" s="21" t="n">
        <f aca="false">IF(A25="",0,J25*H25)</f>
        <v>0</v>
      </c>
      <c r="L25" s="23" t="str">
        <f aca="false">IF(A25="","",IF(D25="","ROW_"&amp;ROW(),D25))</f>
        <v/>
      </c>
      <c r="M25" s="21" t="n">
        <f aca="false">IF(A25="",0,SUMIF($L$14:$L$31,L25,$K$14:$K$31))</f>
        <v>0</v>
      </c>
      <c r="N25" s="21" t="n">
        <f aca="false">IF(A25="",0,IF(M25&gt;$B$7,K25*($B$7/M25),K25))</f>
        <v>0</v>
      </c>
      <c r="O25" s="21" t="n">
        <f aca="false">IF(A25="",0,K25-N25)</f>
        <v>0</v>
      </c>
      <c r="P25" s="21" t="n">
        <f aca="false">IF(A25="",0,SUMIF($C$14:$C$31,C25,$O$14:$O$31))</f>
        <v>0</v>
      </c>
      <c r="Q25" s="21" t="n">
        <f aca="false">IF(A25="",0,SUMPRODUCT(($C$14:$C$31=C25)*($O$14:$O$31=0)*$N$14:$N$31))</f>
        <v>0</v>
      </c>
      <c r="R25" s="21" t="n">
        <f aca="false">IF(A25="",0,IF(O25&gt;0,N25,N25+IFERROR(P25*(N25/Q25),0)))</f>
        <v>0</v>
      </c>
      <c r="S25" s="21" t="n">
        <f aca="false">IF(A25="",0,MAX(R25-$B$6,0))</f>
        <v>0</v>
      </c>
      <c r="T25" s="21" t="n">
        <f aca="false">IF(A25="",0,SUMIF($C$14:$C$31,C25,$S$14:$S$31))</f>
        <v>0</v>
      </c>
      <c r="U25" s="21" t="n">
        <f aca="false">IF(A25="",0,SUMPRODUCT(($C$14:$C$31=C25)*($R$14:$R$31&lt;$B$6)*$R$14:$R$31))</f>
        <v>0</v>
      </c>
      <c r="V25" s="16" t="n">
        <f aca="false">IF(A25="",0,IF(R25&gt;=$B$6,$B$6,R25+IFERROR(T25*(R25/U25),0)))</f>
        <v>0</v>
      </c>
      <c r="W25" s="7" t="str">
        <f aca="false">IF(A25="","",IF(V25&gt;$B$6+0.0005,"CHECK - still over position cap","OK"))</f>
        <v/>
      </c>
      <c r="X25" s="7" t="str">
        <f aca="false">IF(A25="","",IF(D25="","",IF(M25&gt;$B$7,CONCATENATE("Group '",D25,"' trimmed from ",TEXT(M25,"0.0%")," to ",TEXT($B$7,"0.0%")," combined."),CONCATENATE("Group '",D25,"' within cap (",TEXT(M25,"0.0%")," combined)."))))</f>
        <v/>
      </c>
      <c r="Y25" s="7" t="str">
        <f aca="false">IF(A25="","",CONCATENATE("[",C25,"] ",TEXT(AB25,"0.0%")," of total portfolio. ",IF(C25="Cash","Held flat as a liquidity/flexibility buffer, not risk-scored. ",CONCATENATE("Risk-adjusted score ",TEXT(I25,"0.00")," (return ",TEXT(F25,"0.0%")," vs. volatility ",TEXT(G25,"0.0%"),") drives ",TEXT(J25,"0.0%")," of its bucket's risk budget. ")),IF(X25&lt;&gt;"",CONCATENATE(X25," "),"")," ",E25))</f>
        <v/>
      </c>
      <c r="Z25" s="21" t="n">
        <f aca="false">IF(A25="",0,(IF(C25="Stocks",$B$8,IF(C25="Bonds",$B$9,IF(C25="Cash",$B$10,0))))-SUMIF($C$14:$C$31,C25,$V$14:$V$31))</f>
        <v>0</v>
      </c>
      <c r="AA25" s="21" t="n">
        <f aca="false">IF(A25="",0,SUMPRODUCT(($C$14:$C$31=C25)*($V$14:$V$31&lt;$B$6)*$V$14:$V$31))</f>
        <v>0</v>
      </c>
      <c r="AB25" s="16" t="n">
        <f aca="false">IF(A25="",0,IF(V25&gt;=$B$6,V25,V25+IFERROR(Z25*(V25/AA25),0)))</f>
        <v>0</v>
      </c>
    </row>
    <row r="26" customFormat="false" ht="15" hidden="false" customHeight="true" outlineLevel="0" collapsed="false">
      <c r="C26" s="19"/>
      <c r="H26" s="21" t="n">
        <f aca="false">IF(A26="",0,IF(C26="Stocks",$B$8,IF(C26="Bonds",$B$9,IF(C26="Cash",$B$10,0))))</f>
        <v>0</v>
      </c>
      <c r="I26" s="22" t="n">
        <f aca="false">IF(A26="",0,IF(C26="Cash",1,IFERROR((F26-$B$5)/(G26^2),0)))</f>
        <v>0</v>
      </c>
      <c r="J26" s="21" t="n">
        <f aca="false">IF(A26="",0,IFERROR(I26/SUMIF($C$14:$C$31,C26,$I$14:$I$31),0))</f>
        <v>0</v>
      </c>
      <c r="K26" s="21" t="n">
        <f aca="false">IF(A26="",0,J26*H26)</f>
        <v>0</v>
      </c>
      <c r="L26" s="23" t="str">
        <f aca="false">IF(A26="","",IF(D26="","ROW_"&amp;ROW(),D26))</f>
        <v/>
      </c>
      <c r="M26" s="21" t="n">
        <f aca="false">IF(A26="",0,SUMIF($L$14:$L$31,L26,$K$14:$K$31))</f>
        <v>0</v>
      </c>
      <c r="N26" s="21" t="n">
        <f aca="false">IF(A26="",0,IF(M26&gt;$B$7,K26*($B$7/M26),K26))</f>
        <v>0</v>
      </c>
      <c r="O26" s="21" t="n">
        <f aca="false">IF(A26="",0,K26-N26)</f>
        <v>0</v>
      </c>
      <c r="P26" s="21" t="n">
        <f aca="false">IF(A26="",0,SUMIF($C$14:$C$31,C26,$O$14:$O$31))</f>
        <v>0</v>
      </c>
      <c r="Q26" s="21" t="n">
        <f aca="false">IF(A26="",0,SUMPRODUCT(($C$14:$C$31=C26)*($O$14:$O$31=0)*$N$14:$N$31))</f>
        <v>0</v>
      </c>
      <c r="R26" s="21" t="n">
        <f aca="false">IF(A26="",0,IF(O26&gt;0,N26,N26+IFERROR(P26*(N26/Q26),0)))</f>
        <v>0</v>
      </c>
      <c r="S26" s="21" t="n">
        <f aca="false">IF(A26="",0,MAX(R26-$B$6,0))</f>
        <v>0</v>
      </c>
      <c r="T26" s="21" t="n">
        <f aca="false">IF(A26="",0,SUMIF($C$14:$C$31,C26,$S$14:$S$31))</f>
        <v>0</v>
      </c>
      <c r="U26" s="21" t="n">
        <f aca="false">IF(A26="",0,SUMPRODUCT(($C$14:$C$31=C26)*($R$14:$R$31&lt;$B$6)*$R$14:$R$31))</f>
        <v>0</v>
      </c>
      <c r="V26" s="16" t="n">
        <f aca="false">IF(A26="",0,IF(R26&gt;=$B$6,$B$6,R26+IFERROR(T26*(R26/U26),0)))</f>
        <v>0</v>
      </c>
      <c r="W26" s="7" t="str">
        <f aca="false">IF(A26="","",IF(V26&gt;$B$6+0.0005,"CHECK - still over position cap","OK"))</f>
        <v/>
      </c>
      <c r="X26" s="7" t="str">
        <f aca="false">IF(A26="","",IF(D26="","",IF(M26&gt;$B$7,CONCATENATE("Group '",D26,"' trimmed from ",TEXT(M26,"0.0%")," to ",TEXT($B$7,"0.0%")," combined."),CONCATENATE("Group '",D26,"' within cap (",TEXT(M26,"0.0%")," combined)."))))</f>
        <v/>
      </c>
      <c r="Y26" s="7" t="str">
        <f aca="false">IF(A26="","",CONCATENATE("[",C26,"] ",TEXT(AB26,"0.0%")," of total portfolio. ",IF(C26="Cash","Held flat as a liquidity/flexibility buffer, not risk-scored. ",CONCATENATE("Risk-adjusted score ",TEXT(I26,"0.00")," (return ",TEXT(F26,"0.0%")," vs. volatility ",TEXT(G26,"0.0%"),") drives ",TEXT(J26,"0.0%")," of its bucket's risk budget. ")),IF(X26&lt;&gt;"",CONCATENATE(X26," "),"")," ",E26))</f>
        <v/>
      </c>
      <c r="Z26" s="21" t="n">
        <f aca="false">IF(A26="",0,(IF(C26="Stocks",$B$8,IF(C26="Bonds",$B$9,IF(C26="Cash",$B$10,0))))-SUMIF($C$14:$C$31,C26,$V$14:$V$31))</f>
        <v>0</v>
      </c>
      <c r="AA26" s="21" t="n">
        <f aca="false">IF(A26="",0,SUMPRODUCT(($C$14:$C$31=C26)*($V$14:$V$31&lt;$B$6)*$V$14:$V$31))</f>
        <v>0</v>
      </c>
      <c r="AB26" s="16" t="n">
        <f aca="false">IF(A26="",0,IF(V26&gt;=$B$6,V26,V26+IFERROR(Z26*(V26/AA26),0)))</f>
        <v>0</v>
      </c>
    </row>
    <row r="27" customFormat="false" ht="15" hidden="false" customHeight="true" outlineLevel="0" collapsed="false">
      <c r="C27" s="19"/>
      <c r="H27" s="21" t="n">
        <f aca="false">IF(A27="",0,IF(C27="Stocks",$B$8,IF(C27="Bonds",$B$9,IF(C27="Cash",$B$10,0))))</f>
        <v>0</v>
      </c>
      <c r="I27" s="22" t="n">
        <f aca="false">IF(A27="",0,IF(C27="Cash",1,IFERROR((F27-$B$5)/(G27^2),0)))</f>
        <v>0</v>
      </c>
      <c r="J27" s="21" t="n">
        <f aca="false">IF(A27="",0,IFERROR(I27/SUMIF($C$14:$C$31,C27,$I$14:$I$31),0))</f>
        <v>0</v>
      </c>
      <c r="K27" s="21" t="n">
        <f aca="false">IF(A27="",0,J27*H27)</f>
        <v>0</v>
      </c>
      <c r="L27" s="23" t="str">
        <f aca="false">IF(A27="","",IF(D27="","ROW_"&amp;ROW(),D27))</f>
        <v/>
      </c>
      <c r="M27" s="21" t="n">
        <f aca="false">IF(A27="",0,SUMIF($L$14:$L$31,L27,$K$14:$K$31))</f>
        <v>0</v>
      </c>
      <c r="N27" s="21" t="n">
        <f aca="false">IF(A27="",0,IF(M27&gt;$B$7,K27*($B$7/M27),K27))</f>
        <v>0</v>
      </c>
      <c r="O27" s="21" t="n">
        <f aca="false">IF(A27="",0,K27-N27)</f>
        <v>0</v>
      </c>
      <c r="P27" s="21" t="n">
        <f aca="false">IF(A27="",0,SUMIF($C$14:$C$31,C27,$O$14:$O$31))</f>
        <v>0</v>
      </c>
      <c r="Q27" s="21" t="n">
        <f aca="false">IF(A27="",0,SUMPRODUCT(($C$14:$C$31=C27)*($O$14:$O$31=0)*$N$14:$N$31))</f>
        <v>0</v>
      </c>
      <c r="R27" s="21" t="n">
        <f aca="false">IF(A27="",0,IF(O27&gt;0,N27,N27+IFERROR(P27*(N27/Q27),0)))</f>
        <v>0</v>
      </c>
      <c r="S27" s="21" t="n">
        <f aca="false">IF(A27="",0,MAX(R27-$B$6,0))</f>
        <v>0</v>
      </c>
      <c r="T27" s="21" t="n">
        <f aca="false">IF(A27="",0,SUMIF($C$14:$C$31,C27,$S$14:$S$31))</f>
        <v>0</v>
      </c>
      <c r="U27" s="21" t="n">
        <f aca="false">IF(A27="",0,SUMPRODUCT(($C$14:$C$31=C27)*($R$14:$R$31&lt;$B$6)*$R$14:$R$31))</f>
        <v>0</v>
      </c>
      <c r="V27" s="16" t="n">
        <f aca="false">IF(A27="",0,IF(R27&gt;=$B$6,$B$6,R27+IFERROR(T27*(R27/U27),0)))</f>
        <v>0</v>
      </c>
      <c r="W27" s="7" t="str">
        <f aca="false">IF(A27="","",IF(V27&gt;$B$6+0.0005,"CHECK - still over position cap","OK"))</f>
        <v/>
      </c>
      <c r="X27" s="7" t="str">
        <f aca="false">IF(A27="","",IF(D27="","",IF(M27&gt;$B$7,CONCATENATE("Group '",D27,"' trimmed from ",TEXT(M27,"0.0%")," to ",TEXT($B$7,"0.0%")," combined."),CONCATENATE("Group '",D27,"' within cap (",TEXT(M27,"0.0%")," combined)."))))</f>
        <v/>
      </c>
      <c r="Y27" s="7" t="str">
        <f aca="false">IF(A27="","",CONCATENATE("[",C27,"] ",TEXT(AB27,"0.0%")," of total portfolio. ",IF(C27="Cash","Held flat as a liquidity/flexibility buffer, not risk-scored. ",CONCATENATE("Risk-adjusted score ",TEXT(I27,"0.00")," (return ",TEXT(F27,"0.0%")," vs. volatility ",TEXT(G27,"0.0%"),") drives ",TEXT(J27,"0.0%")," of its bucket's risk budget. ")),IF(X27&lt;&gt;"",CONCATENATE(X27," "),"")," ",E27))</f>
        <v/>
      </c>
      <c r="Z27" s="21" t="n">
        <f aca="false">IF(A27="",0,(IF(C27="Stocks",$B$8,IF(C27="Bonds",$B$9,IF(C27="Cash",$B$10,0))))-SUMIF($C$14:$C$31,C27,$V$14:$V$31))</f>
        <v>0</v>
      </c>
      <c r="AA27" s="21" t="n">
        <f aca="false">IF(A27="",0,SUMPRODUCT(($C$14:$C$31=C27)*($V$14:$V$31&lt;$B$6)*$V$14:$V$31))</f>
        <v>0</v>
      </c>
      <c r="AB27" s="16" t="n">
        <f aca="false">IF(A27="",0,IF(V27&gt;=$B$6,V27,V27+IFERROR(Z27*(V27/AA27),0)))</f>
        <v>0</v>
      </c>
    </row>
    <row r="28" customFormat="false" ht="15" hidden="false" customHeight="true" outlineLevel="0" collapsed="false">
      <c r="C28" s="19"/>
      <c r="H28" s="21" t="n">
        <f aca="false">IF(A28="",0,IF(C28="Stocks",$B$8,IF(C28="Bonds",$B$9,IF(C28="Cash",$B$10,0))))</f>
        <v>0</v>
      </c>
      <c r="I28" s="22" t="n">
        <f aca="false">IF(A28="",0,IF(C28="Cash",1,IFERROR((F28-$B$5)/(G28^2),0)))</f>
        <v>0</v>
      </c>
      <c r="J28" s="21" t="n">
        <f aca="false">IF(A28="",0,IFERROR(I28/SUMIF($C$14:$C$31,C28,$I$14:$I$31),0))</f>
        <v>0</v>
      </c>
      <c r="K28" s="21" t="n">
        <f aca="false">IF(A28="",0,J28*H28)</f>
        <v>0</v>
      </c>
      <c r="L28" s="23" t="str">
        <f aca="false">IF(A28="","",IF(D28="","ROW_"&amp;ROW(),D28))</f>
        <v/>
      </c>
      <c r="M28" s="21" t="n">
        <f aca="false">IF(A28="",0,SUMIF($L$14:$L$31,L28,$K$14:$K$31))</f>
        <v>0</v>
      </c>
      <c r="N28" s="21" t="n">
        <f aca="false">IF(A28="",0,IF(M28&gt;$B$7,K28*($B$7/M28),K28))</f>
        <v>0</v>
      </c>
      <c r="O28" s="21" t="n">
        <f aca="false">IF(A28="",0,K28-N28)</f>
        <v>0</v>
      </c>
      <c r="P28" s="21" t="n">
        <f aca="false">IF(A28="",0,SUMIF($C$14:$C$31,C28,$O$14:$O$31))</f>
        <v>0</v>
      </c>
      <c r="Q28" s="21" t="n">
        <f aca="false">IF(A28="",0,SUMPRODUCT(($C$14:$C$31=C28)*($O$14:$O$31=0)*$N$14:$N$31))</f>
        <v>0</v>
      </c>
      <c r="R28" s="21" t="n">
        <f aca="false">IF(A28="",0,IF(O28&gt;0,N28,N28+IFERROR(P28*(N28/Q28),0)))</f>
        <v>0</v>
      </c>
      <c r="S28" s="21" t="n">
        <f aca="false">IF(A28="",0,MAX(R28-$B$6,0))</f>
        <v>0</v>
      </c>
      <c r="T28" s="21" t="n">
        <f aca="false">IF(A28="",0,SUMIF($C$14:$C$31,C28,$S$14:$S$31))</f>
        <v>0</v>
      </c>
      <c r="U28" s="21" t="n">
        <f aca="false">IF(A28="",0,SUMPRODUCT(($C$14:$C$31=C28)*($R$14:$R$31&lt;$B$6)*$R$14:$R$31))</f>
        <v>0</v>
      </c>
      <c r="V28" s="16" t="n">
        <f aca="false">IF(A28="",0,IF(R28&gt;=$B$6,$B$6,R28+IFERROR(T28*(R28/U28),0)))</f>
        <v>0</v>
      </c>
      <c r="W28" s="7" t="str">
        <f aca="false">IF(A28="","",IF(V28&gt;$B$6+0.0005,"CHECK - still over position cap","OK"))</f>
        <v/>
      </c>
      <c r="X28" s="7" t="str">
        <f aca="false">IF(A28="","",IF(D28="","",IF(M28&gt;$B$7,CONCATENATE("Group '",D28,"' trimmed from ",TEXT(M28,"0.0%")," to ",TEXT($B$7,"0.0%")," combined."),CONCATENATE("Group '",D28,"' within cap (",TEXT(M28,"0.0%")," combined)."))))</f>
        <v/>
      </c>
      <c r="Y28" s="7" t="str">
        <f aca="false">IF(A28="","",CONCATENATE("[",C28,"] ",TEXT(AB28,"0.0%")," of total portfolio. ",IF(C28="Cash","Held flat as a liquidity/flexibility buffer, not risk-scored. ",CONCATENATE("Risk-adjusted score ",TEXT(I28,"0.00")," (return ",TEXT(F28,"0.0%")," vs. volatility ",TEXT(G28,"0.0%"),") drives ",TEXT(J28,"0.0%")," of its bucket's risk budget. ")),IF(X28&lt;&gt;"",CONCATENATE(X28," "),"")," ",E28))</f>
        <v/>
      </c>
      <c r="Z28" s="21" t="n">
        <f aca="false">IF(A28="",0,(IF(C28="Stocks",$B$8,IF(C28="Bonds",$B$9,IF(C28="Cash",$B$10,0))))-SUMIF($C$14:$C$31,C28,$V$14:$V$31))</f>
        <v>0</v>
      </c>
      <c r="AA28" s="21" t="n">
        <f aca="false">IF(A28="",0,SUMPRODUCT(($C$14:$C$31=C28)*($V$14:$V$31&lt;$B$6)*$V$14:$V$31))</f>
        <v>0</v>
      </c>
      <c r="AB28" s="16" t="n">
        <f aca="false">IF(A28="",0,IF(V28&gt;=$B$6,V28,V28+IFERROR(Z28*(V28/AA28),0)))</f>
        <v>0</v>
      </c>
    </row>
    <row r="29" customFormat="false" ht="15" hidden="false" customHeight="true" outlineLevel="0" collapsed="false">
      <c r="C29" s="19"/>
      <c r="H29" s="21" t="n">
        <f aca="false">IF(A29="",0,IF(C29="Stocks",$B$8,IF(C29="Bonds",$B$9,IF(C29="Cash",$B$10,0))))</f>
        <v>0</v>
      </c>
      <c r="I29" s="22" t="n">
        <f aca="false">IF(A29="",0,IF(C29="Cash",1,IFERROR((F29-$B$5)/(G29^2),0)))</f>
        <v>0</v>
      </c>
      <c r="J29" s="21" t="n">
        <f aca="false">IF(A29="",0,IFERROR(I29/SUMIF($C$14:$C$31,C29,$I$14:$I$31),0))</f>
        <v>0</v>
      </c>
      <c r="K29" s="21" t="n">
        <f aca="false">IF(A29="",0,J29*H29)</f>
        <v>0</v>
      </c>
      <c r="L29" s="23" t="str">
        <f aca="false">IF(A29="","",IF(D29="","ROW_"&amp;ROW(),D29))</f>
        <v/>
      </c>
      <c r="M29" s="21" t="n">
        <f aca="false">IF(A29="",0,SUMIF($L$14:$L$31,L29,$K$14:$K$31))</f>
        <v>0</v>
      </c>
      <c r="N29" s="21" t="n">
        <f aca="false">IF(A29="",0,IF(M29&gt;$B$7,K29*($B$7/M29),K29))</f>
        <v>0</v>
      </c>
      <c r="O29" s="21" t="n">
        <f aca="false">IF(A29="",0,K29-N29)</f>
        <v>0</v>
      </c>
      <c r="P29" s="21" t="n">
        <f aca="false">IF(A29="",0,SUMIF($C$14:$C$31,C29,$O$14:$O$31))</f>
        <v>0</v>
      </c>
      <c r="Q29" s="21" t="n">
        <f aca="false">IF(A29="",0,SUMPRODUCT(($C$14:$C$31=C29)*($O$14:$O$31=0)*$N$14:$N$31))</f>
        <v>0</v>
      </c>
      <c r="R29" s="21" t="n">
        <f aca="false">IF(A29="",0,IF(O29&gt;0,N29,N29+IFERROR(P29*(N29/Q29),0)))</f>
        <v>0</v>
      </c>
      <c r="S29" s="21" t="n">
        <f aca="false">IF(A29="",0,MAX(R29-$B$6,0))</f>
        <v>0</v>
      </c>
      <c r="T29" s="21" t="n">
        <f aca="false">IF(A29="",0,SUMIF($C$14:$C$31,C29,$S$14:$S$31))</f>
        <v>0</v>
      </c>
      <c r="U29" s="21" t="n">
        <f aca="false">IF(A29="",0,SUMPRODUCT(($C$14:$C$31=C29)*($R$14:$R$31&lt;$B$6)*$R$14:$R$31))</f>
        <v>0</v>
      </c>
      <c r="V29" s="16" t="n">
        <f aca="false">IF(A29="",0,IF(R29&gt;=$B$6,$B$6,R29+IFERROR(T29*(R29/U29),0)))</f>
        <v>0</v>
      </c>
      <c r="W29" s="7" t="str">
        <f aca="false">IF(A29="","",IF(V29&gt;$B$6+0.0005,"CHECK - still over position cap","OK"))</f>
        <v/>
      </c>
      <c r="X29" s="7" t="str">
        <f aca="false">IF(A29="","",IF(D29="","",IF(M29&gt;$B$7,CONCATENATE("Group '",D29,"' trimmed from ",TEXT(M29,"0.0%")," to ",TEXT($B$7,"0.0%")," combined."),CONCATENATE("Group '",D29,"' within cap (",TEXT(M29,"0.0%")," combined)."))))</f>
        <v/>
      </c>
      <c r="Y29" s="7" t="str">
        <f aca="false">IF(A29="","",CONCATENATE("[",C29,"] ",TEXT(AB29,"0.0%")," of total portfolio. ",IF(C29="Cash","Held flat as a liquidity/flexibility buffer, not risk-scored. ",CONCATENATE("Risk-adjusted score ",TEXT(I29,"0.00")," (return ",TEXT(F29,"0.0%")," vs. volatility ",TEXT(G29,"0.0%"),") drives ",TEXT(J29,"0.0%")," of its bucket's risk budget. ")),IF(X29&lt;&gt;"",CONCATENATE(X29," "),"")," ",E29))</f>
        <v/>
      </c>
      <c r="Z29" s="21" t="n">
        <f aca="false">IF(A29="",0,(IF(C29="Stocks",$B$8,IF(C29="Bonds",$B$9,IF(C29="Cash",$B$10,0))))-SUMIF($C$14:$C$31,C29,$V$14:$V$31))</f>
        <v>0</v>
      </c>
      <c r="AA29" s="21" t="n">
        <f aca="false">IF(A29="",0,SUMPRODUCT(($C$14:$C$31=C29)*($V$14:$V$31&lt;$B$6)*$V$14:$V$31))</f>
        <v>0</v>
      </c>
      <c r="AB29" s="16" t="n">
        <f aca="false">IF(A29="",0,IF(V29&gt;=$B$6,V29,V29+IFERROR(Z29*(V29/AA29),0)))</f>
        <v>0</v>
      </c>
    </row>
    <row r="30" customFormat="false" ht="15" hidden="false" customHeight="true" outlineLevel="0" collapsed="false">
      <c r="C30" s="19"/>
      <c r="H30" s="21" t="n">
        <f aca="false">IF(A30="",0,IF(C30="Stocks",$B$8,IF(C30="Bonds",$B$9,IF(C30="Cash",$B$10,0))))</f>
        <v>0</v>
      </c>
      <c r="I30" s="22" t="n">
        <f aca="false">IF(A30="",0,IF(C30="Cash",1,IFERROR((F30-$B$5)/(G30^2),0)))</f>
        <v>0</v>
      </c>
      <c r="J30" s="21" t="n">
        <f aca="false">IF(A30="",0,IFERROR(I30/SUMIF($C$14:$C$31,C30,$I$14:$I$31),0))</f>
        <v>0</v>
      </c>
      <c r="K30" s="21" t="n">
        <f aca="false">IF(A30="",0,J30*H30)</f>
        <v>0</v>
      </c>
      <c r="L30" s="23" t="str">
        <f aca="false">IF(A30="","",IF(D30="","ROW_"&amp;ROW(),D30))</f>
        <v/>
      </c>
      <c r="M30" s="21" t="n">
        <f aca="false">IF(A30="",0,SUMIF($L$14:$L$31,L30,$K$14:$K$31))</f>
        <v>0</v>
      </c>
      <c r="N30" s="21" t="n">
        <f aca="false">IF(A30="",0,IF(M30&gt;$B$7,K30*($B$7/M30),K30))</f>
        <v>0</v>
      </c>
      <c r="O30" s="21" t="n">
        <f aca="false">IF(A30="",0,K30-N30)</f>
        <v>0</v>
      </c>
      <c r="P30" s="21" t="n">
        <f aca="false">IF(A30="",0,SUMIF($C$14:$C$31,C30,$O$14:$O$31))</f>
        <v>0</v>
      </c>
      <c r="Q30" s="21" t="n">
        <f aca="false">IF(A30="",0,SUMPRODUCT(($C$14:$C$31=C30)*($O$14:$O$31=0)*$N$14:$N$31))</f>
        <v>0</v>
      </c>
      <c r="R30" s="21" t="n">
        <f aca="false">IF(A30="",0,IF(O30&gt;0,N30,N30+IFERROR(P30*(N30/Q30),0)))</f>
        <v>0</v>
      </c>
      <c r="S30" s="21" t="n">
        <f aca="false">IF(A30="",0,MAX(R30-$B$6,0))</f>
        <v>0</v>
      </c>
      <c r="T30" s="21" t="n">
        <f aca="false">IF(A30="",0,SUMIF($C$14:$C$31,C30,$S$14:$S$31))</f>
        <v>0</v>
      </c>
      <c r="U30" s="21" t="n">
        <f aca="false">IF(A30="",0,SUMPRODUCT(($C$14:$C$31=C30)*($R$14:$R$31&lt;$B$6)*$R$14:$R$31))</f>
        <v>0</v>
      </c>
      <c r="V30" s="16" t="n">
        <f aca="false">IF(A30="",0,IF(R30&gt;=$B$6,$B$6,R30+IFERROR(T30*(R30/U30),0)))</f>
        <v>0</v>
      </c>
      <c r="W30" s="7" t="str">
        <f aca="false">IF(A30="","",IF(V30&gt;$B$6+0.0005,"CHECK - still over position cap","OK"))</f>
        <v/>
      </c>
      <c r="X30" s="7" t="str">
        <f aca="false">IF(A30="","",IF(D30="","",IF(M30&gt;$B$7,CONCATENATE("Group '",D30,"' trimmed from ",TEXT(M30,"0.0%")," to ",TEXT($B$7,"0.0%")," combined."),CONCATENATE("Group '",D30,"' within cap (",TEXT(M30,"0.0%")," combined)."))))</f>
        <v/>
      </c>
      <c r="Y30" s="7" t="str">
        <f aca="false">IF(A30="","",CONCATENATE("[",C30,"] ",TEXT(AB30,"0.0%")," of total portfolio. ",IF(C30="Cash","Held flat as a liquidity/flexibility buffer, not risk-scored. ",CONCATENATE("Risk-adjusted score ",TEXT(I30,"0.00")," (return ",TEXT(F30,"0.0%")," vs. volatility ",TEXT(G30,"0.0%"),") drives ",TEXT(J30,"0.0%")," of its bucket's risk budget. ")),IF(X30&lt;&gt;"",CONCATENATE(X30," "),"")," ",E30))</f>
        <v/>
      </c>
      <c r="Z30" s="21" t="n">
        <f aca="false">IF(A30="",0,(IF(C30="Stocks",$B$8,IF(C30="Bonds",$B$9,IF(C30="Cash",$B$10,0))))-SUMIF($C$14:$C$31,C30,$V$14:$V$31))</f>
        <v>0</v>
      </c>
      <c r="AA30" s="21" t="n">
        <f aca="false">IF(A30="",0,SUMPRODUCT(($C$14:$C$31=C30)*($V$14:$V$31&lt;$B$6)*$V$14:$V$31))</f>
        <v>0</v>
      </c>
      <c r="AB30" s="16" t="n">
        <f aca="false">IF(A30="",0,IF(V30&gt;=$B$6,V30,V30+IFERROR(Z30*(V30/AA30),0)))</f>
        <v>0</v>
      </c>
    </row>
    <row r="31" customFormat="false" ht="15" hidden="false" customHeight="true" outlineLevel="0" collapsed="false">
      <c r="C31" s="19"/>
      <c r="H31" s="21" t="n">
        <f aca="false">IF(A31="",0,IF(C31="Stocks",$B$8,IF(C31="Bonds",$B$9,IF(C31="Cash",$B$10,0))))</f>
        <v>0</v>
      </c>
      <c r="I31" s="22" t="n">
        <f aca="false">IF(A31="",0,IF(C31="Cash",1,IFERROR((F31-$B$5)/(G31^2),0)))</f>
        <v>0</v>
      </c>
      <c r="J31" s="21" t="n">
        <f aca="false">IF(A31="",0,IFERROR(I31/SUMIF($C$14:$C$31,C31,$I$14:$I$31),0))</f>
        <v>0</v>
      </c>
      <c r="K31" s="21" t="n">
        <f aca="false">IF(A31="",0,J31*H31)</f>
        <v>0</v>
      </c>
      <c r="L31" s="23" t="str">
        <f aca="false">IF(A31="","",IF(D31="","ROW_"&amp;ROW(),D31))</f>
        <v/>
      </c>
      <c r="M31" s="21" t="n">
        <f aca="false">IF(A31="",0,SUMIF($L$14:$L$31,L31,$K$14:$K$31))</f>
        <v>0</v>
      </c>
      <c r="N31" s="21" t="n">
        <f aca="false">IF(A31="",0,IF(M31&gt;$B$7,K31*($B$7/M31),K31))</f>
        <v>0</v>
      </c>
      <c r="O31" s="21" t="n">
        <f aca="false">IF(A31="",0,K31-N31)</f>
        <v>0</v>
      </c>
      <c r="P31" s="21" t="n">
        <f aca="false">IF(A31="",0,SUMIF($C$14:$C$31,C31,$O$14:$O$31))</f>
        <v>0</v>
      </c>
      <c r="Q31" s="21" t="n">
        <f aca="false">IF(A31="",0,SUMPRODUCT(($C$14:$C$31=C31)*($O$14:$O$31=0)*$N$14:$N$31))</f>
        <v>0</v>
      </c>
      <c r="R31" s="21" t="n">
        <f aca="false">IF(A31="",0,IF(O31&gt;0,N31,N31+IFERROR(P31*(N31/Q31),0)))</f>
        <v>0</v>
      </c>
      <c r="S31" s="21" t="n">
        <f aca="false">IF(A31="",0,MAX(R31-$B$6,0))</f>
        <v>0</v>
      </c>
      <c r="T31" s="21" t="n">
        <f aca="false">IF(A31="",0,SUMIF($C$14:$C$31,C31,$S$14:$S$31))</f>
        <v>0</v>
      </c>
      <c r="U31" s="21" t="n">
        <f aca="false">IF(A31="",0,SUMPRODUCT(($C$14:$C$31=C31)*($R$14:$R$31&lt;$B$6)*$R$14:$R$31))</f>
        <v>0</v>
      </c>
      <c r="V31" s="16" t="n">
        <f aca="false">IF(A31="",0,IF(R31&gt;=$B$6,$B$6,R31+IFERROR(T31*(R31/U31),0)))</f>
        <v>0</v>
      </c>
      <c r="W31" s="7" t="str">
        <f aca="false">IF(A31="","",IF(V31&gt;$B$6+0.0005,"CHECK - still over position cap","OK"))</f>
        <v/>
      </c>
      <c r="X31" s="7" t="str">
        <f aca="false">IF(A31="","",IF(D31="","",IF(M31&gt;$B$7,CONCATENATE("Group '",D31,"' trimmed from ",TEXT(M31,"0.0%")," to ",TEXT($B$7,"0.0%")," combined."),CONCATENATE("Group '",D31,"' within cap (",TEXT(M31,"0.0%")," combined)."))))</f>
        <v/>
      </c>
      <c r="Y31" s="7" t="str">
        <f aca="false">IF(A31="","",CONCATENATE("[",C31,"] ",TEXT(AB31,"0.0%")," of total portfolio. ",IF(C31="Cash","Held flat as a liquidity/flexibility buffer, not risk-scored. ",CONCATENATE("Risk-adjusted score ",TEXT(I31,"0.00")," (return ",TEXT(F31,"0.0%")," vs. volatility ",TEXT(G31,"0.0%"),") drives ",TEXT(J31,"0.0%")," of its bucket's risk budget. ")),IF(X31&lt;&gt;"",CONCATENATE(X31," "),"")," ",E31))</f>
        <v/>
      </c>
      <c r="Z31" s="21" t="n">
        <f aca="false">IF(A31="",0,(IF(C31="Stocks",$B$8,IF(C31="Bonds",$B$9,IF(C31="Cash",$B$10,0))))-SUMIF($C$14:$C$31,C31,$V$14:$V$31))</f>
        <v>0</v>
      </c>
      <c r="AA31" s="21" t="n">
        <f aca="false">IF(A31="",0,SUMPRODUCT(($C$14:$C$31=C31)*($V$14:$V$31&lt;$B$6)*$V$14:$V$31))</f>
        <v>0</v>
      </c>
      <c r="AB31" s="16" t="n">
        <f aca="false">IF(A31="",0,IF(V31&gt;=$B$6,V31,V31+IFERROR(Z31*(V31/AA31),0)))</f>
        <v>0</v>
      </c>
    </row>
    <row r="33" customFormat="false" ht="15" hidden="false" customHeight="true" outlineLevel="0" collapsed="false">
      <c r="A33" s="24" t="s">
        <v>116</v>
      </c>
      <c r="V33" s="16" t="n">
        <f aca="false">SUMIF($C$14:$C$31,"Stocks",$AB$14:$AB$31)</f>
        <v>0.7</v>
      </c>
      <c r="W33" s="7" t="str">
        <f aca="false">IF(ABS(V33-$B$8)&gt;0.0005,"Adjusted — see note","On target")</f>
        <v>On target</v>
      </c>
    </row>
    <row r="34" customFormat="false" ht="15" hidden="false" customHeight="true" outlineLevel="0" collapsed="false">
      <c r="A34" s="24" t="s">
        <v>117</v>
      </c>
      <c r="V34" s="16" t="n">
        <f aca="false">SUMIF($C$14:$C$31,"Bonds",$AB$14:$AB$31)</f>
        <v>0.175</v>
      </c>
      <c r="W34" s="7" t="str">
        <f aca="false">IF(ABS(V34-$B$9)&gt;0.0005,"Adjusted — see note","On target")</f>
        <v>On target</v>
      </c>
    </row>
    <row r="35" customFormat="false" ht="15" hidden="false" customHeight="true" outlineLevel="0" collapsed="false">
      <c r="A35" s="24" t="s">
        <v>118</v>
      </c>
      <c r="V35" s="16" t="n">
        <f aca="false">SUMIF($C$14:$C$31,"Cash",$AB$14:$AB$31)</f>
        <v>0.125</v>
      </c>
      <c r="W35" s="7" t="str">
        <f aca="false">IF(ABS(V35-$B$10)&gt;0.0005,"Adjusted — see note","On target")</f>
        <v>On target</v>
      </c>
    </row>
    <row r="36" customFormat="false" ht="15" hidden="false" customHeight="true" outlineLevel="0" collapsed="false">
      <c r="A36" s="24" t="s">
        <v>119</v>
      </c>
      <c r="V36" s="16" t="n">
        <f aca="false">SUM($AB$14:$AB$31)</f>
        <v>1</v>
      </c>
    </row>
  </sheetData>
  <dataValidations count="1">
    <dataValidation allowBlank="true" errorStyle="stop" operator="between" showDropDown="false" showErrorMessage="false" showInputMessage="false" sqref="C14:C31" type="list">
      <formula1>"Stocks,Bonds,Cash"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2026-10-02T02:58:01Z</dcterms:created>
  <dc:creator>openpyxl</dc:creator>
  <dc:description/>
  <dc:language>en-US</dc:language>
  <cp:lastModifiedBy/>
  <dcterms:modified xsi:type="dcterms:W3CDTF">2026-10-02T22:45:54Z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