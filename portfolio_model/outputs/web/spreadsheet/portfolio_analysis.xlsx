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22:50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current_value</t>
        </is>
      </c>
      <c r="F3" s="5" t="inlineStr">
        <is>
          <t>threshold</t>
        </is>
      </c>
      <c r="G3" s="5" t="inlineStr">
        <is>
          <t>rule</t>
        </is>
      </c>
      <c r="H3" s="5" t="inlineStr">
        <is>
          <t>action</t>
        </is>
      </c>
      <c r="I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n">
        <v>0.4500000000000001</v>
      </c>
      <c r="F4" s="14" t="n">
        <v>0.3</v>
      </c>
      <c r="G4" s="14" t="inlineStr">
        <is>
          <t>Correlated-group exposure &gt; configured cap (30.0%)</t>
        </is>
      </c>
      <c r="H4" s="14" t="inlineStr">
        <is>
          <t>Trim the 'Growth/Consumer-Tech' group (ADBE, DIS, DUOL) toward 30.0%; these holdings move together and diversification is overstated.</t>
        </is>
      </c>
      <c r="I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n">
        <v>1</v>
      </c>
      <c r="F5" s="14" t="n">
        <v>1</v>
      </c>
      <c r="G5" s="14" t="inlineStr">
        <is>
          <t>Key metrics differ materially between Gaussian MC and real-history bootstrap (&gt;10pp probability or &gt;25% value)</t>
        </is>
      </c>
      <c r="H5" s="14" t="inlineStr">
        <is>
          <t>Report ranges, not point estimates; make reserve/funding decisions using the conservative bootstrap engine.</t>
        </is>
      </c>
      <c r="I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n">
        <v>0.1475</v>
      </c>
      <c r="F6" s="14" t="n">
        <v>0.9</v>
      </c>
      <c r="G6" s="14" t="inlineStr">
        <is>
          <t>min(MC, bootstrap) P(all reserve payments funded) &lt; 90.0%</t>
        </is>
      </c>
      <c r="H6" s="14" t="inlineStr">
        <is>
          <t>Increase the reserve discount buffer, extend the glide path, or reduce payment size; plan against the conservative engine.</t>
        </is>
      </c>
      <c r="I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n">
        <v>0.7847152400355502</v>
      </c>
      <c r="F7" s="14" t="n">
        <v>0.7</v>
      </c>
      <c r="G7" s="14" t="inlineStr">
        <is>
          <t>|Pairwise monthly correlation| &gt; configured threshold (0.70)</t>
        </is>
      </c>
      <c r="H7" s="14" t="inlineStr">
        <is>
          <t>Treat IEF and SHY as one risk bet when sizing exposure; avoid adding correlated positions.</t>
        </is>
      </c>
      <c r="I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n">
        <v>0.27</v>
      </c>
      <c r="F8" s="14" t="n">
        <v>0.25</v>
      </c>
      <c r="G8" s="14" t="inlineStr">
        <is>
          <t>Simulated probability of a &gt;20% drawdown &gt; 25.0% review trigger</t>
        </is>
      </c>
      <c r="H8" s="14" t="inlineStr">
        <is>
          <t>Portfolio-level review triggered: consider glide-path acceleration, band tightening, or a defensive sleeve.</t>
        </is>
      </c>
      <c r="I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n">
        <v>0.355327691196202</v>
      </c>
      <c r="F9" s="14" t="n">
        <v>0.35</v>
      </c>
      <c r="G9" s="14" t="inlineStr">
        <is>
          <t>Sector allocation &gt; configured maximum sector weight (35.0%)</t>
        </is>
      </c>
      <c r="H9" s="14" t="inlineStr">
        <is>
          <t>Review/rebalance Information Technology exposure toward the 35.0% cap.</t>
        </is>
      </c>
      <c r="I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7" t="inlineStr">
        <is>
          <t>Narrative version with the ten most common misreadings: docs/METRIC_DEFINITIONS.md (generated from the same source file).</t>
        </is>
      </c>
      <c r="B75" s="4" t="n"/>
      <c r="C75" s="4" t="n"/>
      <c r="D75" s="4" t="n"/>
      <c r="E75" s="4" t="n"/>
      <c r="F75" s="4" t="n"/>
      <c r="G75" s="4" t="n"/>
      <c r="H7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2026-10-11T22:50:17Z</dcterms:created>
  <dcterms:modified xmlns:dcterms="http://purl.org/dc/terms/" xmlns:xsi="http://www.w3.org/2001/XMLSchema-instance" xsi:type="dcterms:W3CDTF">2026-10-11T22:50:18Z</dcterms:modified>
</cp:coreProperties>
</file>