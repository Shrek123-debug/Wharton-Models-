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00:25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0.1475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0.2d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0.2d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0.2d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0.2d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0.2d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0.2d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0.2d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0.2d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4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4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4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4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4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4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400 simulated outcomes of the 2033 value: p5=$421,303, p25=$551,145, p50=$661,245, p75=$803,380, p95=$1,108,291</t>
        </is>
      </c>
      <c r="F10" s="6" t="inlineStr">
        <is>
          <t>$661,245</t>
        </is>
      </c>
      <c r="G10" s="6" t="inlineStr">
        <is>
          <t>The median is $661,245, but half the runs land below it. Against contributions of $450,000, the 5th percentile is $421,303 -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4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371 of 400 Monte Carlo paths end above $450,000</t>
        </is>
      </c>
      <c r="F11" s="6" t="inlineStr">
        <is>
          <t>92.8%</t>
        </is>
      </c>
      <c r="G11" s="6" t="inlineStr">
        <is>
          <t>Nominal success looks comfortable at 92.8%. Compare it with the bootstrap figure of 93.2%,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4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342 of 400 paths fund all 10 payments; bootstrap: 59 of 400</t>
        </is>
      </c>
      <c r="F12" s="6" t="inlineStr">
        <is>
          <t>85.5% / 14.8%</t>
        </is>
      </c>
      <c r="G12" s="6" t="inlineStr">
        <is>
          <t>This is the decision metric, and the two engines disagree: 85.5% against 14.8%.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4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12.0% of invested capital</t>
        </is>
      </c>
      <c r="F13" s="6" t="inlineStr">
        <is>
          <t>12.0%</t>
        </is>
      </c>
      <c r="G13" s="6" t="inlineStr">
        <is>
          <t>In the bad tail the average outcome is a loss of 12.0%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4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-17.1% and the worst 5% of paths reach -27.7%</t>
        </is>
      </c>
      <c r="F14" s="6" t="inlineStr">
        <is>
          <t>-27.7%</t>
        </is>
      </c>
      <c r="G14" s="6" t="inlineStr">
        <is>
          <t>In the unlucky 5% of paths the portfolio falls 27.7%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4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55.0%</t>
        </is>
      </c>
      <c r="F15" s="6" t="inlineStr">
        <is>
          <t>55.0%</t>
        </is>
      </c>
      <c r="G15" s="6" t="inlineStr">
        <is>
          <t>Equity moves from 70.0% to 55.0%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4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4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85.5% vs bootstrap 14.8% = a 70.8% spread</t>
        </is>
      </c>
      <c r="F17" s="6" t="inlineStr">
        <is>
          <t>70.8%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4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4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4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4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MODEL-06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70.8%.</t>
        </is>
      </c>
      <c r="H21" s="6" t="inlineStr">
        <is>
          <t>The engines answer different questions, so some spread is expected. Only a spread in a decision-relevant metric matters.</t>
        </is>
      </c>
      <c r="I21" s="14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RESV-05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0.1475 against threshold 0.9000</t>
        </is>
      </c>
      <c r="F22" s="6" t="inlineStr">
        <is>
          <t>HIGH</t>
        </is>
      </c>
      <c r="G22" s="6" t="inlineStr">
        <is>
          <t>MC 85.5% / bootstrap 14.8%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4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2026-10-12T00:25:10Z</dcterms:created>
  <dcterms:modified xmlns:dcterms="http://purl.org/dc/terms/" xmlns:xsi="http://www.w3.org/2001/XMLSchema-instance" xsi:type="dcterms:W3CDTF">2026-10-12T00:25:11Z</dcterms:modified>
</cp:coreProperties>
</file>